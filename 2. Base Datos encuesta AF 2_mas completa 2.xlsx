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erika_cm_tec_mx/Documents/Tec Monterrey/1PAPERS/Castaño et al Encuesta/"/>
    </mc:Choice>
  </mc:AlternateContent>
  <xr:revisionPtr revIDLastSave="7" documentId="13_ncr:1_{E0EEC15C-3AFE-F44C-90E1-B5A9911012CB}" xr6:coauthVersionLast="47" xr6:coauthVersionMax="47" xr10:uidLastSave="{67B5FD11-12C6-4A42-A43E-AAB62F74449F}"/>
  <bookViews>
    <workbookView xWindow="480" yWindow="660" windowWidth="28920" windowHeight="17160" activeTab="1" xr2:uid="{D3227945-479B-5840-A83B-EB12FDA2392F}"/>
  </bookViews>
  <sheets>
    <sheet name="Base Original" sheetId="17" r:id="rId1"/>
    <sheet name="Base Consenso" sheetId="14" r:id="rId2"/>
    <sheet name="Codificación" sheetId="7" r:id="rId3"/>
  </sheets>
  <definedNames>
    <definedName name="_xlnm._FilterDatabase" localSheetId="1" hidden="1">'Base Consenso'!$A$1:$BY$848</definedName>
    <definedName name="_xlnm._FilterDatabase" localSheetId="0" hidden="1">'Base Original'!$A$1:$AG$848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6" i="7" l="1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45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4" i="7"/>
  <c r="L335" i="7"/>
  <c r="L336" i="7"/>
  <c r="L337" i="7"/>
  <c r="L338" i="7"/>
  <c r="L339" i="7"/>
  <c r="L340" i="7"/>
  <c r="L341" i="7"/>
  <c r="L342" i="7"/>
  <c r="L343" i="7"/>
  <c r="L318" i="7"/>
  <c r="BR855" i="14"/>
  <c r="BR854" i="14"/>
  <c r="BR853" i="14"/>
  <c r="BR852" i="14"/>
  <c r="BR851" i="14"/>
  <c r="BR850" i="14"/>
  <c r="BX2" i="14"/>
  <c r="BW3" i="14"/>
  <c r="BX3" i="14" s="1"/>
  <c r="BX4" i="14"/>
  <c r="BY4" i="14" s="1"/>
  <c r="BX5" i="14"/>
  <c r="BY5" i="14"/>
  <c r="BX6" i="14"/>
  <c r="BY6" i="14"/>
  <c r="BX7" i="14"/>
  <c r="BY7" i="14"/>
  <c r="BZ7" i="14" s="1"/>
  <c r="BX8" i="14"/>
  <c r="BY8" i="14"/>
  <c r="BX9" i="14"/>
  <c r="BY9" i="14"/>
  <c r="BX10" i="14"/>
  <c r="BY10" i="14"/>
  <c r="BX11" i="14"/>
  <c r="BY11" i="14"/>
  <c r="BX12" i="14"/>
  <c r="BY12" i="14"/>
  <c r="BX13" i="14"/>
  <c r="BY13" i="14"/>
  <c r="BX14" i="14"/>
  <c r="BY14" i="14"/>
  <c r="BX15" i="14"/>
  <c r="BY15" i="14"/>
  <c r="BX16" i="14"/>
  <c r="BY16" i="14" s="1"/>
  <c r="BX17" i="14"/>
  <c r="BY17" i="14"/>
  <c r="BX18" i="14"/>
  <c r="BY18" i="14"/>
  <c r="BX19" i="14"/>
  <c r="BY19" i="14" s="1"/>
  <c r="BZ19" i="14" s="1"/>
  <c r="BX20" i="14"/>
  <c r="BY20" i="14" s="1"/>
  <c r="BX21" i="14"/>
  <c r="BY21" i="14" s="1"/>
  <c r="BZ21" i="14" s="1"/>
  <c r="BX22" i="14"/>
  <c r="BY22" i="14"/>
  <c r="BX23" i="14"/>
  <c r="BY23" i="14"/>
  <c r="BX24" i="14"/>
  <c r="BY24" i="14" s="1"/>
  <c r="BX25" i="14"/>
  <c r="BY25" i="14" s="1"/>
  <c r="BZ25" i="14" s="1"/>
  <c r="BX26" i="14"/>
  <c r="BY26" i="14" s="1"/>
  <c r="BZ26" i="14" s="1"/>
  <c r="BX27" i="14"/>
  <c r="BY27" i="14" s="1"/>
  <c r="BZ27" i="14" s="1"/>
  <c r="BX28" i="14"/>
  <c r="BY28" i="14" s="1"/>
  <c r="BX29" i="14"/>
  <c r="BY29" i="14"/>
  <c r="BX30" i="14"/>
  <c r="BY30" i="14"/>
  <c r="BX31" i="14"/>
  <c r="BY31" i="14"/>
  <c r="BX32" i="14"/>
  <c r="BY32" i="14" s="1"/>
  <c r="BZ32" i="14" s="1"/>
  <c r="BX33" i="14"/>
  <c r="BY33" i="14" s="1"/>
  <c r="BX34" i="14"/>
  <c r="BY34" i="14" s="1"/>
  <c r="BZ34" i="14" s="1"/>
  <c r="BX35" i="14"/>
  <c r="BY35" i="14" s="1"/>
  <c r="BX36" i="14"/>
  <c r="BY36" i="14"/>
  <c r="BX37" i="14"/>
  <c r="BY37" i="14"/>
  <c r="BX38" i="14"/>
  <c r="BY38" i="14"/>
  <c r="BZ38" i="14" s="1"/>
  <c r="BX39" i="14"/>
  <c r="BY39" i="14"/>
  <c r="BX40" i="14"/>
  <c r="BY40" i="14"/>
  <c r="BX41" i="14"/>
  <c r="BY41" i="14"/>
  <c r="BX42" i="14"/>
  <c r="BY42" i="14"/>
  <c r="BX43" i="14"/>
  <c r="BY43" i="14"/>
  <c r="BX44" i="14"/>
  <c r="BY44" i="14"/>
  <c r="BX45" i="14"/>
  <c r="BY45" i="14"/>
  <c r="BX46" i="14"/>
  <c r="BY46" i="14"/>
  <c r="BX47" i="14"/>
  <c r="BY47" i="14" s="1"/>
  <c r="BX48" i="14"/>
  <c r="BY48" i="14"/>
  <c r="BX49" i="14"/>
  <c r="BY49" i="14"/>
  <c r="BX50" i="14"/>
  <c r="BY50" i="14" s="1"/>
  <c r="BX51" i="14"/>
  <c r="BY51" i="14"/>
  <c r="BX52" i="14"/>
  <c r="BY52" i="14"/>
  <c r="BX53" i="14"/>
  <c r="BY53" i="14" s="1"/>
  <c r="BX54" i="14"/>
  <c r="BY54" i="14" s="1"/>
  <c r="BX55" i="14"/>
  <c r="BY55" i="14" s="1"/>
  <c r="BX56" i="14"/>
  <c r="BY56" i="14" s="1"/>
  <c r="BX57" i="14"/>
  <c r="BY57" i="14" s="1"/>
  <c r="BX58" i="14"/>
  <c r="BY58" i="14"/>
  <c r="BX59" i="14"/>
  <c r="BY59" i="14" s="1"/>
  <c r="BX60" i="14"/>
  <c r="BY60" i="14"/>
  <c r="BX61" i="14"/>
  <c r="BY61" i="14" s="1"/>
  <c r="BX62" i="14"/>
  <c r="BY62" i="14"/>
  <c r="BX63" i="14"/>
  <c r="BY63" i="14" s="1"/>
  <c r="BX64" i="14"/>
  <c r="BY64" i="14"/>
  <c r="BX65" i="14"/>
  <c r="BY65" i="14"/>
  <c r="BX66" i="14"/>
  <c r="BY66" i="14"/>
  <c r="BX67" i="14"/>
  <c r="BY67" i="14"/>
  <c r="BX68" i="14"/>
  <c r="BY68" i="14" s="1"/>
  <c r="BX69" i="14"/>
  <c r="BY69" i="14" s="1"/>
  <c r="BX70" i="14"/>
  <c r="BY70" i="14"/>
  <c r="BX71" i="14"/>
  <c r="BY71" i="14"/>
  <c r="BX72" i="14"/>
  <c r="BY72" i="14" s="1"/>
  <c r="BX73" i="14"/>
  <c r="BY73" i="14" s="1"/>
  <c r="BX74" i="14"/>
  <c r="BY74" i="14"/>
  <c r="BX75" i="14"/>
  <c r="BY75" i="14"/>
  <c r="BX76" i="14"/>
  <c r="BY76" i="14" s="1"/>
  <c r="BX77" i="14"/>
  <c r="BY77" i="14"/>
  <c r="BX78" i="14"/>
  <c r="BY78" i="14"/>
  <c r="BX79" i="14"/>
  <c r="BY79" i="14"/>
  <c r="BX80" i="14"/>
  <c r="BY80" i="14" s="1"/>
  <c r="BX81" i="14"/>
  <c r="BY81" i="14"/>
  <c r="BX82" i="14"/>
  <c r="BY82" i="14"/>
  <c r="BZ82" i="14" s="1"/>
  <c r="BX83" i="14"/>
  <c r="BY83" i="14" s="1"/>
  <c r="BX84" i="14"/>
  <c r="BY84" i="14" s="1"/>
  <c r="BX85" i="14"/>
  <c r="BY85" i="14" s="1"/>
  <c r="BX86" i="14"/>
  <c r="BY86" i="14" s="1"/>
  <c r="BX87" i="14"/>
  <c r="BY87" i="14" s="1"/>
  <c r="BX88" i="14"/>
  <c r="BY88" i="14" s="1"/>
  <c r="BX89" i="14"/>
  <c r="BY89" i="14" s="1"/>
  <c r="BX90" i="14"/>
  <c r="BY90" i="14" s="1"/>
  <c r="BX91" i="14"/>
  <c r="BY91" i="14" s="1"/>
  <c r="BX92" i="14"/>
  <c r="BY92" i="14" s="1"/>
  <c r="BX93" i="14"/>
  <c r="BY93" i="14" s="1"/>
  <c r="BX94" i="14"/>
  <c r="BY94" i="14"/>
  <c r="BX95" i="14"/>
  <c r="BY95" i="14"/>
  <c r="BX96" i="14"/>
  <c r="BY96" i="14"/>
  <c r="BX97" i="14"/>
  <c r="BY97" i="14"/>
  <c r="BX98" i="14"/>
  <c r="BY98" i="14"/>
  <c r="BZ98" i="14" s="1"/>
  <c r="BX99" i="14"/>
  <c r="BY99" i="14"/>
  <c r="BX100" i="14"/>
  <c r="BY100" i="14"/>
  <c r="BX101" i="14"/>
  <c r="BY101" i="14"/>
  <c r="BX102" i="14"/>
  <c r="BY102" i="14"/>
  <c r="BX103" i="14"/>
  <c r="BY103" i="14"/>
  <c r="BX104" i="14"/>
  <c r="BY104" i="14"/>
  <c r="BX105" i="14"/>
  <c r="BY105" i="14"/>
  <c r="BX106" i="14"/>
  <c r="BY106" i="14"/>
  <c r="BX107" i="14"/>
  <c r="BY107" i="14"/>
  <c r="BX108" i="14"/>
  <c r="BY108" i="14"/>
  <c r="BZ108" i="14" s="1"/>
  <c r="BX109" i="14"/>
  <c r="BY109" i="14"/>
  <c r="BX110" i="14"/>
  <c r="BY110" i="14"/>
  <c r="BX111" i="14"/>
  <c r="BY111" i="14" s="1"/>
  <c r="BX112" i="14"/>
  <c r="BY112" i="14" s="1"/>
  <c r="BX113" i="14"/>
  <c r="BY113" i="14" s="1"/>
  <c r="BX114" i="14"/>
  <c r="BY114" i="14"/>
  <c r="BX115" i="14"/>
  <c r="BY115" i="14"/>
  <c r="BX116" i="14"/>
  <c r="BY116" i="14"/>
  <c r="BX117" i="14"/>
  <c r="BY117" i="14"/>
  <c r="BX118" i="14"/>
  <c r="BY118" i="14"/>
  <c r="BX119" i="14"/>
  <c r="BY119" i="14"/>
  <c r="BX120" i="14"/>
  <c r="BY120" i="14"/>
  <c r="BX121" i="14"/>
  <c r="BY121" i="14"/>
  <c r="BX122" i="14"/>
  <c r="BY122" i="14"/>
  <c r="BX123" i="14"/>
  <c r="BY123" i="14"/>
  <c r="BX124" i="14"/>
  <c r="BY124" i="14"/>
  <c r="BX125" i="14"/>
  <c r="BY125" i="14"/>
  <c r="BX126" i="14"/>
  <c r="BY126" i="14"/>
  <c r="BZ126" i="14" s="1"/>
  <c r="BX127" i="14"/>
  <c r="BY127" i="14"/>
  <c r="BX128" i="14"/>
  <c r="BY128" i="14" s="1"/>
  <c r="BX129" i="14"/>
  <c r="BY129" i="14" s="1"/>
  <c r="BX130" i="14"/>
  <c r="BY130" i="14" s="1"/>
  <c r="BX131" i="14"/>
  <c r="BY131" i="14" s="1"/>
  <c r="BX132" i="14"/>
  <c r="BY132" i="14"/>
  <c r="BX133" i="14"/>
  <c r="BY133" i="14"/>
  <c r="BX134" i="14"/>
  <c r="BY134" i="14"/>
  <c r="BX135" i="14"/>
  <c r="BY135" i="14"/>
  <c r="BX136" i="14"/>
  <c r="BY136" i="14"/>
  <c r="BX137" i="14"/>
  <c r="BY137" i="14"/>
  <c r="BX138" i="14"/>
  <c r="BY138" i="14"/>
  <c r="BX139" i="14"/>
  <c r="BY139" i="14" s="1"/>
  <c r="BZ139" i="14" s="1"/>
  <c r="BX140" i="14"/>
  <c r="BY140" i="14"/>
  <c r="BX141" i="14"/>
  <c r="BY141" i="14"/>
  <c r="BX142" i="14"/>
  <c r="BY142" i="14"/>
  <c r="BX143" i="14"/>
  <c r="BY143" i="14"/>
  <c r="BX144" i="14"/>
  <c r="BY144" i="14"/>
  <c r="BX145" i="14"/>
  <c r="BY145" i="14"/>
  <c r="BX146" i="14"/>
  <c r="BY146" i="14"/>
  <c r="BZ146" i="14" s="1"/>
  <c r="BX147" i="14"/>
  <c r="BY147" i="14"/>
  <c r="BX148" i="14"/>
  <c r="BY148" i="14"/>
  <c r="BX149" i="14"/>
  <c r="BY149" i="14"/>
  <c r="BX150" i="14"/>
  <c r="BY150" i="14"/>
  <c r="BX151" i="14"/>
  <c r="BY151" i="14" s="1"/>
  <c r="BX152" i="14"/>
  <c r="BY152" i="14"/>
  <c r="BX153" i="14"/>
  <c r="BY153" i="14"/>
  <c r="BX154" i="14"/>
  <c r="BY154" i="14"/>
  <c r="BX155" i="14"/>
  <c r="BY155" i="14"/>
  <c r="BX156" i="14"/>
  <c r="BY156" i="14"/>
  <c r="BZ156" i="14" s="1"/>
  <c r="BX157" i="14"/>
  <c r="BY157" i="14"/>
  <c r="BX158" i="14"/>
  <c r="BY158" i="14"/>
  <c r="BX159" i="14"/>
  <c r="BY159" i="14"/>
  <c r="BX160" i="14"/>
  <c r="BY160" i="14"/>
  <c r="BX161" i="14"/>
  <c r="BY161" i="14"/>
  <c r="BX162" i="14"/>
  <c r="BY162" i="14"/>
  <c r="BX163" i="14"/>
  <c r="BY163" i="14"/>
  <c r="BX164" i="14"/>
  <c r="BY164" i="14"/>
  <c r="BX165" i="14"/>
  <c r="BY165" i="14"/>
  <c r="BX166" i="14"/>
  <c r="BY166" i="14"/>
  <c r="BX167" i="14"/>
  <c r="BY167" i="14"/>
  <c r="BX168" i="14"/>
  <c r="BY168" i="14"/>
  <c r="BX169" i="14"/>
  <c r="BY169" i="14" s="1"/>
  <c r="BX170" i="14"/>
  <c r="BY170" i="14"/>
  <c r="BX171" i="14"/>
  <c r="BY171" i="14"/>
  <c r="BX172" i="14"/>
  <c r="BY172" i="14"/>
  <c r="BX173" i="14"/>
  <c r="BY173" i="14"/>
  <c r="BX174" i="14"/>
  <c r="BY174" i="14"/>
  <c r="BX175" i="14"/>
  <c r="BY175" i="14"/>
  <c r="BX176" i="14"/>
  <c r="BY176" i="14"/>
  <c r="BX177" i="14"/>
  <c r="BY177" i="14" s="1"/>
  <c r="BX178" i="14"/>
  <c r="BY178" i="14" s="1"/>
  <c r="BX179" i="14"/>
  <c r="BY179" i="14"/>
  <c r="BX180" i="14"/>
  <c r="BY180" i="14"/>
  <c r="BX181" i="14"/>
  <c r="BY181" i="14"/>
  <c r="BX182" i="14"/>
  <c r="BY182" i="14"/>
  <c r="BX183" i="14"/>
  <c r="BY183" i="14" s="1"/>
  <c r="BX184" i="14"/>
  <c r="BY184" i="14" s="1"/>
  <c r="BX185" i="14"/>
  <c r="BY185" i="14" s="1"/>
  <c r="BX186" i="14"/>
  <c r="BY186" i="14" s="1"/>
  <c r="BX187" i="14"/>
  <c r="BY187" i="14" s="1"/>
  <c r="BX188" i="14"/>
  <c r="BY188" i="14"/>
  <c r="BX189" i="14"/>
  <c r="BY189" i="14"/>
  <c r="BX190" i="14"/>
  <c r="BY190" i="14"/>
  <c r="BX191" i="14"/>
  <c r="BY191" i="14"/>
  <c r="BX192" i="14"/>
  <c r="BY192" i="14"/>
  <c r="BZ192" i="14" s="1"/>
  <c r="BX193" i="14"/>
  <c r="BY193" i="14"/>
  <c r="BX194" i="14"/>
  <c r="BY194" i="14"/>
  <c r="BX195" i="14"/>
  <c r="BY195" i="14"/>
  <c r="BX196" i="14"/>
  <c r="BY196" i="14"/>
  <c r="BX197" i="14"/>
  <c r="BY197" i="14"/>
  <c r="BX198" i="14"/>
  <c r="BY198" i="14"/>
  <c r="BX199" i="14"/>
  <c r="BY199" i="14"/>
  <c r="BX200" i="14"/>
  <c r="BY200" i="14"/>
  <c r="BX201" i="14"/>
  <c r="BY201" i="14"/>
  <c r="BX202" i="14"/>
  <c r="BY202" i="14" s="1"/>
  <c r="BX203" i="14"/>
  <c r="BY203" i="14"/>
  <c r="BX204" i="14"/>
  <c r="BY204" i="14"/>
  <c r="BX205" i="14"/>
  <c r="BY205" i="14"/>
  <c r="BX206" i="14"/>
  <c r="BY206" i="14"/>
  <c r="BX207" i="14"/>
  <c r="BY207" i="14"/>
  <c r="BX208" i="14"/>
  <c r="BY208" i="14"/>
  <c r="BX209" i="14"/>
  <c r="BY209" i="14" s="1"/>
  <c r="BX210" i="14"/>
  <c r="BY210" i="14" s="1"/>
  <c r="BX211" i="14"/>
  <c r="BY211" i="14"/>
  <c r="BX212" i="14"/>
  <c r="BY212" i="14" s="1"/>
  <c r="BX213" i="14"/>
  <c r="BY213" i="14" s="1"/>
  <c r="BX214" i="14"/>
  <c r="BY214" i="14" s="1"/>
  <c r="BX215" i="14"/>
  <c r="BY215" i="14"/>
  <c r="BX216" i="14"/>
  <c r="BY216" i="14"/>
  <c r="BX217" i="14"/>
  <c r="BY217" i="14" s="1"/>
  <c r="BX218" i="14"/>
  <c r="BY218" i="14"/>
  <c r="BX219" i="14"/>
  <c r="BY219" i="14"/>
  <c r="BX220" i="14"/>
  <c r="BY220" i="14" s="1"/>
  <c r="BX221" i="14"/>
  <c r="BY221" i="14"/>
  <c r="BX222" i="14"/>
  <c r="BY222" i="14"/>
  <c r="BX223" i="14"/>
  <c r="BY223" i="14" s="1"/>
  <c r="BX224" i="14"/>
  <c r="BY224" i="14"/>
  <c r="BX225" i="14"/>
  <c r="BY225" i="14"/>
  <c r="BX226" i="14"/>
  <c r="BY226" i="14" s="1"/>
  <c r="BZ226" i="14" s="1"/>
  <c r="BX227" i="14"/>
  <c r="BY227" i="14"/>
  <c r="BX228" i="14"/>
  <c r="BY228" i="14"/>
  <c r="BX229" i="14"/>
  <c r="BY229" i="14"/>
  <c r="BX230" i="14"/>
  <c r="BY230" i="14" s="1"/>
  <c r="BX231" i="14"/>
  <c r="BY231" i="14"/>
  <c r="BX232" i="14"/>
  <c r="BY232" i="14"/>
  <c r="BZ232" i="14" s="1"/>
  <c r="BX233" i="14"/>
  <c r="BY233" i="14"/>
  <c r="BX234" i="14"/>
  <c r="BY234" i="14" s="1"/>
  <c r="BX235" i="14"/>
  <c r="BY235" i="14" s="1"/>
  <c r="BX236" i="14"/>
  <c r="BY236" i="14"/>
  <c r="BX237" i="14"/>
  <c r="BY237" i="14"/>
  <c r="BX238" i="14"/>
  <c r="BY238" i="14"/>
  <c r="BX239" i="14"/>
  <c r="BY239" i="14"/>
  <c r="BX240" i="14"/>
  <c r="BY240" i="14"/>
  <c r="BX241" i="14"/>
  <c r="BY241" i="14"/>
  <c r="BX242" i="14"/>
  <c r="BY242" i="14"/>
  <c r="BX243" i="14"/>
  <c r="BY243" i="14"/>
  <c r="BX244" i="14"/>
  <c r="BY244" i="14"/>
  <c r="BX245" i="14"/>
  <c r="BY245" i="14"/>
  <c r="BX246" i="14"/>
  <c r="BY246" i="14"/>
  <c r="BX247" i="14"/>
  <c r="BY247" i="14"/>
  <c r="BX248" i="14"/>
  <c r="BY248" i="14"/>
  <c r="BX249" i="14"/>
  <c r="BY249" i="14"/>
  <c r="BX250" i="14"/>
  <c r="BY250" i="14"/>
  <c r="BX251" i="14"/>
  <c r="BY251" i="14"/>
  <c r="BX252" i="14"/>
  <c r="BY252" i="14"/>
  <c r="BX253" i="14"/>
  <c r="BY253" i="14"/>
  <c r="BX254" i="14"/>
  <c r="BY254" i="14"/>
  <c r="BX255" i="14"/>
  <c r="BY255" i="14"/>
  <c r="BX256" i="14"/>
  <c r="BY256" i="14"/>
  <c r="BX257" i="14"/>
  <c r="BY257" i="14"/>
  <c r="BX258" i="14"/>
  <c r="BY258" i="14" s="1"/>
  <c r="BZ258" i="14" s="1"/>
  <c r="BX260" i="14"/>
  <c r="BY260" i="14"/>
  <c r="BX261" i="14"/>
  <c r="BY261" i="14"/>
  <c r="BX262" i="14"/>
  <c r="BY262" i="14"/>
  <c r="BX263" i="14"/>
  <c r="BY263" i="14"/>
  <c r="BX264" i="14"/>
  <c r="BY264" i="14"/>
  <c r="BX265" i="14"/>
  <c r="BY265" i="14"/>
  <c r="BX266" i="14"/>
  <c r="BY266" i="14" s="1"/>
  <c r="BX267" i="14"/>
  <c r="BY267" i="14"/>
  <c r="BX268" i="14"/>
  <c r="BY268" i="14"/>
  <c r="BX269" i="14"/>
  <c r="BY269" i="14" s="1"/>
  <c r="BX270" i="14"/>
  <c r="BY270" i="14" s="1"/>
  <c r="BX271" i="14"/>
  <c r="BY271" i="14"/>
  <c r="BX272" i="14"/>
  <c r="BY272" i="14"/>
  <c r="BX273" i="14"/>
  <c r="BY273" i="14" s="1"/>
  <c r="BX274" i="14"/>
  <c r="BY274" i="14"/>
  <c r="BX275" i="14"/>
  <c r="BY275" i="14"/>
  <c r="BX276" i="14"/>
  <c r="BY276" i="14"/>
  <c r="BX277" i="14"/>
  <c r="BY277" i="14" s="1"/>
  <c r="BX278" i="14"/>
  <c r="BY278" i="14"/>
  <c r="BX279" i="14"/>
  <c r="BY279" i="14"/>
  <c r="BX280" i="14"/>
  <c r="BY280" i="14"/>
  <c r="BX281" i="14"/>
  <c r="BY281" i="14" s="1"/>
  <c r="BX282" i="14"/>
  <c r="BY282" i="14" s="1"/>
  <c r="BX283" i="14"/>
  <c r="BY283" i="14" s="1"/>
  <c r="BX284" i="14"/>
  <c r="BY284" i="14" s="1"/>
  <c r="BX285" i="14"/>
  <c r="BY285" i="14"/>
  <c r="BX286" i="14"/>
  <c r="BY286" i="14"/>
  <c r="BX287" i="14"/>
  <c r="BY287" i="14" s="1"/>
  <c r="BZ287" i="14" s="1"/>
  <c r="BX288" i="14"/>
  <c r="BY288" i="14" s="1"/>
  <c r="BX289" i="14"/>
  <c r="BY289" i="14"/>
  <c r="BX290" i="14"/>
  <c r="BY290" i="14"/>
  <c r="BX291" i="14"/>
  <c r="BY291" i="14" s="1"/>
  <c r="BX292" i="14"/>
  <c r="BY292" i="14"/>
  <c r="BX293" i="14"/>
  <c r="BY293" i="14"/>
  <c r="BX294" i="14"/>
  <c r="BY294" i="14"/>
  <c r="BX295" i="14"/>
  <c r="BY295" i="14" s="1"/>
  <c r="BX296" i="14"/>
  <c r="BY296" i="14"/>
  <c r="BX297" i="14"/>
  <c r="BY297" i="14"/>
  <c r="BX298" i="14"/>
  <c r="BY298" i="14" s="1"/>
  <c r="BX299" i="14"/>
  <c r="BY299" i="14" s="1"/>
  <c r="BX300" i="14"/>
  <c r="BY300" i="14"/>
  <c r="BZ300" i="14" s="1"/>
  <c r="BX301" i="14"/>
  <c r="BY301" i="14"/>
  <c r="BX302" i="14"/>
  <c r="BY302" i="14" s="1"/>
  <c r="BX303" i="14"/>
  <c r="BY303" i="14" s="1"/>
  <c r="BX304" i="14"/>
  <c r="BY304" i="14" s="1"/>
  <c r="BX305" i="14"/>
  <c r="BY305" i="14"/>
  <c r="BX306" i="14"/>
  <c r="BY306" i="14"/>
  <c r="BX307" i="14"/>
  <c r="BY307" i="14" s="1"/>
  <c r="BX308" i="14"/>
  <c r="BY308" i="14"/>
  <c r="BX309" i="14"/>
  <c r="BY309" i="14"/>
  <c r="BZ309" i="14" s="1"/>
  <c r="BX310" i="14"/>
  <c r="BY310" i="14"/>
  <c r="BX311" i="14"/>
  <c r="BY311" i="14"/>
  <c r="BX312" i="14"/>
  <c r="BY312" i="14" s="1"/>
  <c r="BX313" i="14"/>
  <c r="BY313" i="14"/>
  <c r="BX314" i="14"/>
  <c r="BY314" i="14" s="1"/>
  <c r="BX315" i="14"/>
  <c r="BY315" i="14"/>
  <c r="BX316" i="14"/>
  <c r="BY316" i="14"/>
  <c r="BX317" i="14"/>
  <c r="BY317" i="14"/>
  <c r="BX318" i="14"/>
  <c r="BY318" i="14"/>
  <c r="BX319" i="14"/>
  <c r="BY319" i="14"/>
  <c r="BX320" i="14"/>
  <c r="BY320" i="14"/>
  <c r="BX321" i="14"/>
  <c r="BY321" i="14"/>
  <c r="BX322" i="14"/>
  <c r="BY322" i="14"/>
  <c r="BX323" i="14"/>
  <c r="BY323" i="14"/>
  <c r="BX324" i="14"/>
  <c r="BY324" i="14"/>
  <c r="BX325" i="14"/>
  <c r="BY325" i="14"/>
  <c r="BX326" i="14"/>
  <c r="BY326" i="14"/>
  <c r="BX327" i="14"/>
  <c r="BY327" i="14"/>
  <c r="BX328" i="14"/>
  <c r="BY328" i="14"/>
  <c r="BX329" i="14"/>
  <c r="BY329" i="14"/>
  <c r="BX330" i="14"/>
  <c r="BY330" i="14"/>
  <c r="BX331" i="14"/>
  <c r="BY331" i="14"/>
  <c r="BX332" i="14"/>
  <c r="BY332" i="14"/>
  <c r="BX333" i="14"/>
  <c r="BY333" i="14"/>
  <c r="BX334" i="14"/>
  <c r="BY334" i="14"/>
  <c r="BX335" i="14"/>
  <c r="BY335" i="14"/>
  <c r="BX336" i="14"/>
  <c r="BY336" i="14"/>
  <c r="BX337" i="14"/>
  <c r="BY337" i="14"/>
  <c r="BX338" i="14"/>
  <c r="BY338" i="14"/>
  <c r="BX339" i="14"/>
  <c r="BY339" i="14" s="1"/>
  <c r="BX340" i="14"/>
  <c r="BY340" i="14" s="1"/>
  <c r="BX341" i="14"/>
  <c r="BY341" i="14" s="1"/>
  <c r="BX342" i="14"/>
  <c r="BY342" i="14"/>
  <c r="BX343" i="14"/>
  <c r="BY343" i="14"/>
  <c r="BX344" i="14"/>
  <c r="BY344" i="14" s="1"/>
  <c r="BX345" i="14"/>
  <c r="BY345" i="14"/>
  <c r="BX346" i="14"/>
  <c r="BY346" i="14"/>
  <c r="BX347" i="14"/>
  <c r="BY347" i="14"/>
  <c r="BX348" i="14"/>
  <c r="BY348" i="14"/>
  <c r="BX349" i="14"/>
  <c r="BY349" i="14"/>
  <c r="BX350" i="14"/>
  <c r="BY350" i="14" s="1"/>
  <c r="BX351" i="14"/>
  <c r="BY351" i="14"/>
  <c r="BX352" i="14"/>
  <c r="BY352" i="14"/>
  <c r="BX353" i="14"/>
  <c r="BY353" i="14"/>
  <c r="BX354" i="14"/>
  <c r="BY354" i="14" s="1"/>
  <c r="BX355" i="14"/>
  <c r="BY355" i="14"/>
  <c r="BX356" i="14"/>
  <c r="BY356" i="14"/>
  <c r="BX357" i="14"/>
  <c r="BY357" i="14"/>
  <c r="BX358" i="14"/>
  <c r="BY358" i="14"/>
  <c r="BX359" i="14"/>
  <c r="BY359" i="14"/>
  <c r="BX360" i="14"/>
  <c r="BY360" i="14"/>
  <c r="BX361" i="14"/>
  <c r="BY361" i="14" s="1"/>
  <c r="BX362" i="14"/>
  <c r="BY362" i="14" s="1"/>
  <c r="BX363" i="14"/>
  <c r="BY363" i="14" s="1"/>
  <c r="BX364" i="14"/>
  <c r="BY364" i="14" s="1"/>
  <c r="BX365" i="14"/>
  <c r="BY365" i="14"/>
  <c r="BX366" i="14"/>
  <c r="BY366" i="14"/>
  <c r="BX367" i="14"/>
  <c r="BY367" i="14"/>
  <c r="BX368" i="14"/>
  <c r="BY368" i="14"/>
  <c r="BX369" i="14"/>
  <c r="BY369" i="14"/>
  <c r="BX370" i="14"/>
  <c r="BY370" i="14"/>
  <c r="BX371" i="14"/>
  <c r="BY371" i="14"/>
  <c r="BX372" i="14"/>
  <c r="BY372" i="14"/>
  <c r="BX373" i="14"/>
  <c r="BY373" i="14"/>
  <c r="BX374" i="14"/>
  <c r="BY374" i="14"/>
  <c r="BX375" i="14"/>
  <c r="BY375" i="14"/>
  <c r="BX376" i="14"/>
  <c r="BY376" i="14"/>
  <c r="BX377" i="14"/>
  <c r="BY377" i="14"/>
  <c r="BX378" i="14"/>
  <c r="BY378" i="14"/>
  <c r="BX379" i="14"/>
  <c r="BY379" i="14"/>
  <c r="BX380" i="14"/>
  <c r="BY380" i="14"/>
  <c r="BX381" i="14"/>
  <c r="BY381" i="14"/>
  <c r="BX382" i="14"/>
  <c r="BY382" i="14"/>
  <c r="BX383" i="14"/>
  <c r="BY383" i="14"/>
  <c r="BX384" i="14"/>
  <c r="BY384" i="14"/>
  <c r="BX385" i="14"/>
  <c r="BY385" i="14"/>
  <c r="BX386" i="14"/>
  <c r="BY386" i="14"/>
  <c r="BX387" i="14"/>
  <c r="BY387" i="14"/>
  <c r="BX388" i="14"/>
  <c r="BY388" i="14"/>
  <c r="BX389" i="14"/>
  <c r="BY389" i="14"/>
  <c r="BX390" i="14"/>
  <c r="BY390" i="14"/>
  <c r="BX391" i="14"/>
  <c r="BY391" i="14"/>
  <c r="BX392" i="14"/>
  <c r="BY392" i="14"/>
  <c r="BX393" i="14"/>
  <c r="BY393" i="14"/>
  <c r="BX394" i="14"/>
  <c r="BY394" i="14"/>
  <c r="BX395" i="14"/>
  <c r="BY395" i="14"/>
  <c r="BX396" i="14"/>
  <c r="BY396" i="14"/>
  <c r="BX397" i="14"/>
  <c r="BY397" i="14"/>
  <c r="BX398" i="14"/>
  <c r="BY398" i="14"/>
  <c r="BX399" i="14"/>
  <c r="BY399" i="14"/>
  <c r="BX400" i="14"/>
  <c r="BY400" i="14"/>
  <c r="BX401" i="14"/>
  <c r="BY401" i="14"/>
  <c r="BX402" i="14"/>
  <c r="BY402" i="14"/>
  <c r="BX403" i="14"/>
  <c r="BY403" i="14"/>
  <c r="BX404" i="14"/>
  <c r="BY404" i="14"/>
  <c r="BX405" i="14"/>
  <c r="BY405" i="14"/>
  <c r="BX406" i="14"/>
  <c r="BY406" i="14"/>
  <c r="BX407" i="14"/>
  <c r="BY407" i="14"/>
  <c r="BX408" i="14"/>
  <c r="BY408" i="14"/>
  <c r="BX409" i="14"/>
  <c r="BY409" i="14"/>
  <c r="BX410" i="14"/>
  <c r="BY410" i="14"/>
  <c r="BX411" i="14"/>
  <c r="BY411" i="14"/>
  <c r="BX412" i="14"/>
  <c r="BY412" i="14"/>
  <c r="BX413" i="14"/>
  <c r="BY413" i="14"/>
  <c r="BX414" i="14"/>
  <c r="BY414" i="14"/>
  <c r="BX415" i="14"/>
  <c r="BY415" i="14"/>
  <c r="BX416" i="14"/>
  <c r="BY416" i="14"/>
  <c r="BX417" i="14"/>
  <c r="BY417" i="14"/>
  <c r="BX418" i="14"/>
  <c r="BY418" i="14"/>
  <c r="BX419" i="14"/>
  <c r="BY419" i="14"/>
  <c r="BX420" i="14"/>
  <c r="BY420" i="14"/>
  <c r="BX421" i="14"/>
  <c r="BY421" i="14"/>
  <c r="BX422" i="14"/>
  <c r="BY422" i="14"/>
  <c r="BX423" i="14"/>
  <c r="BY423" i="14"/>
  <c r="BX424" i="14"/>
  <c r="BY424" i="14"/>
  <c r="BX425" i="14"/>
  <c r="BY425" i="14"/>
  <c r="BX426" i="14"/>
  <c r="BY426" i="14"/>
  <c r="BX427" i="14"/>
  <c r="BY427" i="14"/>
  <c r="BX428" i="14"/>
  <c r="BY428" i="14"/>
  <c r="BX429" i="14"/>
  <c r="BY429" i="14"/>
  <c r="BX430" i="14"/>
  <c r="BY430" i="14"/>
  <c r="BX431" i="14"/>
  <c r="BY431" i="14"/>
  <c r="BX432" i="14"/>
  <c r="BY432" i="14"/>
  <c r="BX433" i="14"/>
  <c r="BY433" i="14"/>
  <c r="BX434" i="14"/>
  <c r="BY434" i="14"/>
  <c r="BX435" i="14"/>
  <c r="BY435" i="14"/>
  <c r="BX436" i="14"/>
  <c r="BY436" i="14"/>
  <c r="BX437" i="14"/>
  <c r="BY437" i="14"/>
  <c r="BX438" i="14"/>
  <c r="BY438" i="14"/>
  <c r="BX439" i="14"/>
  <c r="BY439" i="14"/>
  <c r="BX440" i="14"/>
  <c r="BY440" i="14"/>
  <c r="BX441" i="14"/>
  <c r="BY441" i="14"/>
  <c r="BX442" i="14"/>
  <c r="BY442" i="14"/>
  <c r="BX443" i="14"/>
  <c r="BY443" i="14"/>
  <c r="BX444" i="14"/>
  <c r="BY444" i="14"/>
  <c r="BX445" i="14"/>
  <c r="BY445" i="14"/>
  <c r="BX446" i="14"/>
  <c r="BY446" i="14"/>
  <c r="BX447" i="14"/>
  <c r="BY447" i="14"/>
  <c r="BX448" i="14"/>
  <c r="BY448" i="14"/>
  <c r="BX449" i="14"/>
  <c r="BY449" i="14"/>
  <c r="BX450" i="14"/>
  <c r="BY450" i="14"/>
  <c r="BX451" i="14"/>
  <c r="BY451" i="14"/>
  <c r="BX452" i="14"/>
  <c r="BY452" i="14"/>
  <c r="BX453" i="14"/>
  <c r="BY453" i="14"/>
  <c r="BX454" i="14"/>
  <c r="BY454" i="14"/>
  <c r="BX455" i="14"/>
  <c r="BY455" i="14"/>
  <c r="BX456" i="14"/>
  <c r="BY456" i="14"/>
  <c r="BX457" i="14"/>
  <c r="BY457" i="14"/>
  <c r="BX458" i="14"/>
  <c r="BY458" i="14"/>
  <c r="BX459" i="14"/>
  <c r="BY459" i="14"/>
  <c r="BX460" i="14"/>
  <c r="BY460" i="14"/>
  <c r="BX461" i="14"/>
  <c r="BY461" i="14"/>
  <c r="BX462" i="14"/>
  <c r="BY462" i="14"/>
  <c r="BX463" i="14"/>
  <c r="BY463" i="14"/>
  <c r="BX464" i="14"/>
  <c r="BY464" i="14"/>
  <c r="BX465" i="14"/>
  <c r="BY465" i="14"/>
  <c r="BX466" i="14"/>
  <c r="BY466" i="14"/>
  <c r="BX467" i="14"/>
  <c r="BY467" i="14"/>
  <c r="BX468" i="14"/>
  <c r="BY468" i="14"/>
  <c r="BX469" i="14"/>
  <c r="BY469" i="14"/>
  <c r="BX470" i="14"/>
  <c r="BY470" i="14"/>
  <c r="BX471" i="14"/>
  <c r="BY471" i="14"/>
  <c r="BX472" i="14"/>
  <c r="BY472" i="14"/>
  <c r="BX473" i="14"/>
  <c r="BY473" i="14"/>
  <c r="BX474" i="14"/>
  <c r="BY474" i="14"/>
  <c r="BX475" i="14"/>
  <c r="BY475" i="14"/>
  <c r="BX476" i="14"/>
  <c r="BY476" i="14"/>
  <c r="BX477" i="14"/>
  <c r="BY477" i="14"/>
  <c r="BX478" i="14"/>
  <c r="BY478" i="14"/>
  <c r="BX479" i="14"/>
  <c r="BY479" i="14"/>
  <c r="BX480" i="14"/>
  <c r="BY480" i="14"/>
  <c r="BX481" i="14"/>
  <c r="BY481" i="14"/>
  <c r="BX482" i="14"/>
  <c r="BY482" i="14"/>
  <c r="BX483" i="14"/>
  <c r="BY483" i="14"/>
  <c r="BX484" i="14"/>
  <c r="BY484" i="14"/>
  <c r="BX485" i="14"/>
  <c r="BY485" i="14"/>
  <c r="BX486" i="14"/>
  <c r="BY486" i="14"/>
  <c r="BX487" i="14"/>
  <c r="BY487" i="14"/>
  <c r="BX488" i="14"/>
  <c r="BY488" i="14"/>
  <c r="BX489" i="14"/>
  <c r="BY489" i="14"/>
  <c r="BX490" i="14"/>
  <c r="BY490" i="14"/>
  <c r="BX491" i="14"/>
  <c r="BY491" i="14"/>
  <c r="BX492" i="14"/>
  <c r="BY492" i="14"/>
  <c r="BX493" i="14"/>
  <c r="BY493" i="14"/>
  <c r="BX494" i="14"/>
  <c r="BY494" i="14"/>
  <c r="BX495" i="14"/>
  <c r="BY495" i="14"/>
  <c r="BX496" i="14"/>
  <c r="BY496" i="14"/>
  <c r="BX497" i="14"/>
  <c r="BY497" i="14"/>
  <c r="BX498" i="14"/>
  <c r="BY498" i="14"/>
  <c r="BX499" i="14"/>
  <c r="BY499" i="14"/>
  <c r="BX500" i="14"/>
  <c r="BY500" i="14"/>
  <c r="BX501" i="14"/>
  <c r="BY501" i="14"/>
  <c r="BX502" i="14"/>
  <c r="BY502" i="14"/>
  <c r="BX503" i="14"/>
  <c r="BY503" i="14"/>
  <c r="BX504" i="14"/>
  <c r="BY504" i="14"/>
  <c r="BX505" i="14"/>
  <c r="BY505" i="14"/>
  <c r="BX506" i="14"/>
  <c r="BY506" i="14"/>
  <c r="BX507" i="14"/>
  <c r="BY507" i="14"/>
  <c r="BX508" i="14"/>
  <c r="BY508" i="14"/>
  <c r="BX509" i="14"/>
  <c r="BY509" i="14"/>
  <c r="BX510" i="14"/>
  <c r="BY510" i="14"/>
  <c r="BX511" i="14"/>
  <c r="BY511" i="14"/>
  <c r="BX512" i="14"/>
  <c r="BY512" i="14"/>
  <c r="BX513" i="14"/>
  <c r="BY513" i="14"/>
  <c r="BX514" i="14"/>
  <c r="BY514" i="14"/>
  <c r="BX515" i="14"/>
  <c r="BY515" i="14"/>
  <c r="BX516" i="14"/>
  <c r="BY516" i="14"/>
  <c r="BX517" i="14"/>
  <c r="BY517" i="14"/>
  <c r="BX518" i="14"/>
  <c r="BY518" i="14"/>
  <c r="BX519" i="14"/>
  <c r="BY519" i="14"/>
  <c r="BX520" i="14"/>
  <c r="BY520" i="14"/>
  <c r="BX521" i="14"/>
  <c r="BY521" i="14"/>
  <c r="BX522" i="14"/>
  <c r="BY522" i="14" s="1"/>
  <c r="BX523" i="14"/>
  <c r="BY523" i="14" s="1"/>
  <c r="BX524" i="14"/>
  <c r="BY524" i="14" s="1"/>
  <c r="BX525" i="14"/>
  <c r="BY525" i="14" s="1"/>
  <c r="BX526" i="14"/>
  <c r="BY526" i="14" s="1"/>
  <c r="BX527" i="14"/>
  <c r="BY527" i="14" s="1"/>
  <c r="BX528" i="14"/>
  <c r="BY528" i="14" s="1"/>
  <c r="BX529" i="14"/>
  <c r="BY529" i="14" s="1"/>
  <c r="BX530" i="14"/>
  <c r="BY530" i="14"/>
  <c r="BX531" i="14"/>
  <c r="BY531" i="14"/>
  <c r="BX532" i="14"/>
  <c r="BY532" i="14"/>
  <c r="BX533" i="14"/>
  <c r="BY533" i="14" s="1"/>
  <c r="BX534" i="14"/>
  <c r="BY534" i="14"/>
  <c r="BX535" i="14"/>
  <c r="BY535" i="14"/>
  <c r="BX536" i="14"/>
  <c r="BY536" i="14"/>
  <c r="BX537" i="14"/>
  <c r="BY537" i="14"/>
  <c r="BX538" i="14"/>
  <c r="BY538" i="14"/>
  <c r="BX539" i="14"/>
  <c r="BY539" i="14"/>
  <c r="BX540" i="14"/>
  <c r="BY540" i="14"/>
  <c r="BX541" i="14"/>
  <c r="BY541" i="14"/>
  <c r="BX542" i="14"/>
  <c r="BY542" i="14"/>
  <c r="BX543" i="14"/>
  <c r="BY543" i="14"/>
  <c r="BX544" i="14"/>
  <c r="BY544" i="14"/>
  <c r="BX545" i="14"/>
  <c r="BY545" i="14"/>
  <c r="BX546" i="14"/>
  <c r="BY546" i="14"/>
  <c r="BX547" i="14"/>
  <c r="BY547" i="14"/>
  <c r="BX548" i="14"/>
  <c r="BY548" i="14"/>
  <c r="BX549" i="14"/>
  <c r="BY549" i="14"/>
  <c r="BX550" i="14"/>
  <c r="BY550" i="14"/>
  <c r="BX551" i="14"/>
  <c r="BY551" i="14"/>
  <c r="BX552" i="14"/>
  <c r="BY552" i="14"/>
  <c r="BX553" i="14"/>
  <c r="BY553" i="14" s="1"/>
  <c r="BX554" i="14"/>
  <c r="BY554" i="14"/>
  <c r="BX555" i="14"/>
  <c r="BY555" i="14" s="1"/>
  <c r="BX556" i="14"/>
  <c r="BY556" i="14"/>
  <c r="BX557" i="14"/>
  <c r="BY557" i="14"/>
  <c r="BX558" i="14"/>
  <c r="BY558" i="14"/>
  <c r="BX559" i="14"/>
  <c r="BY559" i="14" s="1"/>
  <c r="BX560" i="14"/>
  <c r="BY560" i="14" s="1"/>
  <c r="BX561" i="14"/>
  <c r="BY561" i="14"/>
  <c r="BX562" i="14"/>
  <c r="BY562" i="14"/>
  <c r="BX563" i="14"/>
  <c r="BY563" i="14"/>
  <c r="BX564" i="14"/>
  <c r="BY564" i="14"/>
  <c r="BX565" i="14"/>
  <c r="BY565" i="14" s="1"/>
  <c r="BX566" i="14"/>
  <c r="BY566" i="14" s="1"/>
  <c r="BX567" i="14"/>
  <c r="BY567" i="14" s="1"/>
  <c r="BX568" i="14"/>
  <c r="BY568" i="14"/>
  <c r="BX569" i="14"/>
  <c r="BY569" i="14" s="1"/>
  <c r="BX570" i="14"/>
  <c r="BY570" i="14" s="1"/>
  <c r="BZ570" i="14" s="1"/>
  <c r="BX571" i="14"/>
  <c r="BY571" i="14" s="1"/>
  <c r="BX572" i="14"/>
  <c r="BY572" i="14" s="1"/>
  <c r="BZ572" i="14" s="1"/>
  <c r="BX573" i="14"/>
  <c r="BY573" i="14" s="1"/>
  <c r="BX574" i="14"/>
  <c r="BY574" i="14" s="1"/>
  <c r="BX575" i="14"/>
  <c r="BY575" i="14" s="1"/>
  <c r="BX576" i="14"/>
  <c r="BY576" i="14" s="1"/>
  <c r="BX577" i="14"/>
  <c r="BY577" i="14" s="1"/>
  <c r="BX578" i="14"/>
  <c r="BY578" i="14" s="1"/>
  <c r="BX579" i="14"/>
  <c r="BY579" i="14" s="1"/>
  <c r="BX580" i="14"/>
  <c r="BY580" i="14" s="1"/>
  <c r="BX581" i="14"/>
  <c r="BY581" i="14" s="1"/>
  <c r="BX582" i="14"/>
  <c r="BY582" i="14" s="1"/>
  <c r="BX583" i="14"/>
  <c r="BY583" i="14"/>
  <c r="BX584" i="14"/>
  <c r="BY584" i="14"/>
  <c r="BX585" i="14"/>
  <c r="BY585" i="14"/>
  <c r="BX586" i="14"/>
  <c r="BY586" i="14"/>
  <c r="BX587" i="14"/>
  <c r="BY587" i="14" s="1"/>
  <c r="BX588" i="14"/>
  <c r="BY588" i="14" s="1"/>
  <c r="BX589" i="14"/>
  <c r="BY589" i="14" s="1"/>
  <c r="BX590" i="14"/>
  <c r="BY590" i="14" s="1"/>
  <c r="BX591" i="14"/>
  <c r="BY591" i="14" s="1"/>
  <c r="BX592" i="14"/>
  <c r="BY592" i="14" s="1"/>
  <c r="BX593" i="14"/>
  <c r="BY593" i="14"/>
  <c r="BX594" i="14"/>
  <c r="BY594" i="14"/>
  <c r="BX595" i="14"/>
  <c r="BY595" i="14" s="1"/>
  <c r="BX596" i="14"/>
  <c r="BY596" i="14"/>
  <c r="BX597" i="14"/>
  <c r="BY597" i="14"/>
  <c r="BX598" i="14"/>
  <c r="BY598" i="14"/>
  <c r="BX599" i="14"/>
  <c r="BY599" i="14" s="1"/>
  <c r="BX600" i="14"/>
  <c r="BY600" i="14" s="1"/>
  <c r="BX601" i="14"/>
  <c r="BY601" i="14"/>
  <c r="BX602" i="14"/>
  <c r="BY602" i="14"/>
  <c r="BX603" i="14"/>
  <c r="BY603" i="14" s="1"/>
  <c r="BX604" i="14"/>
  <c r="BY604" i="14"/>
  <c r="BX605" i="14"/>
  <c r="BY605" i="14"/>
  <c r="BX606" i="14"/>
  <c r="BY606" i="14" s="1"/>
  <c r="BZ606" i="14" s="1"/>
  <c r="BX607" i="14"/>
  <c r="BY607" i="14"/>
  <c r="BX608" i="14"/>
  <c r="BY608" i="14"/>
  <c r="BX609" i="14"/>
  <c r="BY609" i="14"/>
  <c r="BX610" i="14"/>
  <c r="BY610" i="14" s="1"/>
  <c r="BZ610" i="14" s="1"/>
  <c r="BX611" i="14"/>
  <c r="BY611" i="14" s="1"/>
  <c r="BX612" i="14"/>
  <c r="BY612" i="14" s="1"/>
  <c r="BX613" i="14"/>
  <c r="BY613" i="14"/>
  <c r="BX614" i="14"/>
  <c r="BY614" i="14"/>
  <c r="BX615" i="14"/>
  <c r="BY615" i="14"/>
  <c r="BX616" i="14"/>
  <c r="BY616" i="14"/>
  <c r="BX617" i="14"/>
  <c r="BY617" i="14"/>
  <c r="BX618" i="14"/>
  <c r="BY618" i="14"/>
  <c r="BX619" i="14"/>
  <c r="BY619" i="14"/>
  <c r="BX620" i="14"/>
  <c r="BY620" i="14"/>
  <c r="BX621" i="14"/>
  <c r="BY621" i="14"/>
  <c r="BX622" i="14"/>
  <c r="BY622" i="14"/>
  <c r="BX623" i="14"/>
  <c r="BY623" i="14"/>
  <c r="BX624" i="14"/>
  <c r="BY624" i="14"/>
  <c r="BX625" i="14"/>
  <c r="BY625" i="14"/>
  <c r="BX626" i="14"/>
  <c r="BY626" i="14"/>
  <c r="BX627" i="14"/>
  <c r="BY627" i="14"/>
  <c r="BX628" i="14"/>
  <c r="BY628" i="14"/>
  <c r="BX629" i="14"/>
  <c r="BY629" i="14"/>
  <c r="BX630" i="14"/>
  <c r="BY630" i="14" s="1"/>
  <c r="BX631" i="14"/>
  <c r="BY631" i="14" s="1"/>
  <c r="BX632" i="14"/>
  <c r="BY632" i="14" s="1"/>
  <c r="BX633" i="14"/>
  <c r="BY633" i="14" s="1"/>
  <c r="BX634" i="14"/>
  <c r="BY634" i="14" s="1"/>
  <c r="BX635" i="14"/>
  <c r="BY635" i="14"/>
  <c r="BX636" i="14"/>
  <c r="BY636" i="14"/>
  <c r="BX637" i="14"/>
  <c r="BY637" i="14" s="1"/>
  <c r="BX638" i="14"/>
  <c r="BY638" i="14" s="1"/>
  <c r="BX639" i="14"/>
  <c r="BY639" i="14" s="1"/>
  <c r="BZ639" i="14" s="1"/>
  <c r="BX640" i="14"/>
  <c r="BY640" i="14" s="1"/>
  <c r="BX641" i="14"/>
  <c r="BY641" i="14"/>
  <c r="BX642" i="14"/>
  <c r="BY642" i="14"/>
  <c r="BX643" i="14"/>
  <c r="BY643" i="14"/>
  <c r="BX644" i="14"/>
  <c r="BY644" i="14"/>
  <c r="BX645" i="14"/>
  <c r="BY645" i="14"/>
  <c r="BX646" i="14"/>
  <c r="BY646" i="14"/>
  <c r="BX647" i="14"/>
  <c r="BY647" i="14"/>
  <c r="BX648" i="14"/>
  <c r="BY648" i="14"/>
  <c r="BX649" i="14"/>
  <c r="BY649" i="14"/>
  <c r="BX650" i="14"/>
  <c r="BY650" i="14"/>
  <c r="BX651" i="14"/>
  <c r="BY651" i="14"/>
  <c r="BX652" i="14"/>
  <c r="BY652" i="14"/>
  <c r="BX653" i="14"/>
  <c r="BY653" i="14"/>
  <c r="BX654" i="14"/>
  <c r="BY654" i="14"/>
  <c r="BX655" i="14"/>
  <c r="BY655" i="14"/>
  <c r="BX656" i="14"/>
  <c r="BY656" i="14"/>
  <c r="BX657" i="14"/>
  <c r="BY657" i="14"/>
  <c r="BX658" i="14"/>
  <c r="BY658" i="14"/>
  <c r="BX659" i="14"/>
  <c r="BY659" i="14"/>
  <c r="BX660" i="14"/>
  <c r="BY660" i="14"/>
  <c r="BX661" i="14"/>
  <c r="BY661" i="14"/>
  <c r="BX662" i="14"/>
  <c r="BY662" i="14"/>
  <c r="BX663" i="14"/>
  <c r="BY663" i="14" s="1"/>
  <c r="BX664" i="14"/>
  <c r="BY664" i="14" s="1"/>
  <c r="BX665" i="14"/>
  <c r="BY665" i="14" s="1"/>
  <c r="BX666" i="14"/>
  <c r="BY666" i="14" s="1"/>
  <c r="BX667" i="14"/>
  <c r="BY667" i="14" s="1"/>
  <c r="BX668" i="14"/>
  <c r="BY668" i="14" s="1"/>
  <c r="BZ668" i="14" s="1"/>
  <c r="BX669" i="14"/>
  <c r="BY669" i="14" s="1"/>
  <c r="BX670" i="14"/>
  <c r="BY670" i="14" s="1"/>
  <c r="BX671" i="14"/>
  <c r="BY671" i="14"/>
  <c r="BX672" i="14"/>
  <c r="BY672" i="14"/>
  <c r="BX673" i="14"/>
  <c r="BY673" i="14"/>
  <c r="BX674" i="14"/>
  <c r="BY674" i="14"/>
  <c r="BX675" i="14"/>
  <c r="BY675" i="14"/>
  <c r="BX676" i="14"/>
  <c r="BY676" i="14" s="1"/>
  <c r="BX677" i="14"/>
  <c r="BY677" i="14" s="1"/>
  <c r="BX678" i="14"/>
  <c r="BY678" i="14" s="1"/>
  <c r="BZ678" i="14" s="1"/>
  <c r="BX679" i="14"/>
  <c r="BY679" i="14" s="1"/>
  <c r="BX680" i="14"/>
  <c r="BY680" i="14" s="1"/>
  <c r="BX681" i="14"/>
  <c r="BY681" i="14"/>
  <c r="BX682" i="14"/>
  <c r="BY682" i="14"/>
  <c r="BX683" i="14"/>
  <c r="BY683" i="14"/>
  <c r="BX684" i="14"/>
  <c r="BY684" i="14"/>
  <c r="BX685" i="14"/>
  <c r="BY685" i="14"/>
  <c r="BX686" i="14"/>
  <c r="BY686" i="14"/>
  <c r="BX687" i="14"/>
  <c r="BY687" i="14"/>
  <c r="BX688" i="14"/>
  <c r="BY688" i="14"/>
  <c r="BX689" i="14"/>
  <c r="BY689" i="14"/>
  <c r="BX690" i="14"/>
  <c r="BY690" i="14"/>
  <c r="BX691" i="14"/>
  <c r="BY691" i="14"/>
  <c r="BX692" i="14"/>
  <c r="BY692" i="14"/>
  <c r="BX693" i="14"/>
  <c r="BY693" i="14"/>
  <c r="BX694" i="14"/>
  <c r="BY694" i="14"/>
  <c r="BX695" i="14"/>
  <c r="BY695" i="14"/>
  <c r="BX696" i="14"/>
  <c r="BY696" i="14"/>
  <c r="BX697" i="14"/>
  <c r="BY697" i="14" s="1"/>
  <c r="BX698" i="14"/>
  <c r="BY698" i="14"/>
  <c r="BX699" i="14"/>
  <c r="BY699" i="14"/>
  <c r="BX700" i="14"/>
  <c r="BY700" i="14"/>
  <c r="BX701" i="14"/>
  <c r="BY701" i="14" s="1"/>
  <c r="BX702" i="14"/>
  <c r="BY702" i="14" s="1"/>
  <c r="BX703" i="14"/>
  <c r="BY703" i="14"/>
  <c r="BX704" i="14"/>
  <c r="BY704" i="14"/>
  <c r="BX705" i="14"/>
  <c r="BY705" i="14" s="1"/>
  <c r="BX706" i="14"/>
  <c r="BY706" i="14" s="1"/>
  <c r="BX707" i="14"/>
  <c r="BY707" i="14" s="1"/>
  <c r="BX708" i="14"/>
  <c r="BY708" i="14" s="1"/>
  <c r="BZ708" i="14" s="1"/>
  <c r="BX709" i="14"/>
  <c r="BY709" i="14" s="1"/>
  <c r="BX710" i="14"/>
  <c r="BY710" i="14" s="1"/>
  <c r="BX711" i="14"/>
  <c r="BY711" i="14" s="1"/>
  <c r="BX712" i="14"/>
  <c r="BY712" i="14"/>
  <c r="BX713" i="14"/>
  <c r="BY713" i="14"/>
  <c r="BX714" i="14"/>
  <c r="BY714" i="14"/>
  <c r="BX715" i="14"/>
  <c r="BY715" i="14"/>
  <c r="BX716" i="14"/>
  <c r="BY716" i="14"/>
  <c r="BX717" i="14"/>
  <c r="BY717" i="14"/>
  <c r="BX718" i="14"/>
  <c r="BY718" i="14"/>
  <c r="BX719" i="14"/>
  <c r="BY719" i="14"/>
  <c r="BX720" i="14"/>
  <c r="BY720" i="14" s="1"/>
  <c r="BX721" i="14"/>
  <c r="BY721" i="14" s="1"/>
  <c r="BX722" i="14"/>
  <c r="BY722" i="14" s="1"/>
  <c r="BX723" i="14"/>
  <c r="BY723" i="14" s="1"/>
  <c r="BX724" i="14"/>
  <c r="BY724" i="14" s="1"/>
  <c r="BX725" i="14"/>
  <c r="BY725" i="14"/>
  <c r="BX726" i="14"/>
  <c r="BY726" i="14"/>
  <c r="BX727" i="14"/>
  <c r="BY727" i="14" s="1"/>
  <c r="BZ727" i="14" s="1"/>
  <c r="BX728" i="14"/>
  <c r="BY728" i="14" s="1"/>
  <c r="BX729" i="14"/>
  <c r="BY729" i="14"/>
  <c r="BX730" i="14"/>
  <c r="BY730" i="14"/>
  <c r="BX731" i="14"/>
  <c r="BY731" i="14" s="1"/>
  <c r="BX732" i="14"/>
  <c r="BY732" i="14"/>
  <c r="BX733" i="14"/>
  <c r="BY733" i="14"/>
  <c r="BX734" i="14"/>
  <c r="BY734" i="14" s="1"/>
  <c r="BX735" i="14"/>
  <c r="BY735" i="14"/>
  <c r="BX736" i="14"/>
  <c r="BY736" i="14"/>
  <c r="BX737" i="14"/>
  <c r="BY737" i="14" s="1"/>
  <c r="BX738" i="14"/>
  <c r="BY738" i="14"/>
  <c r="BX739" i="14"/>
  <c r="BY739" i="14"/>
  <c r="BX740" i="14"/>
  <c r="BY740" i="14" s="1"/>
  <c r="BX741" i="14"/>
  <c r="BY741" i="14" s="1"/>
  <c r="BX742" i="14"/>
  <c r="BY742" i="14"/>
  <c r="BX743" i="14"/>
  <c r="BY743" i="14"/>
  <c r="BX744" i="14"/>
  <c r="BY744" i="14"/>
  <c r="BX745" i="14"/>
  <c r="BY745" i="14"/>
  <c r="BX746" i="14"/>
  <c r="BY746" i="14" s="1"/>
  <c r="BX747" i="14"/>
  <c r="BY747" i="14" s="1"/>
  <c r="BX748" i="14"/>
  <c r="BY748" i="14"/>
  <c r="BX749" i="14"/>
  <c r="BY749" i="14"/>
  <c r="BX750" i="14"/>
  <c r="BY750" i="14"/>
  <c r="BX751" i="14"/>
  <c r="BY751" i="14"/>
  <c r="BX752" i="14"/>
  <c r="BY752" i="14" s="1"/>
  <c r="BX753" i="14"/>
  <c r="BY753" i="14"/>
  <c r="BX754" i="14"/>
  <c r="BY754" i="14"/>
  <c r="BX755" i="14"/>
  <c r="BY755" i="14"/>
  <c r="BX756" i="14"/>
  <c r="BY756" i="14"/>
  <c r="BX757" i="14"/>
  <c r="BY757" i="14"/>
  <c r="BX758" i="14"/>
  <c r="BY758" i="14"/>
  <c r="BX759" i="14"/>
  <c r="BY759" i="14"/>
  <c r="BX760" i="14"/>
  <c r="BY760" i="14"/>
  <c r="BX761" i="14"/>
  <c r="BY761" i="14"/>
  <c r="BX762" i="14"/>
  <c r="BY762" i="14"/>
  <c r="BX763" i="14"/>
  <c r="BY763" i="14"/>
  <c r="BX764" i="14"/>
  <c r="BY764" i="14"/>
  <c r="BX765" i="14"/>
  <c r="BY765" i="14"/>
  <c r="BX766" i="14"/>
  <c r="BY766" i="14"/>
  <c r="BX767" i="14"/>
  <c r="BY767" i="14"/>
  <c r="BX768" i="14"/>
  <c r="BY768" i="14"/>
  <c r="BX769" i="14"/>
  <c r="BY769" i="14"/>
  <c r="BX770" i="14"/>
  <c r="BY770" i="14"/>
  <c r="BX771" i="14"/>
  <c r="BY771" i="14"/>
  <c r="BX772" i="14"/>
  <c r="BY772" i="14" s="1"/>
  <c r="BX773" i="14"/>
  <c r="BY773" i="14"/>
  <c r="BX774" i="14"/>
  <c r="BY774" i="14"/>
  <c r="BX775" i="14"/>
  <c r="BY775" i="14"/>
  <c r="BX776" i="14"/>
  <c r="BY776" i="14"/>
  <c r="BX777" i="14"/>
  <c r="BY777" i="14"/>
  <c r="BX778" i="14"/>
  <c r="BY778" i="14"/>
  <c r="BX779" i="14"/>
  <c r="BY779" i="14"/>
  <c r="BX780" i="14"/>
  <c r="BY780" i="14"/>
  <c r="BX781" i="14"/>
  <c r="BY781" i="14"/>
  <c r="BX782" i="14"/>
  <c r="BY782" i="14"/>
  <c r="BX783" i="14"/>
  <c r="BY783" i="14"/>
  <c r="BX784" i="14"/>
  <c r="BY784" i="14"/>
  <c r="BX785" i="14"/>
  <c r="BY785" i="14"/>
  <c r="BX786" i="14"/>
  <c r="BY786" i="14"/>
  <c r="BX787" i="14"/>
  <c r="BY787" i="14"/>
  <c r="BX788" i="14"/>
  <c r="BY788" i="14"/>
  <c r="BX789" i="14"/>
  <c r="BY789" i="14"/>
  <c r="BX790" i="14"/>
  <c r="BY790" i="14"/>
  <c r="BX791" i="14"/>
  <c r="BY791" i="14"/>
  <c r="BX792" i="14"/>
  <c r="BY792" i="14"/>
  <c r="BX793" i="14"/>
  <c r="BY793" i="14"/>
  <c r="BX794" i="14"/>
  <c r="BY794" i="14"/>
  <c r="BX795" i="14"/>
  <c r="BY795" i="14"/>
  <c r="BX796" i="14"/>
  <c r="BY796" i="14"/>
  <c r="BX797" i="14"/>
  <c r="BY797" i="14"/>
  <c r="BX798" i="14"/>
  <c r="BY798" i="14"/>
  <c r="BX799" i="14"/>
  <c r="BY799" i="14"/>
  <c r="BX800" i="14"/>
  <c r="BY800" i="14"/>
  <c r="BX801" i="14"/>
  <c r="BY801" i="14"/>
  <c r="BX802" i="14"/>
  <c r="BY802" i="14"/>
  <c r="BX803" i="14"/>
  <c r="BY803" i="14"/>
  <c r="BX804" i="14"/>
  <c r="BY804" i="14"/>
  <c r="BX805" i="14"/>
  <c r="BY805" i="14" s="1"/>
  <c r="BX806" i="14"/>
  <c r="BY806" i="14"/>
  <c r="BX807" i="14"/>
  <c r="BY807" i="14"/>
  <c r="BX808" i="14"/>
  <c r="BY808" i="14"/>
  <c r="BX809" i="14"/>
  <c r="BY809" i="14" s="1"/>
  <c r="BX810" i="14"/>
  <c r="BY810" i="14"/>
  <c r="BX811" i="14"/>
  <c r="BY811" i="14" s="1"/>
  <c r="BZ811" i="14" s="1"/>
  <c r="BX812" i="14"/>
  <c r="BY812" i="14"/>
  <c r="BX813" i="14"/>
  <c r="BY813" i="14" s="1"/>
  <c r="BX814" i="14"/>
  <c r="BY814" i="14"/>
  <c r="BX815" i="14"/>
  <c r="BY815" i="14" s="1"/>
  <c r="BX816" i="14"/>
  <c r="BY816" i="14"/>
  <c r="BX817" i="14"/>
  <c r="BY817" i="14"/>
  <c r="BX818" i="14"/>
  <c r="BY818" i="14"/>
  <c r="BX819" i="14"/>
  <c r="BY819" i="14" s="1"/>
  <c r="BX820" i="14"/>
  <c r="BY820" i="14"/>
  <c r="BX821" i="14"/>
  <c r="BY821" i="14" s="1"/>
  <c r="BX822" i="14"/>
  <c r="BY822" i="14"/>
  <c r="BX823" i="14"/>
  <c r="BY823" i="14"/>
  <c r="BX824" i="14"/>
  <c r="BY824" i="14"/>
  <c r="BX825" i="14"/>
  <c r="BY825" i="14"/>
  <c r="BX826" i="14"/>
  <c r="BY826" i="14"/>
  <c r="BX827" i="14"/>
  <c r="BY827" i="14"/>
  <c r="BX828" i="14"/>
  <c r="BY828" i="14" s="1"/>
  <c r="BZ828" i="14" s="1"/>
  <c r="BX829" i="14"/>
  <c r="BY829" i="14"/>
  <c r="BX830" i="14"/>
  <c r="BY830" i="14"/>
  <c r="BX831" i="14"/>
  <c r="BY831" i="14"/>
  <c r="BX832" i="14"/>
  <c r="BY832" i="14"/>
  <c r="BX833" i="14"/>
  <c r="BY833" i="14"/>
  <c r="BX834" i="14"/>
  <c r="BY834" i="14"/>
  <c r="BX835" i="14"/>
  <c r="BY835" i="14"/>
  <c r="BX836" i="14"/>
  <c r="BY836" i="14"/>
  <c r="BX837" i="14"/>
  <c r="BY837" i="14"/>
  <c r="BX838" i="14"/>
  <c r="BY838" i="14"/>
  <c r="BZ838" i="14" s="1"/>
  <c r="BX839" i="14"/>
  <c r="BY839" i="14"/>
  <c r="BX840" i="14"/>
  <c r="BY840" i="14" s="1"/>
  <c r="BX841" i="14"/>
  <c r="BY841" i="14"/>
  <c r="BX842" i="14"/>
  <c r="BY842" i="14"/>
  <c r="BX843" i="14"/>
  <c r="BY843" i="14" s="1"/>
  <c r="BX844" i="14"/>
  <c r="BY844" i="14"/>
  <c r="BX845" i="14"/>
  <c r="BY845" i="14" s="1"/>
  <c r="BX846" i="14"/>
  <c r="BY846" i="14"/>
  <c r="BX847" i="14"/>
  <c r="BY847" i="14" s="1"/>
  <c r="BX848" i="14"/>
  <c r="BY848" i="14"/>
  <c r="BW855" i="14"/>
  <c r="BW854" i="14"/>
  <c r="BW853" i="14"/>
  <c r="BW852" i="14"/>
  <c r="BW851" i="14"/>
  <c r="BW850" i="14"/>
  <c r="BY2" i="14"/>
  <c r="BZ2" i="14" s="1"/>
  <c r="T855" i="14"/>
  <c r="T854" i="14"/>
  <c r="T853" i="14"/>
  <c r="T852" i="14"/>
  <c r="T851" i="14"/>
  <c r="T850" i="14"/>
  <c r="D850" i="14"/>
  <c r="E850" i="14"/>
  <c r="F850" i="14"/>
  <c r="G850" i="14"/>
  <c r="H850" i="14"/>
  <c r="I850" i="14"/>
  <c r="J850" i="14"/>
  <c r="K850" i="14"/>
  <c r="L850" i="14"/>
  <c r="M850" i="14"/>
  <c r="N850" i="14"/>
  <c r="O850" i="14"/>
  <c r="P850" i="14"/>
  <c r="Q850" i="14"/>
  <c r="S850" i="14"/>
  <c r="U850" i="14"/>
  <c r="V850" i="14"/>
  <c r="X850" i="14"/>
  <c r="Y850" i="14"/>
  <c r="Z850" i="14"/>
  <c r="AA850" i="14"/>
  <c r="AB850" i="14"/>
  <c r="AC850" i="14"/>
  <c r="AD850" i="14"/>
  <c r="AE850" i="14"/>
  <c r="AF850" i="14"/>
  <c r="AG850" i="14"/>
  <c r="AH850" i="14"/>
  <c r="AI850" i="14"/>
  <c r="AJ850" i="14"/>
  <c r="AK850" i="14"/>
  <c r="AL850" i="14"/>
  <c r="AO850" i="14"/>
  <c r="AP850" i="14"/>
  <c r="AQ850" i="14"/>
  <c r="AR850" i="14"/>
  <c r="AS850" i="14"/>
  <c r="AT850" i="14"/>
  <c r="AW850" i="14"/>
  <c r="AX850" i="14"/>
  <c r="AY850" i="14"/>
  <c r="AZ850" i="14"/>
  <c r="BA850" i="14"/>
  <c r="BB850" i="14"/>
  <c r="BC850" i="14"/>
  <c r="BF850" i="14"/>
  <c r="BG850" i="14"/>
  <c r="BH850" i="14"/>
  <c r="BI850" i="14"/>
  <c r="BJ850" i="14"/>
  <c r="BK850" i="14"/>
  <c r="BL850" i="14"/>
  <c r="BM850" i="14"/>
  <c r="BN850" i="14"/>
  <c r="BP850" i="14"/>
  <c r="BO850" i="14"/>
  <c r="BQ850" i="14"/>
  <c r="BU850" i="14"/>
  <c r="BV850" i="14"/>
  <c r="D851" i="14"/>
  <c r="E851" i="14"/>
  <c r="F851" i="14"/>
  <c r="G851" i="14"/>
  <c r="H851" i="14"/>
  <c r="I851" i="14"/>
  <c r="J851" i="14"/>
  <c r="K851" i="14"/>
  <c r="L851" i="14"/>
  <c r="M851" i="14"/>
  <c r="N851" i="14"/>
  <c r="O851" i="14"/>
  <c r="P851" i="14"/>
  <c r="Q851" i="14"/>
  <c r="S851" i="14"/>
  <c r="U851" i="14"/>
  <c r="V851" i="14"/>
  <c r="X851" i="14"/>
  <c r="Y851" i="14"/>
  <c r="Z851" i="14"/>
  <c r="AA851" i="14"/>
  <c r="AB851" i="14"/>
  <c r="AC851" i="14"/>
  <c r="AD851" i="14"/>
  <c r="AE851" i="14"/>
  <c r="AF851" i="14"/>
  <c r="AG851" i="14"/>
  <c r="AH851" i="14"/>
  <c r="AI851" i="14"/>
  <c r="AJ851" i="14"/>
  <c r="AK851" i="14"/>
  <c r="AL851" i="14"/>
  <c r="AO851" i="14"/>
  <c r="AP851" i="14"/>
  <c r="AQ851" i="14"/>
  <c r="AR851" i="14"/>
  <c r="AS851" i="14"/>
  <c r="AT851" i="14"/>
  <c r="AW851" i="14"/>
  <c r="AX851" i="14"/>
  <c r="AY851" i="14"/>
  <c r="AZ851" i="14"/>
  <c r="BA851" i="14"/>
  <c r="BB851" i="14"/>
  <c r="BC851" i="14"/>
  <c r="BF851" i="14"/>
  <c r="BG851" i="14"/>
  <c r="BH851" i="14"/>
  <c r="BI851" i="14"/>
  <c r="BJ851" i="14"/>
  <c r="BK851" i="14"/>
  <c r="BL851" i="14"/>
  <c r="BM851" i="14"/>
  <c r="BN851" i="14"/>
  <c r="BP851" i="14"/>
  <c r="BO851" i="14"/>
  <c r="BQ851" i="14"/>
  <c r="BU851" i="14"/>
  <c r="BV851" i="14"/>
  <c r="D852" i="14"/>
  <c r="E852" i="14"/>
  <c r="F852" i="14"/>
  <c r="G852" i="14"/>
  <c r="H852" i="14"/>
  <c r="I852" i="14"/>
  <c r="J852" i="14"/>
  <c r="K852" i="14"/>
  <c r="L852" i="14"/>
  <c r="M852" i="14"/>
  <c r="N852" i="14"/>
  <c r="O852" i="14"/>
  <c r="P852" i="14"/>
  <c r="Q852" i="14"/>
  <c r="S852" i="14"/>
  <c r="U852" i="14"/>
  <c r="V852" i="14"/>
  <c r="X852" i="14"/>
  <c r="Y852" i="14"/>
  <c r="Z852" i="14"/>
  <c r="AA852" i="14"/>
  <c r="AB852" i="14"/>
  <c r="AC852" i="14"/>
  <c r="AD852" i="14"/>
  <c r="AE852" i="14"/>
  <c r="AF852" i="14"/>
  <c r="AG852" i="14"/>
  <c r="AH852" i="14"/>
  <c r="AI852" i="14"/>
  <c r="AJ852" i="14"/>
  <c r="AK852" i="14"/>
  <c r="AL852" i="14"/>
  <c r="AO852" i="14"/>
  <c r="AP852" i="14"/>
  <c r="AQ852" i="14"/>
  <c r="AR852" i="14"/>
  <c r="AS852" i="14"/>
  <c r="AT852" i="14"/>
  <c r="AW852" i="14"/>
  <c r="AX852" i="14"/>
  <c r="AY852" i="14"/>
  <c r="AZ852" i="14"/>
  <c r="BA852" i="14"/>
  <c r="BB852" i="14"/>
  <c r="BC852" i="14"/>
  <c r="BF852" i="14"/>
  <c r="BG852" i="14"/>
  <c r="BH852" i="14"/>
  <c r="BI852" i="14"/>
  <c r="BJ852" i="14"/>
  <c r="BK852" i="14"/>
  <c r="BL852" i="14"/>
  <c r="BM852" i="14"/>
  <c r="BN852" i="14"/>
  <c r="BP852" i="14"/>
  <c r="BO852" i="14"/>
  <c r="BQ852" i="14"/>
  <c r="BU852" i="14"/>
  <c r="BV852" i="14"/>
  <c r="D853" i="14"/>
  <c r="E853" i="14"/>
  <c r="F853" i="14"/>
  <c r="G853" i="14"/>
  <c r="H853" i="14"/>
  <c r="I853" i="14"/>
  <c r="J853" i="14"/>
  <c r="K853" i="14"/>
  <c r="L853" i="14"/>
  <c r="M853" i="14"/>
  <c r="N853" i="14"/>
  <c r="O853" i="14"/>
  <c r="P853" i="14"/>
  <c r="Q853" i="14"/>
  <c r="S853" i="14"/>
  <c r="U853" i="14"/>
  <c r="V853" i="14"/>
  <c r="X853" i="14"/>
  <c r="Y853" i="14"/>
  <c r="Z853" i="14"/>
  <c r="AA853" i="14"/>
  <c r="AB853" i="14"/>
  <c r="AC853" i="14"/>
  <c r="AD853" i="14"/>
  <c r="AE853" i="14"/>
  <c r="AF853" i="14"/>
  <c r="AG853" i="14"/>
  <c r="AH853" i="14"/>
  <c r="AI853" i="14"/>
  <c r="AJ853" i="14"/>
  <c r="AK853" i="14"/>
  <c r="AL853" i="14"/>
  <c r="AO853" i="14"/>
  <c r="AP853" i="14"/>
  <c r="AQ853" i="14"/>
  <c r="AR853" i="14"/>
  <c r="AS853" i="14"/>
  <c r="AT853" i="14"/>
  <c r="AW853" i="14"/>
  <c r="AX853" i="14"/>
  <c r="AY853" i="14"/>
  <c r="AZ853" i="14"/>
  <c r="BA853" i="14"/>
  <c r="BB853" i="14"/>
  <c r="BC853" i="14"/>
  <c r="BF853" i="14"/>
  <c r="BG853" i="14"/>
  <c r="BH853" i="14"/>
  <c r="BI853" i="14"/>
  <c r="BJ853" i="14"/>
  <c r="BK853" i="14"/>
  <c r="BL853" i="14"/>
  <c r="BM853" i="14"/>
  <c r="BN853" i="14"/>
  <c r="BP853" i="14"/>
  <c r="BO853" i="14"/>
  <c r="BQ853" i="14"/>
  <c r="BU853" i="14"/>
  <c r="BV853" i="14"/>
  <c r="D854" i="14"/>
  <c r="E854" i="14"/>
  <c r="F854" i="14"/>
  <c r="G854" i="14"/>
  <c r="H854" i="14"/>
  <c r="I854" i="14"/>
  <c r="J854" i="14"/>
  <c r="K854" i="14"/>
  <c r="L854" i="14"/>
  <c r="M854" i="14"/>
  <c r="N854" i="14"/>
  <c r="O854" i="14"/>
  <c r="P854" i="14"/>
  <c r="Q854" i="14"/>
  <c r="S854" i="14"/>
  <c r="U854" i="14"/>
  <c r="V854" i="14"/>
  <c r="X854" i="14"/>
  <c r="Y854" i="14"/>
  <c r="Z854" i="14"/>
  <c r="AA854" i="14"/>
  <c r="AB854" i="14"/>
  <c r="AC854" i="14"/>
  <c r="AD854" i="14"/>
  <c r="AE854" i="14"/>
  <c r="AF854" i="14"/>
  <c r="AG854" i="14"/>
  <c r="AH854" i="14"/>
  <c r="AI854" i="14"/>
  <c r="AJ854" i="14"/>
  <c r="AK854" i="14"/>
  <c r="AL854" i="14"/>
  <c r="AO854" i="14"/>
  <c r="AP854" i="14"/>
  <c r="AQ854" i="14"/>
  <c r="AR854" i="14"/>
  <c r="AS854" i="14"/>
  <c r="AT854" i="14"/>
  <c r="AW854" i="14"/>
  <c r="AX854" i="14"/>
  <c r="AY854" i="14"/>
  <c r="AZ854" i="14"/>
  <c r="BA854" i="14"/>
  <c r="BB854" i="14"/>
  <c r="BC854" i="14"/>
  <c r="BF854" i="14"/>
  <c r="BG854" i="14"/>
  <c r="BH854" i="14"/>
  <c r="BI854" i="14"/>
  <c r="BJ854" i="14"/>
  <c r="BK854" i="14"/>
  <c r="BL854" i="14"/>
  <c r="BM854" i="14"/>
  <c r="BN854" i="14"/>
  <c r="BP854" i="14"/>
  <c r="BO854" i="14"/>
  <c r="BQ854" i="14"/>
  <c r="BU854" i="14"/>
  <c r="BV854" i="14"/>
  <c r="D855" i="14"/>
  <c r="E855" i="14"/>
  <c r="F855" i="14"/>
  <c r="G855" i="14"/>
  <c r="H855" i="14"/>
  <c r="I855" i="14"/>
  <c r="J855" i="14"/>
  <c r="K855" i="14"/>
  <c r="L855" i="14"/>
  <c r="M855" i="14"/>
  <c r="N855" i="14"/>
  <c r="O855" i="14"/>
  <c r="P855" i="14"/>
  <c r="Q855" i="14"/>
  <c r="S855" i="14"/>
  <c r="U855" i="14"/>
  <c r="V855" i="14"/>
  <c r="X855" i="14"/>
  <c r="Y855" i="14"/>
  <c r="Z855" i="14"/>
  <c r="AA855" i="14"/>
  <c r="AB855" i="14"/>
  <c r="AC855" i="14"/>
  <c r="AD855" i="14"/>
  <c r="AE855" i="14"/>
  <c r="AF855" i="14"/>
  <c r="AG855" i="14"/>
  <c r="AH855" i="14"/>
  <c r="AI855" i="14"/>
  <c r="AJ855" i="14"/>
  <c r="AK855" i="14"/>
  <c r="AL855" i="14"/>
  <c r="AO855" i="14"/>
  <c r="AP855" i="14"/>
  <c r="AQ855" i="14"/>
  <c r="AR855" i="14"/>
  <c r="AS855" i="14"/>
  <c r="AT855" i="14"/>
  <c r="AW855" i="14"/>
  <c r="AX855" i="14"/>
  <c r="AY855" i="14"/>
  <c r="AZ855" i="14"/>
  <c r="BA855" i="14"/>
  <c r="BB855" i="14"/>
  <c r="BC855" i="14"/>
  <c r="BF855" i="14"/>
  <c r="BG855" i="14"/>
  <c r="BH855" i="14"/>
  <c r="BI855" i="14"/>
  <c r="BJ855" i="14"/>
  <c r="BK855" i="14"/>
  <c r="BL855" i="14"/>
  <c r="BM855" i="14"/>
  <c r="BN855" i="14"/>
  <c r="BP855" i="14"/>
  <c r="BO855" i="14"/>
  <c r="BQ855" i="14"/>
  <c r="BU855" i="14"/>
  <c r="BV855" i="14"/>
  <c r="C855" i="14"/>
  <c r="C854" i="14"/>
  <c r="C853" i="14"/>
  <c r="C852" i="14"/>
  <c r="C851" i="14"/>
  <c r="C850" i="14"/>
  <c r="AM848" i="14"/>
  <c r="AM847" i="14"/>
  <c r="BD846" i="14"/>
  <c r="BZ846" i="14" s="1"/>
  <c r="AM846" i="14"/>
  <c r="AU845" i="14"/>
  <c r="AM845" i="14"/>
  <c r="BE845" i="14" s="1"/>
  <c r="BD844" i="14"/>
  <c r="BZ844" i="14" s="1"/>
  <c r="AM844" i="14"/>
  <c r="AM843" i="14"/>
  <c r="AM842" i="14"/>
  <c r="BD841" i="14"/>
  <c r="BZ841" i="14" s="1"/>
  <c r="AM841" i="14"/>
  <c r="BD840" i="14"/>
  <c r="AM839" i="14"/>
  <c r="BT838" i="14"/>
  <c r="BD837" i="14"/>
  <c r="BZ837" i="14" s="1"/>
  <c r="AM837" i="14"/>
  <c r="AM836" i="14"/>
  <c r="BD835" i="14"/>
  <c r="BZ835" i="14" s="1"/>
  <c r="AM834" i="14"/>
  <c r="BZ834" i="14" s="1"/>
  <c r="BT833" i="14"/>
  <c r="BD832" i="14"/>
  <c r="BZ832" i="14" s="1"/>
  <c r="AM832" i="14"/>
  <c r="BE832" i="14" s="1"/>
  <c r="AV832" i="14"/>
  <c r="BD831" i="14"/>
  <c r="AM831" i="14"/>
  <c r="AM830" i="14"/>
  <c r="BZ833" i="14"/>
  <c r="BD829" i="14"/>
  <c r="BZ829" i="14" s="1"/>
  <c r="AM829" i="14"/>
  <c r="BT828" i="14"/>
  <c r="AM827" i="14"/>
  <c r="AM826" i="14"/>
  <c r="BD825" i="14"/>
  <c r="BZ825" i="14" s="1"/>
  <c r="AM825" i="14"/>
  <c r="BD824" i="14"/>
  <c r="AM823" i="14"/>
  <c r="AM822" i="14"/>
  <c r="AM821" i="14"/>
  <c r="BD820" i="14"/>
  <c r="AM820" i="14"/>
  <c r="BD819" i="14"/>
  <c r="BD818" i="14"/>
  <c r="BZ818" i="14" s="1"/>
  <c r="AM818" i="14"/>
  <c r="AM817" i="14"/>
  <c r="BD816" i="14"/>
  <c r="BZ816" i="14" s="1"/>
  <c r="AM816" i="14"/>
  <c r="BE816" i="14" s="1"/>
  <c r="AV816" i="14"/>
  <c r="AM815" i="14"/>
  <c r="AU814" i="14"/>
  <c r="BZ814" i="14" s="1"/>
  <c r="AM814" i="14"/>
  <c r="BE814" i="14" s="1"/>
  <c r="AM813" i="14"/>
  <c r="BZ813" i="14" s="1"/>
  <c r="BD812" i="14"/>
  <c r="BZ812" i="14" s="1"/>
  <c r="AM812" i="14"/>
  <c r="BT811" i="14"/>
  <c r="AM810" i="14"/>
  <c r="AM809" i="14"/>
  <c r="BD808" i="14"/>
  <c r="BZ808" i="14" s="1"/>
  <c r="AM808" i="14"/>
  <c r="AM807" i="14"/>
  <c r="AM806" i="14"/>
  <c r="BZ806" i="14" s="1"/>
  <c r="BD805" i="14"/>
  <c r="AM804" i="14"/>
  <c r="AM803" i="14"/>
  <c r="AM802" i="14"/>
  <c r="BD801" i="14"/>
  <c r="BZ801" i="14" s="1"/>
  <c r="AM801" i="14"/>
  <c r="AM800" i="14"/>
  <c r="AM799" i="14"/>
  <c r="BD798" i="14"/>
  <c r="BZ798" i="14" s="1"/>
  <c r="AU798" i="14"/>
  <c r="AM798" i="14"/>
  <c r="BE798" i="14" s="1"/>
  <c r="AM797" i="14"/>
  <c r="BZ797" i="14" s="1"/>
  <c r="AM796" i="14"/>
  <c r="AM795" i="14"/>
  <c r="AM794" i="14"/>
  <c r="BZ794" i="14" s="1"/>
  <c r="BD793" i="14"/>
  <c r="BZ793" i="14" s="1"/>
  <c r="AM793" i="14"/>
  <c r="BD792" i="14"/>
  <c r="BZ792" i="14" s="1"/>
  <c r="AM792" i="14"/>
  <c r="BD791" i="14"/>
  <c r="BZ791" i="14" s="1"/>
  <c r="AM791" i="14"/>
  <c r="AM790" i="14"/>
  <c r="AM789" i="14"/>
  <c r="BD788" i="14"/>
  <c r="BT787" i="14"/>
  <c r="BD786" i="14"/>
  <c r="BZ786" i="14" s="1"/>
  <c r="AM786" i="14"/>
  <c r="BD785" i="14"/>
  <c r="BZ785" i="14" s="1"/>
  <c r="AM785" i="14"/>
  <c r="BT784" i="14"/>
  <c r="AM783" i="14"/>
  <c r="BZ784" i="14"/>
  <c r="AM782" i="14"/>
  <c r="BD781" i="14"/>
  <c r="BZ781" i="14" s="1"/>
  <c r="AM781" i="14"/>
  <c r="AU780" i="14"/>
  <c r="BZ780" i="14" s="1"/>
  <c r="AM780" i="14"/>
  <c r="BE780" i="14" s="1"/>
  <c r="AM779" i="14"/>
  <c r="BZ779" i="14" s="1"/>
  <c r="BD778" i="14"/>
  <c r="AM778" i="14"/>
  <c r="AM777" i="14"/>
  <c r="BD776" i="14"/>
  <c r="BZ776" i="14" s="1"/>
  <c r="AM776" i="14"/>
  <c r="BE776" i="14" s="1"/>
  <c r="AV776" i="14"/>
  <c r="AM775" i="14"/>
  <c r="BZ775" i="14" s="1"/>
  <c r="BD774" i="14"/>
  <c r="BZ774" i="14" s="1"/>
  <c r="AM774" i="14"/>
  <c r="AM773" i="14"/>
  <c r="BD772" i="14"/>
  <c r="BD771" i="14"/>
  <c r="BZ771" i="14" s="1"/>
  <c r="AM771" i="14"/>
  <c r="AM770" i="14"/>
  <c r="AM769" i="14"/>
  <c r="AM768" i="14"/>
  <c r="BT767" i="14"/>
  <c r="BD766" i="14"/>
  <c r="BZ766" i="14" s="1"/>
  <c r="AM766" i="14"/>
  <c r="BD765" i="14"/>
  <c r="AM764" i="14"/>
  <c r="BZ764" i="14" s="1"/>
  <c r="AM763" i="14"/>
  <c r="BZ763" i="14" s="1"/>
  <c r="AM762" i="14"/>
  <c r="AM761" i="14"/>
  <c r="BZ761" i="14" s="1"/>
  <c r="AM760" i="14"/>
  <c r="AM759" i="14"/>
  <c r="BD758" i="14"/>
  <c r="AM758" i="14"/>
  <c r="AM757" i="14"/>
  <c r="AM756" i="14"/>
  <c r="AM755" i="14"/>
  <c r="BZ755" i="14" s="1"/>
  <c r="AM754" i="14"/>
  <c r="AM753" i="14"/>
  <c r="BZ753" i="14" s="1"/>
  <c r="AM752" i="14"/>
  <c r="BD751" i="14"/>
  <c r="BD750" i="14"/>
  <c r="BZ750" i="14" s="1"/>
  <c r="AM750" i="14"/>
  <c r="AM749" i="14"/>
  <c r="AM748" i="14"/>
  <c r="AM747" i="14"/>
  <c r="AM746" i="14"/>
  <c r="AM745" i="14"/>
  <c r="AM744" i="14"/>
  <c r="AM743" i="14"/>
  <c r="BZ743" i="14" s="1"/>
  <c r="BD742" i="14"/>
  <c r="AM741" i="14"/>
  <c r="BT741" i="14" s="1"/>
  <c r="BD740" i="14"/>
  <c r="AM739" i="14"/>
  <c r="AM738" i="14"/>
  <c r="BD737" i="14"/>
  <c r="AM737" i="14"/>
  <c r="AM736" i="14"/>
  <c r="BD735" i="14"/>
  <c r="BZ735" i="14" s="1"/>
  <c r="AM735" i="14"/>
  <c r="BD734" i="14"/>
  <c r="AM734" i="14"/>
  <c r="AM733" i="14"/>
  <c r="BZ733" i="14" s="1"/>
  <c r="BD732" i="14"/>
  <c r="AM731" i="14"/>
  <c r="AM730" i="14"/>
  <c r="AM729" i="14"/>
  <c r="AU728" i="14"/>
  <c r="AM728" i="14"/>
  <c r="BT727" i="14"/>
  <c r="AM726" i="14"/>
  <c r="AU725" i="14"/>
  <c r="BZ725" i="14" s="1"/>
  <c r="AM725" i="14"/>
  <c r="BE725" i="14" s="1"/>
  <c r="BD724" i="14"/>
  <c r="BD723" i="14"/>
  <c r="BD722" i="14"/>
  <c r="AM722" i="14"/>
  <c r="AM721" i="14"/>
  <c r="BE721" i="14" s="1"/>
  <c r="AM720" i="14"/>
  <c r="BT720" i="14" s="1"/>
  <c r="AM719" i="14"/>
  <c r="BZ719" i="14"/>
  <c r="AM718" i="14"/>
  <c r="BZ718" i="14" s="1"/>
  <c r="AM717" i="14"/>
  <c r="BZ717" i="14" s="1"/>
  <c r="AM716" i="14"/>
  <c r="BZ716" i="14" s="1"/>
  <c r="AM715" i="14"/>
  <c r="AM714" i="14"/>
  <c r="AM713" i="14"/>
  <c r="BZ713" i="14" s="1"/>
  <c r="AM712" i="14"/>
  <c r="BZ712" i="14" s="1"/>
  <c r="AM711" i="14"/>
  <c r="BT711" i="14" s="1"/>
  <c r="AM710" i="14"/>
  <c r="AM709" i="14"/>
  <c r="BT708" i="14"/>
  <c r="BD707" i="14"/>
  <c r="AM707" i="14"/>
  <c r="AM706" i="14"/>
  <c r="BD705" i="14"/>
  <c r="AM705" i="14"/>
  <c r="BD704" i="14"/>
  <c r="BZ704" i="14" s="1"/>
  <c r="AM704" i="14"/>
  <c r="BD703" i="14"/>
  <c r="BZ703" i="14" s="1"/>
  <c r="BD702" i="14"/>
  <c r="BD701" i="14"/>
  <c r="AM701" i="14"/>
  <c r="AM700" i="14"/>
  <c r="AM699" i="14"/>
  <c r="BT698" i="14"/>
  <c r="BD697" i="14"/>
  <c r="AM697" i="14"/>
  <c r="BD696" i="14"/>
  <c r="BZ696" i="14" s="1"/>
  <c r="AM696" i="14"/>
  <c r="BD695" i="14"/>
  <c r="BZ695" i="14" s="1"/>
  <c r="AM695" i="14"/>
  <c r="AM694" i="14"/>
  <c r="AM693" i="14"/>
  <c r="BZ698" i="14"/>
  <c r="BD692" i="14"/>
  <c r="AM691" i="14"/>
  <c r="AM690" i="14"/>
  <c r="BD689" i="14"/>
  <c r="BT688" i="14"/>
  <c r="BD687" i="14"/>
  <c r="BZ687" i="14" s="1"/>
  <c r="AM687" i="14"/>
  <c r="BE687" i="14" s="1"/>
  <c r="AV687" i="14"/>
  <c r="AM686" i="14"/>
  <c r="BZ686" i="14" s="1"/>
  <c r="AM685" i="14"/>
  <c r="BD684" i="14"/>
  <c r="BZ684" i="14" s="1"/>
  <c r="AM684" i="14"/>
  <c r="AM683" i="14"/>
  <c r="BZ688" i="14"/>
  <c r="AM682" i="14"/>
  <c r="BZ682" i="14"/>
  <c r="AM681" i="14"/>
  <c r="AM680" i="14"/>
  <c r="BT680" i="14" s="1"/>
  <c r="BD679" i="14"/>
  <c r="AM679" i="14"/>
  <c r="BE679" i="14" s="1"/>
  <c r="AV679" i="14"/>
  <c r="BT678" i="14"/>
  <c r="AM677" i="14"/>
  <c r="BT677" i="14" s="1"/>
  <c r="BD676" i="14"/>
  <c r="AM676" i="14"/>
  <c r="AM675" i="14"/>
  <c r="AM674" i="14"/>
  <c r="AM673" i="14"/>
  <c r="AM672" i="14"/>
  <c r="BD671" i="14"/>
  <c r="BZ671" i="14" s="1"/>
  <c r="AM671" i="14"/>
  <c r="BE671" i="14" s="1"/>
  <c r="AV671" i="14"/>
  <c r="AM670" i="14"/>
  <c r="BD669" i="14"/>
  <c r="BT668" i="14"/>
  <c r="AM667" i="14"/>
  <c r="BD666" i="14"/>
  <c r="AM666" i="14"/>
  <c r="AM665" i="14"/>
  <c r="BT665" i="14" s="1"/>
  <c r="AM664" i="14"/>
  <c r="BE664" i="14" s="1"/>
  <c r="AM663" i="14"/>
  <c r="AM662" i="14"/>
  <c r="BZ662" i="14" s="1"/>
  <c r="BD661" i="14"/>
  <c r="AM661" i="14"/>
  <c r="BE661" i="14" s="1"/>
  <c r="AV661" i="14"/>
  <c r="AM660" i="14"/>
  <c r="BD659" i="14"/>
  <c r="BD658" i="14"/>
  <c r="BZ658" i="14" s="1"/>
  <c r="AM658" i="14"/>
  <c r="AM657" i="14"/>
  <c r="AM656" i="14"/>
  <c r="AM655" i="14"/>
  <c r="BZ655" i="14" s="1"/>
  <c r="AM654" i="14"/>
  <c r="BZ654" i="14" s="1"/>
  <c r="AM653" i="14"/>
  <c r="BD652" i="14"/>
  <c r="AM652" i="14"/>
  <c r="BE652" i="14" s="1"/>
  <c r="AV652" i="14"/>
  <c r="AM651" i="14"/>
  <c r="BZ651" i="14" s="1"/>
  <c r="AM650" i="14"/>
  <c r="BZ650" i="14" s="1"/>
  <c r="AM649" i="14"/>
  <c r="BZ649" i="14" s="1"/>
  <c r="BD648" i="14"/>
  <c r="BZ648" i="14" s="1"/>
  <c r="AM648" i="14"/>
  <c r="BE648" i="14" s="1"/>
  <c r="AV648" i="14"/>
  <c r="BD647" i="14"/>
  <c r="BZ647" i="14" s="1"/>
  <c r="AM647" i="14"/>
  <c r="BE647" i="14" s="1"/>
  <c r="AV647" i="14"/>
  <c r="AM646" i="14"/>
  <c r="BZ646" i="14" s="1"/>
  <c r="AM645" i="14"/>
  <c r="BD644" i="14"/>
  <c r="BZ644" i="14" s="1"/>
  <c r="AM644" i="14"/>
  <c r="BE644" i="14" s="1"/>
  <c r="AV644" i="14"/>
  <c r="AM643" i="14"/>
  <c r="BT642" i="14"/>
  <c r="AM641" i="14"/>
  <c r="BD640" i="14"/>
  <c r="BT639" i="14"/>
  <c r="AM638" i="14"/>
  <c r="BT638" i="14" s="1"/>
  <c r="BD637" i="14"/>
  <c r="AM637" i="14"/>
  <c r="AM636" i="14"/>
  <c r="BZ636" i="14" s="1"/>
  <c r="AM635" i="14"/>
  <c r="AM634" i="14"/>
  <c r="BT634" i="14" s="1"/>
  <c r="AM633" i="14"/>
  <c r="AM632" i="14"/>
  <c r="BT632" i="14" s="1"/>
  <c r="BD631" i="14"/>
  <c r="AM631" i="14"/>
  <c r="AM630" i="14"/>
  <c r="BD629" i="14"/>
  <c r="BZ629" i="14" s="1"/>
  <c r="AM629" i="14"/>
  <c r="AM628" i="14"/>
  <c r="BZ628" i="14" s="1"/>
  <c r="BD627" i="14"/>
  <c r="BZ627" i="14" s="1"/>
  <c r="AM627" i="14"/>
  <c r="BE627" i="14" s="1"/>
  <c r="AV627" i="14"/>
  <c r="AM626" i="14"/>
  <c r="AM625" i="14"/>
  <c r="BD624" i="14"/>
  <c r="BZ624" i="14" s="1"/>
  <c r="AM624" i="14"/>
  <c r="BE624" i="14" s="1"/>
  <c r="AV624" i="14"/>
  <c r="AU623" i="14"/>
  <c r="AM623" i="14"/>
  <c r="AM622" i="14"/>
  <c r="BZ622" i="14" s="1"/>
  <c r="AM621" i="14"/>
  <c r="AM620" i="14"/>
  <c r="AM619" i="14"/>
  <c r="BZ619" i="14" s="1"/>
  <c r="AM618" i="14"/>
  <c r="BD617" i="14"/>
  <c r="BZ617" i="14" s="1"/>
  <c r="AM617" i="14"/>
  <c r="BE617" i="14" s="1"/>
  <c r="AV617" i="14"/>
  <c r="AM616" i="14"/>
  <c r="AM615" i="14"/>
  <c r="BZ615" i="14"/>
  <c r="BD614" i="14"/>
  <c r="BZ614" i="14" s="1"/>
  <c r="AM614" i="14"/>
  <c r="BD613" i="14"/>
  <c r="BD612" i="14"/>
  <c r="AM612" i="14"/>
  <c r="AM611" i="14"/>
  <c r="BE611" i="14" s="1"/>
  <c r="BT610" i="14"/>
  <c r="AM609" i="14"/>
  <c r="BD608" i="14"/>
  <c r="BZ608" i="14" s="1"/>
  <c r="AM608" i="14"/>
  <c r="BE608" i="14" s="1"/>
  <c r="AV608" i="14"/>
  <c r="BD607" i="14"/>
  <c r="AM607" i="14"/>
  <c r="BT606" i="14"/>
  <c r="BD605" i="14"/>
  <c r="AM605" i="14"/>
  <c r="AM604" i="14"/>
  <c r="BZ604" i="14" s="1"/>
  <c r="AM603" i="14"/>
  <c r="AM602" i="14"/>
  <c r="AM601" i="14"/>
  <c r="BZ601" i="14" s="1"/>
  <c r="AM600" i="14"/>
  <c r="BT600" i="14" s="1"/>
  <c r="AM599" i="14"/>
  <c r="BD598" i="14"/>
  <c r="BZ598" i="14" s="1"/>
  <c r="AM598" i="14"/>
  <c r="AM597" i="14"/>
  <c r="BD596" i="14"/>
  <c r="BD595" i="14"/>
  <c r="AM595" i="14"/>
  <c r="BD594" i="14"/>
  <c r="AM593" i="14"/>
  <c r="AM592" i="14"/>
  <c r="AM591" i="14"/>
  <c r="BT591" i="14" s="1"/>
  <c r="BD590" i="14"/>
  <c r="AM590" i="14"/>
  <c r="BE590" i="14" s="1"/>
  <c r="AV590" i="14"/>
  <c r="AM589" i="14"/>
  <c r="AM588" i="14"/>
  <c r="AM587" i="14"/>
  <c r="AM586" i="14"/>
  <c r="AM585" i="14"/>
  <c r="BD584" i="14"/>
  <c r="AM584" i="14"/>
  <c r="BE584" i="14" s="1"/>
  <c r="AV584" i="14"/>
  <c r="AM583" i="14"/>
  <c r="BZ583" i="14" s="1"/>
  <c r="AM582" i="14"/>
  <c r="BT582" i="14" s="1"/>
  <c r="BD581" i="14"/>
  <c r="AM581" i="14"/>
  <c r="BD580" i="14"/>
  <c r="AM580" i="14"/>
  <c r="AM579" i="14"/>
  <c r="BD578" i="14"/>
  <c r="AM578" i="14"/>
  <c r="AM577" i="14"/>
  <c r="BE577" i="14" s="1"/>
  <c r="AM576" i="14"/>
  <c r="AM575" i="14"/>
  <c r="BD574" i="14"/>
  <c r="BD573" i="14"/>
  <c r="AM573" i="14"/>
  <c r="BE573" i="14" s="1"/>
  <c r="AV573" i="14"/>
  <c r="BT572" i="14"/>
  <c r="BD571" i="14"/>
  <c r="AM571" i="14"/>
  <c r="BE571" i="14" s="1"/>
  <c r="AV571" i="14"/>
  <c r="BT570" i="14"/>
  <c r="AM569" i="14"/>
  <c r="BD568" i="14"/>
  <c r="BZ568" i="14" s="1"/>
  <c r="AM568" i="14"/>
  <c r="AM567" i="14"/>
  <c r="BD566" i="14"/>
  <c r="AM566" i="14"/>
  <c r="BE566" i="14" s="1"/>
  <c r="AV566" i="14"/>
  <c r="AM565" i="14"/>
  <c r="BT565" i="14" s="1"/>
  <c r="AM564" i="14"/>
  <c r="BZ564" i="14" s="1"/>
  <c r="AM563" i="14"/>
  <c r="BD562" i="14"/>
  <c r="BZ562" i="14" s="1"/>
  <c r="AM562" i="14"/>
  <c r="BD561" i="14"/>
  <c r="BZ561" i="14" s="1"/>
  <c r="AM561" i="14"/>
  <c r="AM560" i="14"/>
  <c r="BD559" i="14"/>
  <c r="AM558" i="14"/>
  <c r="BD557" i="14"/>
  <c r="BZ557" i="14" s="1"/>
  <c r="AM557" i="14"/>
  <c r="AM556" i="14"/>
  <c r="AM555" i="14"/>
  <c r="AV555" i="14" s="1"/>
  <c r="AM554" i="14"/>
  <c r="BZ554" i="14" s="1"/>
  <c r="AM553" i="14"/>
  <c r="AV553" i="14" s="1"/>
  <c r="AM552" i="14"/>
  <c r="BZ552" i="14" s="1"/>
  <c r="AM551" i="14"/>
  <c r="BZ551" i="14"/>
  <c r="AM550" i="14"/>
  <c r="AM549" i="14"/>
  <c r="BD548" i="14"/>
  <c r="BZ548" i="14" s="1"/>
  <c r="AM548" i="14"/>
  <c r="AM547" i="14"/>
  <c r="BD546" i="14"/>
  <c r="BZ546" i="14" s="1"/>
  <c r="AM546" i="14"/>
  <c r="AM545" i="14"/>
  <c r="AM544" i="14"/>
  <c r="BZ544" i="14" s="1"/>
  <c r="AM543" i="14"/>
  <c r="BZ543" i="14" s="1"/>
  <c r="BD542" i="14"/>
  <c r="BZ542" i="14" s="1"/>
  <c r="AM542" i="14"/>
  <c r="BD541" i="14"/>
  <c r="BZ541" i="14" s="1"/>
  <c r="AM541" i="14"/>
  <c r="BD540" i="14"/>
  <c r="AM540" i="14"/>
  <c r="AM539" i="14"/>
  <c r="AM538" i="14"/>
  <c r="BD537" i="14"/>
  <c r="BZ537" i="14" s="1"/>
  <c r="AM537" i="14"/>
  <c r="BD536" i="14"/>
  <c r="BZ536" i="14" s="1"/>
  <c r="AM536" i="14"/>
  <c r="BD535" i="14"/>
  <c r="BZ535" i="14" s="1"/>
  <c r="AM535" i="14"/>
  <c r="BE535" i="14" s="1"/>
  <c r="AV535" i="14"/>
  <c r="BD534" i="14"/>
  <c r="BZ534" i="14" s="1"/>
  <c r="AM534" i="14"/>
  <c r="AM533" i="14"/>
  <c r="BT533" i="14" s="1"/>
  <c r="AM532" i="14"/>
  <c r="BT531" i="14"/>
  <c r="BD530" i="14"/>
  <c r="BZ530" i="14" s="1"/>
  <c r="AM530" i="14"/>
  <c r="AM529" i="14"/>
  <c r="BE529" i="14" s="1"/>
  <c r="AM528" i="14"/>
  <c r="AM527" i="14"/>
  <c r="BT527" i="14" s="1"/>
  <c r="BD526" i="14"/>
  <c r="AM526" i="14"/>
  <c r="AM525" i="14"/>
  <c r="AM524" i="14"/>
  <c r="AU523" i="14"/>
  <c r="AM523" i="14"/>
  <c r="BE523" i="14" s="1"/>
  <c r="AM522" i="14"/>
  <c r="BT521" i="14"/>
  <c r="AM520" i="14"/>
  <c r="BZ520" i="14" s="1"/>
  <c r="BD519" i="14"/>
  <c r="BZ519" i="14" s="1"/>
  <c r="AM519" i="14"/>
  <c r="AM518" i="14"/>
  <c r="BZ518" i="14" s="1"/>
  <c r="BD517" i="14"/>
  <c r="BZ517" i="14" s="1"/>
  <c r="AM517" i="14"/>
  <c r="AM516" i="14"/>
  <c r="AM515" i="14"/>
  <c r="AM514" i="14"/>
  <c r="BZ514" i="14" s="1"/>
  <c r="BD513" i="14"/>
  <c r="BZ513" i="14" s="1"/>
  <c r="BD512" i="14"/>
  <c r="BD511" i="14"/>
  <c r="BZ511" i="14" s="1"/>
  <c r="AM511" i="14"/>
  <c r="BE511" i="14" s="1"/>
  <c r="AV511" i="14"/>
  <c r="BD510" i="14"/>
  <c r="BD509" i="14"/>
  <c r="BZ509" i="14" s="1"/>
  <c r="AM509" i="14"/>
  <c r="BE509" i="14" s="1"/>
  <c r="AV509" i="14"/>
  <c r="BD508" i="14"/>
  <c r="BZ508" i="14" s="1"/>
  <c r="AM508" i="14"/>
  <c r="BE508" i="14" s="1"/>
  <c r="AV508" i="14"/>
  <c r="AU507" i="14"/>
  <c r="AM507" i="14"/>
  <c r="BE507" i="14" s="1"/>
  <c r="BD506" i="14"/>
  <c r="BZ506" i="14" s="1"/>
  <c r="BD505" i="14"/>
  <c r="BZ505" i="14" s="1"/>
  <c r="BD504" i="14"/>
  <c r="BZ504" i="14" s="1"/>
  <c r="BD503" i="14"/>
  <c r="BZ503" i="14" s="1"/>
  <c r="AM503" i="14"/>
  <c r="BE503" i="14" s="1"/>
  <c r="AV503" i="14"/>
  <c r="AM502" i="14"/>
  <c r="BZ502" i="14" s="1"/>
  <c r="AU501" i="14"/>
  <c r="BZ501" i="14" s="1"/>
  <c r="AM501" i="14"/>
  <c r="BE501" i="14" s="1"/>
  <c r="AM500" i="14"/>
  <c r="AM499" i="14"/>
  <c r="BZ499" i="14" s="1"/>
  <c r="AM498" i="14"/>
  <c r="BT497" i="14"/>
  <c r="AM496" i="14"/>
  <c r="BZ496" i="14"/>
  <c r="AM495" i="14"/>
  <c r="BZ495" i="14" s="1"/>
  <c r="AM494" i="14"/>
  <c r="AM493" i="14"/>
  <c r="AM492" i="14"/>
  <c r="BZ492" i="14" s="1"/>
  <c r="AM491" i="14"/>
  <c r="BD490" i="14"/>
  <c r="AM489" i="14"/>
  <c r="BZ489" i="14" s="1"/>
  <c r="AM488" i="14"/>
  <c r="BD487" i="14"/>
  <c r="AM486" i="14"/>
  <c r="BD485" i="14"/>
  <c r="BZ485" i="14" s="1"/>
  <c r="AM485" i="14"/>
  <c r="BD484" i="14"/>
  <c r="AM484" i="14"/>
  <c r="AM483" i="14"/>
  <c r="AM482" i="14"/>
  <c r="BZ482" i="14" s="1"/>
  <c r="BD481" i="14"/>
  <c r="BZ481" i="14" s="1"/>
  <c r="AM481" i="14"/>
  <c r="AM480" i="14"/>
  <c r="BD479" i="14"/>
  <c r="BZ479" i="14" s="1"/>
  <c r="AM479" i="14"/>
  <c r="AM478" i="14"/>
  <c r="BZ478" i="14"/>
  <c r="AM477" i="14"/>
  <c r="BZ477" i="14"/>
  <c r="AM476" i="14"/>
  <c r="BZ476" i="14"/>
  <c r="BD475" i="14"/>
  <c r="AM475" i="14"/>
  <c r="BE475" i="14" s="1"/>
  <c r="AV475" i="14"/>
  <c r="AM474" i="14"/>
  <c r="BZ474" i="14" s="1"/>
  <c r="AM473" i="14"/>
  <c r="BZ473" i="14" s="1"/>
  <c r="AM472" i="14"/>
  <c r="BD471" i="14"/>
  <c r="AM470" i="14"/>
  <c r="AM469" i="14"/>
  <c r="BZ469" i="14" s="1"/>
  <c r="AM468" i="14"/>
  <c r="BZ468" i="14"/>
  <c r="AM467" i="14"/>
  <c r="AU466" i="14"/>
  <c r="BZ466" i="14" s="1"/>
  <c r="AM466" i="14"/>
  <c r="BE466" i="14" s="1"/>
  <c r="BD465" i="14"/>
  <c r="BD464" i="14"/>
  <c r="BD463" i="14"/>
  <c r="AM463" i="14"/>
  <c r="AM462" i="14"/>
  <c r="BD461" i="14"/>
  <c r="AM461" i="14"/>
  <c r="BT460" i="14"/>
  <c r="AM459" i="14"/>
  <c r="BD458" i="14"/>
  <c r="AU458" i="14"/>
  <c r="AM458" i="14"/>
  <c r="BE458" i="14" s="1"/>
  <c r="BD457" i="14"/>
  <c r="AM456" i="14"/>
  <c r="BT455" i="14"/>
  <c r="BD454" i="14"/>
  <c r="AM454" i="14"/>
  <c r="BE454" i="14" s="1"/>
  <c r="AV454" i="14"/>
  <c r="BD453" i="14"/>
  <c r="AM453" i="14"/>
  <c r="BE453" i="14" s="1"/>
  <c r="AV453" i="14"/>
  <c r="AM452" i="14"/>
  <c r="BZ460" i="14"/>
  <c r="AM451" i="14"/>
  <c r="BD450" i="14"/>
  <c r="AM450" i="14"/>
  <c r="BE450" i="14" s="1"/>
  <c r="AV450" i="14"/>
  <c r="AM449" i="14"/>
  <c r="AM448" i="14"/>
  <c r="AM447" i="14"/>
  <c r="BD446" i="14"/>
  <c r="AM446" i="14"/>
  <c r="BE446" i="14" s="1"/>
  <c r="AV446" i="14"/>
  <c r="AM445" i="14"/>
  <c r="BZ445" i="14"/>
  <c r="BD444" i="14"/>
  <c r="BT444" i="14" s="1"/>
  <c r="AM443" i="14"/>
  <c r="BZ443" i="14" s="1"/>
  <c r="BD442" i="14"/>
  <c r="BE442" i="14" s="1"/>
  <c r="AM441" i="14"/>
  <c r="BZ441" i="14" s="1"/>
  <c r="BD440" i="14"/>
  <c r="AM440" i="14"/>
  <c r="AM439" i="14"/>
  <c r="BT438" i="14"/>
  <c r="AM437" i="14"/>
  <c r="BD436" i="14"/>
  <c r="AM436" i="14"/>
  <c r="BD435" i="14"/>
  <c r="BE435" i="14" s="1"/>
  <c r="BD434" i="14"/>
  <c r="BZ434" i="14" s="1"/>
  <c r="AM433" i="14"/>
  <c r="BD432" i="14"/>
  <c r="AM432" i="14"/>
  <c r="BD431" i="14"/>
  <c r="AM431" i="14"/>
  <c r="BE431" i="14" s="1"/>
  <c r="AV431" i="14"/>
  <c r="AM430" i="14"/>
  <c r="AM429" i="14"/>
  <c r="AM428" i="14"/>
  <c r="AU427" i="14"/>
  <c r="AM427" i="14"/>
  <c r="BE427" i="14" s="1"/>
  <c r="BD426" i="14"/>
  <c r="AM426" i="14"/>
  <c r="AU425" i="14"/>
  <c r="AM425" i="14"/>
  <c r="BE425" i="14" s="1"/>
  <c r="AM424" i="14"/>
  <c r="BD423" i="14"/>
  <c r="BD422" i="14"/>
  <c r="AM422" i="14"/>
  <c r="AM421" i="14"/>
  <c r="AM420" i="14"/>
  <c r="AM419" i="14"/>
  <c r="BZ419" i="14" s="1"/>
  <c r="BD418" i="14"/>
  <c r="AM418" i="14"/>
  <c r="BD417" i="14"/>
  <c r="AM417" i="14"/>
  <c r="BD416" i="14"/>
  <c r="AM416" i="14"/>
  <c r="AM415" i="14"/>
  <c r="BD414" i="14"/>
  <c r="AM414" i="14"/>
  <c r="AM413" i="14"/>
  <c r="AM412" i="14"/>
  <c r="AM411" i="14"/>
  <c r="BD410" i="14"/>
  <c r="AM410" i="14"/>
  <c r="AM409" i="14"/>
  <c r="BZ409" i="14" s="1"/>
  <c r="AM408" i="14"/>
  <c r="AM407" i="14"/>
  <c r="BZ407" i="14" s="1"/>
  <c r="BT406" i="14"/>
  <c r="BD405" i="14"/>
  <c r="AM405" i="14"/>
  <c r="AM404" i="14"/>
  <c r="AM403" i="14"/>
  <c r="AM402" i="14"/>
  <c r="BZ402" i="14" s="1"/>
  <c r="BD401" i="14"/>
  <c r="AM401" i="14"/>
  <c r="AM400" i="14"/>
  <c r="BZ400" i="14" s="1"/>
  <c r="BD399" i="14"/>
  <c r="BE399" i="14" s="1"/>
  <c r="AU398" i="14"/>
  <c r="AM398" i="14"/>
  <c r="BE398" i="14" s="1"/>
  <c r="BT397" i="14"/>
  <c r="AM396" i="14"/>
  <c r="BZ396" i="14" s="1"/>
  <c r="AM395" i="14"/>
  <c r="BZ406" i="14"/>
  <c r="AM394" i="14"/>
  <c r="BZ394" i="14"/>
  <c r="AM393" i="14"/>
  <c r="BZ393" i="14" s="1"/>
  <c r="AM392" i="14"/>
  <c r="BZ392" i="14" s="1"/>
  <c r="BD391" i="14"/>
  <c r="AM391" i="14"/>
  <c r="AM390" i="14"/>
  <c r="BD389" i="14"/>
  <c r="BZ389" i="14" s="1"/>
  <c r="AM389" i="14"/>
  <c r="BD388" i="14"/>
  <c r="AM388" i="14"/>
  <c r="BD387" i="14"/>
  <c r="AM386" i="14"/>
  <c r="BZ386" i="14" s="1"/>
  <c r="BD385" i="14"/>
  <c r="BE385" i="14" s="1"/>
  <c r="BD384" i="14"/>
  <c r="AM384" i="14"/>
  <c r="AM383" i="14"/>
  <c r="BD382" i="14"/>
  <c r="AM382" i="14"/>
  <c r="AM381" i="14"/>
  <c r="BD380" i="14"/>
  <c r="AM380" i="14"/>
  <c r="BD379" i="14"/>
  <c r="AM379" i="14"/>
  <c r="BD378" i="14"/>
  <c r="AM378" i="14"/>
  <c r="AM377" i="14"/>
  <c r="BD376" i="14"/>
  <c r="AM376" i="14"/>
  <c r="BT375" i="14"/>
  <c r="AM374" i="14"/>
  <c r="BD373" i="14"/>
  <c r="BZ373" i="14" s="1"/>
  <c r="AM373" i="14"/>
  <c r="BT372" i="14"/>
  <c r="AM371" i="14"/>
  <c r="BD370" i="14"/>
  <c r="AM370" i="14"/>
  <c r="AM369" i="14"/>
  <c r="BZ369" i="14"/>
  <c r="AM368" i="14"/>
  <c r="AM367" i="14"/>
  <c r="BZ367" i="14" s="1"/>
  <c r="BD366" i="14"/>
  <c r="AM365" i="14"/>
  <c r="AM364" i="14"/>
  <c r="AM363" i="14"/>
  <c r="AM362" i="14"/>
  <c r="BD361" i="14"/>
  <c r="AM361" i="14"/>
  <c r="BD360" i="14"/>
  <c r="AM360" i="14"/>
  <c r="AM359" i="14"/>
  <c r="BD358" i="14"/>
  <c r="BZ358" i="14" s="1"/>
  <c r="AM357" i="14"/>
  <c r="BZ357" i="14" s="1"/>
  <c r="BD356" i="14"/>
  <c r="BZ356" i="14" s="1"/>
  <c r="AM356" i="14"/>
  <c r="AM355" i="14"/>
  <c r="BZ355" i="14" s="1"/>
  <c r="AM354" i="14"/>
  <c r="BD353" i="14"/>
  <c r="AM353" i="14"/>
  <c r="BD352" i="14"/>
  <c r="BE352" i="14" s="1"/>
  <c r="AM351" i="14"/>
  <c r="BD350" i="14"/>
  <c r="AM350" i="14"/>
  <c r="AM349" i="14"/>
  <c r="AU348" i="14"/>
  <c r="BZ348" i="14" s="1"/>
  <c r="AM348" i="14"/>
  <c r="BE348" i="14" s="1"/>
  <c r="BD347" i="14"/>
  <c r="AM347" i="14"/>
  <c r="BT346" i="14"/>
  <c r="AM345" i="14"/>
  <c r="AM344" i="14"/>
  <c r="AM343" i="14"/>
  <c r="AM342" i="14"/>
  <c r="BZ342" i="14" s="1"/>
  <c r="AM341" i="14"/>
  <c r="AM340" i="14"/>
  <c r="AM339" i="14"/>
  <c r="BD338" i="14"/>
  <c r="BD337" i="14"/>
  <c r="BZ337" i="14" s="1"/>
  <c r="AM337" i="14"/>
  <c r="AM336" i="14"/>
  <c r="BD335" i="14"/>
  <c r="BT334" i="14"/>
  <c r="AU333" i="14"/>
  <c r="AM333" i="14"/>
  <c r="BE333" i="14" s="1"/>
  <c r="BD332" i="14"/>
  <c r="AM332" i="14"/>
  <c r="BE332" i="14" s="1"/>
  <c r="AV332" i="14"/>
  <c r="AM331" i="14"/>
  <c r="BZ331" i="14"/>
  <c r="AM330" i="14"/>
  <c r="BD329" i="14"/>
  <c r="BZ329" i="14" s="1"/>
  <c r="AM329" i="14"/>
  <c r="BE329" i="14" s="1"/>
  <c r="AV329" i="14"/>
  <c r="BT328" i="14"/>
  <c r="AM327" i="14"/>
  <c r="BZ327" i="14" s="1"/>
  <c r="AM326" i="14"/>
  <c r="AM325" i="14"/>
  <c r="BZ325" i="14" s="1"/>
  <c r="AM324" i="14"/>
  <c r="AM323" i="14"/>
  <c r="BZ323" i="14" s="1"/>
  <c r="BD322" i="14"/>
  <c r="AM322" i="14"/>
  <c r="AM321" i="14"/>
  <c r="AM320" i="14"/>
  <c r="BZ320" i="14" s="1"/>
  <c r="AM319" i="14"/>
  <c r="BZ319" i="14" s="1"/>
  <c r="AM318" i="14"/>
  <c r="BZ318" i="14" s="1"/>
  <c r="AM317" i="14"/>
  <c r="BZ317" i="14" s="1"/>
  <c r="BZ497" i="14"/>
  <c r="AM316" i="14"/>
  <c r="BZ316" i="14" s="1"/>
  <c r="AM315" i="14"/>
  <c r="AM314" i="14"/>
  <c r="BZ314" i="14" s="1"/>
  <c r="AM313" i="14"/>
  <c r="BZ313" i="14" s="1"/>
  <c r="AM312" i="14"/>
  <c r="BD311" i="14"/>
  <c r="BZ311" i="14" s="1"/>
  <c r="BD310" i="14"/>
  <c r="BT309" i="14"/>
  <c r="AM308" i="14"/>
  <c r="AM307" i="14"/>
  <c r="BD306" i="14"/>
  <c r="BZ306" i="14" s="1"/>
  <c r="AM306" i="14"/>
  <c r="AM305" i="14"/>
  <c r="BD304" i="14"/>
  <c r="AM303" i="14"/>
  <c r="AM302" i="14"/>
  <c r="AM301" i="14"/>
  <c r="BT300" i="14"/>
  <c r="BD299" i="14"/>
  <c r="AM299" i="14"/>
  <c r="AM298" i="14"/>
  <c r="BD297" i="14"/>
  <c r="BZ297" i="14" s="1"/>
  <c r="AM297" i="14"/>
  <c r="BE297" i="14" s="1"/>
  <c r="AV297" i="14"/>
  <c r="BD296" i="14"/>
  <c r="BE296" i="14" s="1"/>
  <c r="BD295" i="14"/>
  <c r="BE295" i="14" s="1"/>
  <c r="AM294" i="14"/>
  <c r="BT293" i="14"/>
  <c r="BD292" i="14"/>
  <c r="BZ292" i="14" s="1"/>
  <c r="AM292" i="14"/>
  <c r="AM291" i="14"/>
  <c r="BD290" i="14"/>
  <c r="AM290" i="14"/>
  <c r="BE290" i="14" s="1"/>
  <c r="AV290" i="14"/>
  <c r="AM289" i="14"/>
  <c r="AM288" i="14"/>
  <c r="BT287" i="14"/>
  <c r="AM286" i="14"/>
  <c r="BZ286" i="14" s="1"/>
  <c r="AM285" i="14"/>
  <c r="BD284" i="14"/>
  <c r="AM284" i="14"/>
  <c r="BD283" i="14"/>
  <c r="AM282" i="14"/>
  <c r="BT282" i="14" s="1"/>
  <c r="BZ293" i="14"/>
  <c r="AM281" i="14"/>
  <c r="BZ281" i="14" s="1"/>
  <c r="AM280" i="14"/>
  <c r="AM279" i="14"/>
  <c r="AM278" i="14"/>
  <c r="BZ278" i="14" s="1"/>
  <c r="AU277" i="14"/>
  <c r="AM277" i="14"/>
  <c r="BE277" i="14" s="1"/>
  <c r="AM276" i="14"/>
  <c r="BD275" i="14"/>
  <c r="BE275" i="14" s="1"/>
  <c r="AM274" i="14"/>
  <c r="BD273" i="14"/>
  <c r="BD272" i="14"/>
  <c r="BZ272" i="14" s="1"/>
  <c r="AM272" i="14"/>
  <c r="BD271" i="14"/>
  <c r="BZ271" i="14" s="1"/>
  <c r="AM271" i="14"/>
  <c r="BE271" i="14" s="1"/>
  <c r="AV271" i="14"/>
  <c r="BD270" i="14"/>
  <c r="AM270" i="14"/>
  <c r="BE270" i="14" s="1"/>
  <c r="AV270" i="14"/>
  <c r="AM269" i="14"/>
  <c r="AM268" i="14"/>
  <c r="AM267" i="14"/>
  <c r="BD266" i="14"/>
  <c r="AM266" i="14"/>
  <c r="BE266" i="14" s="1"/>
  <c r="AV266" i="14"/>
  <c r="BD265" i="14"/>
  <c r="BZ265" i="14" s="1"/>
  <c r="AM265" i="14"/>
  <c r="AM264" i="14"/>
  <c r="BZ264" i="14" s="1"/>
  <c r="BD263" i="14"/>
  <c r="AM263" i="14"/>
  <c r="BD262" i="14"/>
  <c r="BZ262" i="14" s="1"/>
  <c r="AM262" i="14"/>
  <c r="BE262" i="14" s="1"/>
  <c r="AV262" i="14"/>
  <c r="BD261" i="14"/>
  <c r="AM260" i="14"/>
  <c r="BZ260" i="14" s="1"/>
  <c r="AM259" i="14"/>
  <c r="BT258" i="14"/>
  <c r="BD257" i="14"/>
  <c r="AM256" i="14"/>
  <c r="BZ256" i="14" s="1"/>
  <c r="AM255" i="14"/>
  <c r="AM254" i="14"/>
  <c r="AM253" i="14"/>
  <c r="BD252" i="14"/>
  <c r="AM252" i="14"/>
  <c r="AM251" i="14"/>
  <c r="AM250" i="14"/>
  <c r="BD249" i="14"/>
  <c r="BD248" i="14"/>
  <c r="AM248" i="14"/>
  <c r="BE248" i="14" s="1"/>
  <c r="AV248" i="14"/>
  <c r="BD247" i="14"/>
  <c r="AM247" i="14"/>
  <c r="AM246" i="14"/>
  <c r="AM245" i="14"/>
  <c r="BZ245" i="14" s="1"/>
  <c r="BD244" i="14"/>
  <c r="AM244" i="14"/>
  <c r="BE244" i="14" s="1"/>
  <c r="AV244" i="14"/>
  <c r="AM243" i="14"/>
  <c r="BZ243" i="14" s="1"/>
  <c r="BD242" i="14"/>
  <c r="AM242" i="14"/>
  <c r="BD241" i="14"/>
  <c r="BZ241" i="14" s="1"/>
  <c r="AM240" i="14"/>
  <c r="BZ240" i="14" s="1"/>
  <c r="AM239" i="14"/>
  <c r="BZ239" i="14" s="1"/>
  <c r="BD238" i="14"/>
  <c r="AM238" i="14"/>
  <c r="AM237" i="14"/>
  <c r="AM236" i="14"/>
  <c r="BD235" i="14"/>
  <c r="AM234" i="14"/>
  <c r="AV234" i="14" s="1"/>
  <c r="AM233" i="14"/>
  <c r="BT232" i="14"/>
  <c r="BD231" i="14"/>
  <c r="AM231" i="14"/>
  <c r="BE231" i="14" s="1"/>
  <c r="AV231" i="14"/>
  <c r="AM230" i="14"/>
  <c r="BD229" i="14"/>
  <c r="BZ229" i="14" s="1"/>
  <c r="BD228" i="14"/>
  <c r="AM228" i="14"/>
  <c r="BE228" i="14" s="1"/>
  <c r="AV228" i="14"/>
  <c r="BT227" i="14"/>
  <c r="BT226" i="14"/>
  <c r="BD225" i="14"/>
  <c r="AM225" i="14"/>
  <c r="BE225" i="14" s="1"/>
  <c r="AV225" i="14"/>
  <c r="BD224" i="14"/>
  <c r="BD223" i="14"/>
  <c r="BD222" i="14"/>
  <c r="AM222" i="14"/>
  <c r="BD221" i="14"/>
  <c r="BE221" i="14" s="1"/>
  <c r="BD220" i="14"/>
  <c r="AM220" i="14"/>
  <c r="BD219" i="14"/>
  <c r="BZ219" i="14" s="1"/>
  <c r="AM219" i="14"/>
  <c r="BE219" i="14" s="1"/>
  <c r="AV219" i="14"/>
  <c r="BD218" i="14"/>
  <c r="AM218" i="14"/>
  <c r="AM217" i="14"/>
  <c r="BE217" i="14" s="1"/>
  <c r="BD216" i="14"/>
  <c r="BD215" i="14"/>
  <c r="BZ215" i="14" s="1"/>
  <c r="AM214" i="14"/>
  <c r="AM213" i="14"/>
  <c r="AM212" i="14"/>
  <c r="BD211" i="14"/>
  <c r="BZ211" i="14" s="1"/>
  <c r="AM210" i="14"/>
  <c r="BT210" i="14" s="1"/>
  <c r="BD209" i="14"/>
  <c r="AM208" i="14"/>
  <c r="AM207" i="14"/>
  <c r="BZ207" i="14" s="1"/>
  <c r="AM206" i="14"/>
  <c r="AM205" i="14"/>
  <c r="BZ205" i="14" s="1"/>
  <c r="BD204" i="14"/>
  <c r="BZ204" i="14" s="1"/>
  <c r="AM204" i="14"/>
  <c r="AM203" i="14"/>
  <c r="BD202" i="14"/>
  <c r="AM202" i="14"/>
  <c r="BD201" i="14"/>
  <c r="AM201" i="14"/>
  <c r="AM200" i="14"/>
  <c r="AM199" i="14"/>
  <c r="BD198" i="14"/>
  <c r="AM198" i="14"/>
  <c r="BE198" i="14" s="1"/>
  <c r="AV198" i="14"/>
  <c r="AU197" i="14"/>
  <c r="BZ197" i="14" s="1"/>
  <c r="AM197" i="14"/>
  <c r="BE197" i="14" s="1"/>
  <c r="BD196" i="14"/>
  <c r="AM196" i="14"/>
  <c r="BD195" i="14"/>
  <c r="BZ195" i="14" s="1"/>
  <c r="AM195" i="14"/>
  <c r="BE195" i="14" s="1"/>
  <c r="AV195" i="14"/>
  <c r="AM194" i="14"/>
  <c r="BD193" i="14"/>
  <c r="AM193" i="14"/>
  <c r="BT192" i="14"/>
  <c r="BD191" i="14"/>
  <c r="AM191" i="14"/>
  <c r="BD190" i="14"/>
  <c r="AM190" i="14"/>
  <c r="BD189" i="14"/>
  <c r="AM189" i="14"/>
  <c r="BE189" i="14" s="1"/>
  <c r="AV189" i="14"/>
  <c r="AM188" i="14"/>
  <c r="AM187" i="14"/>
  <c r="BD186" i="14"/>
  <c r="BD185" i="14"/>
  <c r="BT185" i="14" s="1"/>
  <c r="AM184" i="14"/>
  <c r="BT184" i="14" s="1"/>
  <c r="AM183" i="14"/>
  <c r="AM182" i="14"/>
  <c r="BD181" i="14"/>
  <c r="AM181" i="14"/>
  <c r="AM180" i="14"/>
  <c r="AM179" i="14"/>
  <c r="AM178" i="14"/>
  <c r="AM177" i="14"/>
  <c r="BT177" i="14" s="1"/>
  <c r="AM176" i="14"/>
  <c r="BZ176" i="14" s="1"/>
  <c r="AM175" i="14"/>
  <c r="BD174" i="14"/>
  <c r="BZ174" i="14" s="1"/>
  <c r="AM173" i="14"/>
  <c r="AU172" i="14"/>
  <c r="BZ172" i="14" s="1"/>
  <c r="AM172" i="14"/>
  <c r="BE172" i="14" s="1"/>
  <c r="BD171" i="14"/>
  <c r="AM171" i="14"/>
  <c r="AM170" i="14"/>
  <c r="BD169" i="14"/>
  <c r="AU169" i="14"/>
  <c r="AM169" i="14"/>
  <c r="BE169" i="14" s="1"/>
  <c r="AM168" i="14"/>
  <c r="BZ168" i="14" s="1"/>
  <c r="AM167" i="14"/>
  <c r="BD166" i="14"/>
  <c r="AM166" i="14"/>
  <c r="BE166" i="14" s="1"/>
  <c r="AV166" i="14"/>
  <c r="BD165" i="14"/>
  <c r="AM164" i="14"/>
  <c r="BD163" i="14"/>
  <c r="BD162" i="14"/>
  <c r="AM161" i="14"/>
  <c r="BT160" i="14"/>
  <c r="AM159" i="14"/>
  <c r="AM158" i="14"/>
  <c r="AM157" i="14"/>
  <c r="BT156" i="14"/>
  <c r="AM155" i="14"/>
  <c r="AM154" i="14"/>
  <c r="AM153" i="14"/>
  <c r="AM152" i="14"/>
  <c r="AM151" i="14"/>
  <c r="BD150" i="14"/>
  <c r="BZ150" i="14" s="1"/>
  <c r="AM150" i="14"/>
  <c r="AM149" i="14"/>
  <c r="BD148" i="14"/>
  <c r="AM148" i="14"/>
  <c r="BD147" i="14"/>
  <c r="AM147" i="14"/>
  <c r="BT146" i="14"/>
  <c r="AM145" i="14"/>
  <c r="AM144" i="14"/>
  <c r="AM143" i="14"/>
  <c r="BD142" i="14"/>
  <c r="AM141" i="14"/>
  <c r="AM140" i="14"/>
  <c r="BZ140" i="14" s="1"/>
  <c r="BT139" i="14"/>
  <c r="AM138" i="14"/>
  <c r="BD137" i="14"/>
  <c r="BZ137" i="14" s="1"/>
  <c r="AM137" i="14"/>
  <c r="AM136" i="14"/>
  <c r="AM135" i="14"/>
  <c r="AM134" i="14"/>
  <c r="AM133" i="14"/>
  <c r="AM132" i="14"/>
  <c r="BD131" i="14"/>
  <c r="AM131" i="14"/>
  <c r="BD130" i="14"/>
  <c r="AM130" i="14"/>
  <c r="BD129" i="14"/>
  <c r="AM128" i="14"/>
  <c r="BT128" i="14" s="1"/>
  <c r="BD127" i="14"/>
  <c r="BT127" i="14" s="1"/>
  <c r="BT126" i="14"/>
  <c r="AM125" i="14"/>
  <c r="BZ125" i="14" s="1"/>
  <c r="AM124" i="14"/>
  <c r="BD123" i="14"/>
  <c r="BZ123" i="14" s="1"/>
  <c r="AM123" i="14"/>
  <c r="AM122" i="14"/>
  <c r="AM121" i="14"/>
  <c r="BD120" i="14"/>
  <c r="BZ120" i="14" s="1"/>
  <c r="AM120" i="14"/>
  <c r="BD119" i="14"/>
  <c r="AM119" i="14"/>
  <c r="AM118" i="14"/>
  <c r="AM117" i="14"/>
  <c r="BZ117" i="14" s="1"/>
  <c r="BD116" i="14"/>
  <c r="BZ116" i="14" s="1"/>
  <c r="AM116" i="14"/>
  <c r="BD115" i="14"/>
  <c r="AM114" i="14"/>
  <c r="BZ114" i="14" s="1"/>
  <c r="AM113" i="14"/>
  <c r="BT113" i="14" s="1"/>
  <c r="AM112" i="14"/>
  <c r="AM111" i="14"/>
  <c r="BT111" i="14" s="1"/>
  <c r="AM110" i="14"/>
  <c r="BD109" i="14"/>
  <c r="AM109" i="14"/>
  <c r="BE109" i="14" s="1"/>
  <c r="AV109" i="14"/>
  <c r="BT108" i="14"/>
  <c r="BD107" i="14"/>
  <c r="BZ107" i="14" s="1"/>
  <c r="AM107" i="14"/>
  <c r="AM106" i="14"/>
  <c r="BZ106" i="14" s="1"/>
  <c r="BD105" i="14"/>
  <c r="AM105" i="14"/>
  <c r="AM104" i="14"/>
  <c r="BD103" i="14"/>
  <c r="AM102" i="14"/>
  <c r="AM101" i="14"/>
  <c r="BZ101" i="14" s="1"/>
  <c r="BD100" i="14"/>
  <c r="BD99" i="14"/>
  <c r="BZ99" i="14" s="1"/>
  <c r="AM99" i="14"/>
  <c r="BT98" i="14"/>
  <c r="BD97" i="14"/>
  <c r="BZ97" i="14" s="1"/>
  <c r="BD96" i="14"/>
  <c r="AM96" i="14"/>
  <c r="BE96" i="14" s="1"/>
  <c r="AV96" i="14"/>
  <c r="AM95" i="14"/>
  <c r="BT94" i="14"/>
  <c r="AM93" i="14"/>
  <c r="AM92" i="14"/>
  <c r="BD91" i="14"/>
  <c r="AM91" i="14"/>
  <c r="BD90" i="14"/>
  <c r="AM90" i="14"/>
  <c r="BE90" i="14" s="1"/>
  <c r="AV90" i="14"/>
  <c r="BD89" i="14"/>
  <c r="AM89" i="14"/>
  <c r="BD88" i="14"/>
  <c r="BD87" i="14"/>
  <c r="AM87" i="14"/>
  <c r="BD86" i="14"/>
  <c r="AM86" i="14"/>
  <c r="BD85" i="14"/>
  <c r="AM85" i="14"/>
  <c r="AM84" i="14"/>
  <c r="BD83" i="14"/>
  <c r="AM83" i="14"/>
  <c r="BT82" i="14"/>
  <c r="AM81" i="14"/>
  <c r="AM80" i="14"/>
  <c r="BD79" i="14"/>
  <c r="AM79" i="14"/>
  <c r="AM78" i="14"/>
  <c r="AM77" i="14"/>
  <c r="BZ77" i="14" s="1"/>
  <c r="BD76" i="14"/>
  <c r="AM76" i="14"/>
  <c r="AM75" i="14"/>
  <c r="BZ75" i="14" s="1"/>
  <c r="BT74" i="14"/>
  <c r="AM73" i="14"/>
  <c r="BE73" i="14" s="1"/>
  <c r="BD72" i="14"/>
  <c r="BD71" i="14"/>
  <c r="BZ71" i="14" s="1"/>
  <c r="AM71" i="14"/>
  <c r="BT70" i="14"/>
  <c r="BD69" i="14"/>
  <c r="AM68" i="14"/>
  <c r="AM67" i="14"/>
  <c r="BZ67" i="14" s="1"/>
  <c r="AU66" i="14"/>
  <c r="BZ66" i="14" s="1"/>
  <c r="AM66" i="14"/>
  <c r="BE66" i="14" s="1"/>
  <c r="BD65" i="14"/>
  <c r="AM65" i="14"/>
  <c r="BD64" i="14"/>
  <c r="BZ64" i="14" s="1"/>
  <c r="AM64" i="14"/>
  <c r="AM63" i="14"/>
  <c r="BT63" i="14" s="1"/>
  <c r="BD62" i="14"/>
  <c r="AM62" i="14"/>
  <c r="AM61" i="14"/>
  <c r="AV61" i="14" s="1"/>
  <c r="BD60" i="14"/>
  <c r="AM59" i="14"/>
  <c r="BD58" i="14"/>
  <c r="BD57" i="14"/>
  <c r="AM57" i="14"/>
  <c r="AM56" i="14"/>
  <c r="AV56" i="14" s="1"/>
  <c r="BD55" i="14"/>
  <c r="AM55" i="14"/>
  <c r="BE55" i="14" s="1"/>
  <c r="AV55" i="14"/>
  <c r="BD54" i="14"/>
  <c r="AM54" i="14"/>
  <c r="AM53" i="14"/>
  <c r="BE53" i="14" s="1"/>
  <c r="AM52" i="14"/>
  <c r="BD51" i="14"/>
  <c r="AM51" i="14"/>
  <c r="AM50" i="14"/>
  <c r="BD49" i="14"/>
  <c r="BD48" i="14"/>
  <c r="BD47" i="14"/>
  <c r="AM47" i="14"/>
  <c r="AM46" i="14"/>
  <c r="BZ46" i="14" s="1"/>
  <c r="BD45" i="14"/>
  <c r="BZ45" i="14" s="1"/>
  <c r="AM45" i="14"/>
  <c r="BD44" i="14"/>
  <c r="AM44" i="14"/>
  <c r="AM43" i="14"/>
  <c r="AM42" i="14"/>
  <c r="BD41" i="14"/>
  <c r="AM41" i="14"/>
  <c r="AM40" i="14"/>
  <c r="AU39" i="14"/>
  <c r="AM39" i="14"/>
  <c r="BE39" i="14" s="1"/>
  <c r="AM38" i="14"/>
  <c r="BD37" i="14"/>
  <c r="AU37" i="14"/>
  <c r="AM37" i="14"/>
  <c r="BE37" i="14" s="1"/>
  <c r="BD36" i="14"/>
  <c r="BE36" i="14" s="1"/>
  <c r="AM35" i="14"/>
  <c r="AM34" i="14"/>
  <c r="AM33" i="14"/>
  <c r="BT32" i="14"/>
  <c r="BD31" i="14"/>
  <c r="AM31" i="14"/>
  <c r="BD30" i="14"/>
  <c r="AM30" i="14"/>
  <c r="BD29" i="14"/>
  <c r="AM29" i="14"/>
  <c r="BD28" i="14"/>
  <c r="BD27" i="14"/>
  <c r="AM27" i="14"/>
  <c r="BD26" i="14"/>
  <c r="BE26" i="14" s="1"/>
  <c r="BT25" i="14"/>
  <c r="AM24" i="14"/>
  <c r="BD23" i="14"/>
  <c r="AM23" i="14"/>
  <c r="BT22" i="14"/>
  <c r="AM21" i="14"/>
  <c r="BD20" i="14"/>
  <c r="AM20" i="14"/>
  <c r="BD19" i="14"/>
  <c r="AM19" i="14"/>
  <c r="BD18" i="14"/>
  <c r="AM18" i="14"/>
  <c r="BE18" i="14" s="1"/>
  <c r="AV18" i="14"/>
  <c r="BD17" i="14"/>
  <c r="BT17" i="14" s="1"/>
  <c r="AM16" i="14"/>
  <c r="AM15" i="14"/>
  <c r="BT14" i="14"/>
  <c r="AM13" i="14"/>
  <c r="AM12" i="14"/>
  <c r="BD11" i="14"/>
  <c r="BE11" i="14" s="1"/>
  <c r="BT10" i="14"/>
  <c r="AM9" i="14"/>
  <c r="AM8" i="14"/>
  <c r="AM7" i="14"/>
  <c r="AM6" i="14"/>
  <c r="BD5" i="14"/>
  <c r="AM4" i="14"/>
  <c r="BD3" i="14"/>
  <c r="AM3" i="14"/>
  <c r="BE3" i="14" s="1"/>
  <c r="AV3" i="14"/>
  <c r="AM2" i="14"/>
  <c r="BT2" i="14"/>
  <c r="BZ328" i="14"/>
  <c r="BZ346" i="14"/>
  <c r="BZ375" i="14"/>
  <c r="BZ334" i="14"/>
  <c r="BZ8" i="14"/>
  <c r="BZ6" i="14"/>
  <c r="BZ22" i="14"/>
  <c r="BZ397" i="14"/>
  <c r="BZ642" i="14"/>
  <c r="BZ14" i="14"/>
  <c r="BZ787" i="14"/>
  <c r="BZ372" i="14"/>
  <c r="BZ10" i="14"/>
  <c r="BZ462" i="14"/>
  <c r="BZ94" i="14"/>
  <c r="BZ767" i="14"/>
  <c r="BZ74" i="14"/>
  <c r="BZ455" i="14"/>
  <c r="BZ160" i="14"/>
  <c r="BZ420" i="14"/>
  <c r="BZ428" i="14"/>
  <c r="BZ438" i="14"/>
  <c r="BZ437" i="14"/>
  <c r="BZ531" i="14"/>
  <c r="BZ70" i="14"/>
  <c r="BZ227" i="14"/>
  <c r="BZ448" i="14"/>
  <c r="BZ465" i="14"/>
  <c r="BZ521" i="14"/>
  <c r="BZ417" i="14"/>
  <c r="BZ453" i="14"/>
  <c r="BZ461" i="14"/>
  <c r="BZ391" i="14"/>
  <c r="BZ401" i="14"/>
  <c r="BZ427" i="14"/>
  <c r="BZ436" i="14"/>
  <c r="BZ446" i="14"/>
  <c r="BZ463" i="14"/>
  <c r="BZ377" i="14"/>
  <c r="BZ39" i="14"/>
  <c r="BE17" i="14"/>
  <c r="BZ17" i="14"/>
  <c r="AV415" i="14"/>
  <c r="BZ415" i="14"/>
  <c r="AV343" i="14"/>
  <c r="BZ343" i="14"/>
  <c r="BZ333" i="14"/>
  <c r="BE344" i="14"/>
  <c r="BZ388" i="14"/>
  <c r="BZ416" i="14"/>
  <c r="BZ432" i="14"/>
  <c r="BT442" i="14"/>
  <c r="BZ442" i="14"/>
  <c r="BT452" i="14"/>
  <c r="BZ452" i="14"/>
  <c r="BZ422" i="14"/>
  <c r="BZ360" i="14"/>
  <c r="BZ450" i="14"/>
  <c r="BE303" i="14"/>
  <c r="BE345" i="14"/>
  <c r="BZ345" i="14"/>
  <c r="BZ353" i="14"/>
  <c r="BZ380" i="14"/>
  <c r="BZ398" i="14"/>
  <c r="BT408" i="14"/>
  <c r="BZ408" i="14"/>
  <c r="BZ425" i="14"/>
  <c r="BT433" i="14"/>
  <c r="BZ433" i="14"/>
  <c r="BT404" i="14"/>
  <c r="BZ404" i="14"/>
  <c r="BZ414" i="14"/>
  <c r="BZ440" i="14"/>
  <c r="BT254" i="14"/>
  <c r="BZ254" i="14"/>
  <c r="BE315" i="14"/>
  <c r="BZ315" i="14"/>
  <c r="BE326" i="14"/>
  <c r="BZ326" i="14"/>
  <c r="BT399" i="14"/>
  <c r="BZ399" i="14"/>
  <c r="BE444" i="14"/>
  <c r="BZ444" i="14"/>
  <c r="BT233" i="14"/>
  <c r="BZ233" i="14"/>
  <c r="AV280" i="14"/>
  <c r="BZ280" i="14"/>
  <c r="BZ263" i="14"/>
  <c r="BE351" i="14"/>
  <c r="BZ351" i="14"/>
  <c r="BZ405" i="14"/>
  <c r="BT424" i="14"/>
  <c r="BZ424" i="14"/>
  <c r="AV451" i="14"/>
  <c r="BZ451" i="14"/>
  <c r="BZ37" i="14"/>
  <c r="BZ193" i="14"/>
  <c r="BZ238" i="14"/>
  <c r="AV274" i="14"/>
  <c r="BZ274" i="14"/>
  <c r="AV354" i="14"/>
  <c r="AV21" i="14"/>
  <c r="BT194" i="14"/>
  <c r="BZ194" i="14"/>
  <c r="BT285" i="14"/>
  <c r="BZ285" i="14"/>
  <c r="AV336" i="14"/>
  <c r="BZ336" i="14"/>
  <c r="AV364" i="14"/>
  <c r="BT390" i="14"/>
  <c r="BZ390" i="14"/>
  <c r="BZ426" i="14"/>
  <c r="BT435" i="14"/>
  <c r="BZ435" i="14"/>
  <c r="BT385" i="14"/>
  <c r="BZ385" i="14"/>
  <c r="BT26" i="14"/>
  <c r="BZ190" i="14"/>
  <c r="BZ290" i="14"/>
  <c r="BT341" i="14"/>
  <c r="BE43" i="14"/>
  <c r="BZ43" i="14"/>
  <c r="BZ244" i="14"/>
  <c r="BZ458" i="14"/>
  <c r="BT36" i="14"/>
  <c r="BZ36" i="14"/>
  <c r="BZ198" i="14"/>
  <c r="AV236" i="14"/>
  <c r="BZ236" i="14"/>
  <c r="BT352" i="14"/>
  <c r="BZ352" i="14"/>
  <c r="BT459" i="14"/>
  <c r="BZ459" i="14"/>
  <c r="BE9" i="14"/>
  <c r="BZ9" i="14"/>
  <c r="BE154" i="14"/>
  <c r="BZ154" i="14"/>
  <c r="BT11" i="14"/>
  <c r="BZ11" i="14"/>
  <c r="BE185" i="14"/>
  <c r="BZ247" i="14"/>
  <c r="BE381" i="14"/>
  <c r="BZ381" i="14"/>
  <c r="BT175" i="14"/>
  <c r="BZ175" i="14"/>
  <c r="BZ201" i="14"/>
  <c r="BT275" i="14"/>
  <c r="BZ275" i="14"/>
  <c r="BT295" i="14"/>
  <c r="AV305" i="14"/>
  <c r="BZ305" i="14"/>
  <c r="BT374" i="14"/>
  <c r="BZ374" i="14"/>
  <c r="BE13" i="14"/>
  <c r="BZ13" i="14"/>
  <c r="BZ30" i="14"/>
  <c r="BT118" i="14"/>
  <c r="BZ118" i="14"/>
  <c r="BE127" i="14"/>
  <c r="BZ127" i="14"/>
  <c r="BZ147" i="14"/>
  <c r="AV157" i="14"/>
  <c r="BZ157" i="14"/>
  <c r="BT212" i="14"/>
  <c r="BT221" i="14"/>
  <c r="BZ221" i="14"/>
  <c r="AV230" i="14"/>
  <c r="BZ248" i="14"/>
  <c r="AV259" i="14"/>
  <c r="BZ259" i="14"/>
  <c r="AV267" i="14"/>
  <c r="BZ267" i="14"/>
  <c r="BT276" i="14"/>
  <c r="BZ276" i="14"/>
  <c r="BT296" i="14"/>
  <c r="BZ296" i="14"/>
  <c r="BZ347" i="14"/>
  <c r="BT365" i="14"/>
  <c r="BZ365" i="14"/>
  <c r="BZ382" i="14"/>
  <c r="BZ410" i="14"/>
  <c r="BZ418" i="14"/>
  <c r="BZ454" i="14"/>
  <c r="BT359" i="14"/>
  <c r="BZ359" i="14"/>
  <c r="AV430" i="14"/>
  <c r="BZ430" i="14"/>
  <c r="BT34" i="14"/>
  <c r="BT121" i="14"/>
  <c r="BZ121" i="14"/>
  <c r="BZ252" i="14"/>
  <c r="BZ18" i="14"/>
  <c r="BZ171" i="14"/>
  <c r="BE206" i="14"/>
  <c r="BZ206" i="14"/>
  <c r="BZ322" i="14"/>
  <c r="BZ177" i="14" l="1"/>
  <c r="BZ183" i="14"/>
  <c r="BZ185" i="14"/>
  <c r="BZ187" i="14"/>
  <c r="BZ212" i="14"/>
  <c r="BZ213" i="14"/>
  <c r="BZ217" i="14"/>
  <c r="BZ266" i="14"/>
  <c r="BZ270" i="14"/>
  <c r="BZ283" i="14"/>
  <c r="BZ299" i="14"/>
  <c r="BZ302" i="14"/>
  <c r="BZ304" i="14"/>
  <c r="BZ312" i="14"/>
  <c r="BZ340" i="14"/>
  <c r="BZ341" i="14"/>
  <c r="BZ344" i="14"/>
  <c r="BZ350" i="14"/>
  <c r="BZ354" i="14"/>
  <c r="BZ361" i="14"/>
  <c r="BZ362" i="14"/>
  <c r="BZ363" i="14"/>
  <c r="BZ364" i="14"/>
  <c r="BZ523" i="14"/>
  <c r="BZ524" i="14"/>
  <c r="BZ525" i="14"/>
  <c r="BZ526" i="14"/>
  <c r="BZ527" i="14"/>
  <c r="BZ528" i="14"/>
  <c r="BZ529" i="14"/>
  <c r="BZ533" i="14"/>
  <c r="BZ553" i="14"/>
  <c r="BZ555" i="14"/>
  <c r="BZ559" i="14"/>
  <c r="BZ560" i="14"/>
  <c r="BZ565" i="14"/>
  <c r="BZ566" i="14"/>
  <c r="BZ567" i="14"/>
  <c r="BZ571" i="14"/>
  <c r="BZ573" i="14"/>
  <c r="BZ574" i="14"/>
  <c r="BZ576" i="14"/>
  <c r="BZ577" i="14"/>
  <c r="BZ578" i="14"/>
  <c r="BZ579" i="14"/>
  <c r="BZ580" i="14"/>
  <c r="BZ581" i="14"/>
  <c r="BZ582" i="14"/>
  <c r="BZ588" i="14"/>
  <c r="BZ589" i="14"/>
  <c r="BZ590" i="14"/>
  <c r="BZ591" i="14"/>
  <c r="BZ592" i="14"/>
  <c r="BZ595" i="14"/>
  <c r="BZ599" i="14"/>
  <c r="BZ600" i="14"/>
  <c r="BZ603" i="14"/>
  <c r="BZ611" i="14"/>
  <c r="BZ612" i="14"/>
  <c r="BZ630" i="14"/>
  <c r="BZ632" i="14"/>
  <c r="BZ633" i="14"/>
  <c r="BZ634" i="14"/>
  <c r="BZ637" i="14"/>
  <c r="BZ638" i="14"/>
  <c r="BZ663" i="14"/>
  <c r="BZ664" i="14"/>
  <c r="BZ665" i="14"/>
  <c r="BZ666" i="14"/>
  <c r="BZ667" i="14"/>
  <c r="BZ670" i="14"/>
  <c r="BZ676" i="14"/>
  <c r="BZ677" i="14"/>
  <c r="BZ680" i="14"/>
  <c r="BZ697" i="14"/>
  <c r="BZ701" i="14"/>
  <c r="BZ702" i="14"/>
  <c r="BZ705" i="14"/>
  <c r="BZ710" i="14"/>
  <c r="BZ711" i="14"/>
  <c r="BZ720" i="14"/>
  <c r="BZ721" i="14"/>
  <c r="BZ722" i="14"/>
  <c r="BZ723" i="14"/>
  <c r="BZ724" i="14"/>
  <c r="BZ734" i="14"/>
  <c r="BZ740" i="14"/>
  <c r="BZ741" i="14"/>
  <c r="BZ752" i="14"/>
  <c r="BZ772" i="14"/>
  <c r="BT846" i="14"/>
  <c r="BT844" i="14"/>
  <c r="BT841" i="14"/>
  <c r="BT837" i="14"/>
  <c r="BT832" i="14"/>
  <c r="BT829" i="14"/>
  <c r="BT825" i="14"/>
  <c r="BT818" i="14"/>
  <c r="BT816" i="14"/>
  <c r="BT812" i="14"/>
  <c r="BT808" i="14"/>
  <c r="BT801" i="14"/>
  <c r="BT798" i="14"/>
  <c r="AV798" i="14"/>
  <c r="BT793" i="14"/>
  <c r="BT792" i="14"/>
  <c r="BT791" i="14"/>
  <c r="BT786" i="14"/>
  <c r="BT785" i="14"/>
  <c r="BT781" i="14"/>
  <c r="BT776" i="14"/>
  <c r="BT774" i="14"/>
  <c r="BT771" i="14"/>
  <c r="BT766" i="14"/>
  <c r="BT750" i="14"/>
  <c r="BT735" i="14"/>
  <c r="BT734" i="14"/>
  <c r="BT722" i="14"/>
  <c r="BT707" i="14"/>
  <c r="BT705" i="14"/>
  <c r="BT704" i="14"/>
  <c r="BT701" i="14"/>
  <c r="BT697" i="14"/>
  <c r="BT696" i="14"/>
  <c r="BT695" i="14"/>
  <c r="BT687" i="14"/>
  <c r="BT684" i="14"/>
  <c r="BT676" i="14"/>
  <c r="BT671" i="14"/>
  <c r="BT666" i="14"/>
  <c r="BT658" i="14"/>
  <c r="BT648" i="14"/>
  <c r="BT647" i="14"/>
  <c r="BT644" i="14"/>
  <c r="BT637" i="14"/>
  <c r="BT631" i="14"/>
  <c r="BT629" i="14"/>
  <c r="BT627" i="14"/>
  <c r="BT624" i="14"/>
  <c r="BT617" i="14"/>
  <c r="BT614" i="14"/>
  <c r="BT612" i="14"/>
  <c r="BT608" i="14"/>
  <c r="BT605" i="14"/>
  <c r="BT598" i="14"/>
  <c r="BT595" i="14"/>
  <c r="BT590" i="14"/>
  <c r="BT581" i="14"/>
  <c r="BT580" i="14"/>
  <c r="BT578" i="14"/>
  <c r="BT573" i="14"/>
  <c r="BT571" i="14"/>
  <c r="BT568" i="14"/>
  <c r="BT566" i="14"/>
  <c r="BT562" i="14"/>
  <c r="BT561" i="14"/>
  <c r="BT557" i="14"/>
  <c r="BT548" i="14"/>
  <c r="BT546" i="14"/>
  <c r="BT542" i="14"/>
  <c r="BT541" i="14"/>
  <c r="BT540" i="14"/>
  <c r="BT537" i="14"/>
  <c r="BT536" i="14"/>
  <c r="BT535" i="14"/>
  <c r="BT534" i="14"/>
  <c r="BT530" i="14"/>
  <c r="BT526" i="14"/>
  <c r="BT519" i="14"/>
  <c r="BT517" i="14"/>
  <c r="BT511" i="14"/>
  <c r="BT509" i="14"/>
  <c r="BT508" i="14"/>
  <c r="BT503" i="14"/>
  <c r="BT485" i="14"/>
  <c r="BT481" i="14"/>
  <c r="BT479" i="14"/>
  <c r="BT463" i="14"/>
  <c r="BT461" i="14"/>
  <c r="BT458" i="14"/>
  <c r="AV458" i="14"/>
  <c r="BT454" i="14"/>
  <c r="BT453" i="14"/>
  <c r="BT450" i="14"/>
  <c r="BT446" i="14"/>
  <c r="BT440" i="14"/>
  <c r="BT436" i="14"/>
  <c r="BT432" i="14"/>
  <c r="BT426" i="14"/>
  <c r="BT422" i="14"/>
  <c r="BT418" i="14"/>
  <c r="BT417" i="14"/>
  <c r="BT416" i="14"/>
  <c r="BT414" i="14"/>
  <c r="BT410" i="14"/>
  <c r="BT405" i="14"/>
  <c r="BT401" i="14"/>
  <c r="BT391" i="14"/>
  <c r="BT389" i="14"/>
  <c r="BT388" i="14"/>
  <c r="BT382" i="14"/>
  <c r="BT380" i="14"/>
  <c r="BT373" i="14"/>
  <c r="BT361" i="14"/>
  <c r="BT360" i="14"/>
  <c r="BT356" i="14"/>
  <c r="BT353" i="14"/>
  <c r="BT350" i="14"/>
  <c r="BT347" i="14"/>
  <c r="BT337" i="14"/>
  <c r="BT329" i="14"/>
  <c r="BT322" i="14"/>
  <c r="BT306" i="14"/>
  <c r="BT299" i="14"/>
  <c r="BT297" i="14"/>
  <c r="BT292" i="14"/>
  <c r="BT290" i="14"/>
  <c r="BT284" i="14"/>
  <c r="BT272" i="14"/>
  <c r="BT271" i="14"/>
  <c r="BT270" i="14"/>
  <c r="BT266" i="14"/>
  <c r="BT265" i="14"/>
  <c r="BT263" i="14"/>
  <c r="BT262" i="14"/>
  <c r="BT252" i="14"/>
  <c r="BT248" i="14"/>
  <c r="BT247" i="14"/>
  <c r="BT244" i="14"/>
  <c r="BT238" i="14"/>
  <c r="BT220" i="14"/>
  <c r="BT219" i="14"/>
  <c r="BT204" i="14"/>
  <c r="BT202" i="14"/>
  <c r="BT201" i="14"/>
  <c r="BT198" i="14"/>
  <c r="BT195" i="14"/>
  <c r="BT193" i="14"/>
  <c r="BT190" i="14"/>
  <c r="BT171" i="14"/>
  <c r="AV169" i="14"/>
  <c r="BT150" i="14"/>
  <c r="BT147" i="14"/>
  <c r="BT137" i="14"/>
  <c r="BT131" i="14"/>
  <c r="BT123" i="14"/>
  <c r="BT120" i="14"/>
  <c r="BT116" i="14"/>
  <c r="BT107" i="14"/>
  <c r="BT99" i="14"/>
  <c r="BT90" i="14"/>
  <c r="BT89" i="14"/>
  <c r="BT87" i="14"/>
  <c r="BT86" i="14"/>
  <c r="BT85" i="14"/>
  <c r="BT83" i="14"/>
  <c r="BT71" i="14"/>
  <c r="BT64" i="14"/>
  <c r="BT55" i="14"/>
  <c r="BT47" i="14"/>
  <c r="BT45" i="14"/>
  <c r="BT37" i="14"/>
  <c r="BT30" i="14"/>
  <c r="BT27" i="14"/>
  <c r="BT19" i="14"/>
  <c r="BT18" i="14"/>
  <c r="BZ47" i="14"/>
  <c r="BZ50" i="14"/>
  <c r="BZ53" i="14"/>
  <c r="BZ55" i="14"/>
  <c r="BZ56" i="14"/>
  <c r="BZ59" i="14"/>
  <c r="BZ61" i="14"/>
  <c r="BZ63" i="14"/>
  <c r="BZ68" i="14"/>
  <c r="BZ69" i="14"/>
  <c r="BZ72" i="14"/>
  <c r="BZ73" i="14"/>
  <c r="BZ80" i="14"/>
  <c r="BZ83" i="14"/>
  <c r="BZ85" i="14"/>
  <c r="BZ86" i="14"/>
  <c r="BZ87" i="14"/>
  <c r="BZ88" i="14"/>
  <c r="BZ89" i="14"/>
  <c r="BZ90" i="14"/>
  <c r="BZ93" i="14"/>
  <c r="BZ111" i="14"/>
  <c r="BZ113" i="14"/>
  <c r="BZ128" i="14"/>
  <c r="BZ131" i="14"/>
  <c r="BZ184" i="14"/>
  <c r="BZ186" i="14"/>
  <c r="BZ210" i="14"/>
  <c r="BZ220" i="14"/>
  <c r="BZ223" i="14"/>
  <c r="BZ230" i="14"/>
  <c r="BZ234" i="14"/>
  <c r="BZ235" i="14"/>
  <c r="BZ273" i="14"/>
  <c r="BZ282" i="14"/>
  <c r="BZ284" i="14"/>
  <c r="BZ288" i="14"/>
  <c r="BZ295" i="14"/>
  <c r="BZ303" i="14"/>
  <c r="BZ843" i="14"/>
  <c r="BE843" i="14"/>
  <c r="BT836" i="14"/>
  <c r="BZ836" i="14"/>
  <c r="BT827" i="14"/>
  <c r="BZ827" i="14"/>
  <c r="BT826" i="14"/>
  <c r="BZ826" i="14"/>
  <c r="BE824" i="14"/>
  <c r="BT824" i="14"/>
  <c r="BZ824" i="14"/>
  <c r="BE819" i="14"/>
  <c r="BT819" i="14"/>
  <c r="BZ819" i="14"/>
  <c r="BT817" i="14"/>
  <c r="BZ817" i="14"/>
  <c r="BE815" i="14"/>
  <c r="BZ815" i="14"/>
  <c r="BT810" i="14"/>
  <c r="BZ810" i="14"/>
  <c r="BZ809" i="14"/>
  <c r="AV809" i="14"/>
  <c r="BZ799" i="14"/>
  <c r="AV799" i="14"/>
  <c r="BE796" i="14"/>
  <c r="BZ796" i="14"/>
  <c r="BZ795" i="14"/>
  <c r="BE795" i="14"/>
  <c r="BZ790" i="14"/>
  <c r="BT790" i="14"/>
  <c r="BZ789" i="14"/>
  <c r="BT789" i="14"/>
  <c r="BE788" i="14"/>
  <c r="BT788" i="14"/>
  <c r="BZ788" i="14"/>
  <c r="BE783" i="14"/>
  <c r="BZ783" i="14"/>
  <c r="BE782" i="14"/>
  <c r="BZ782" i="14"/>
  <c r="BZ773" i="14"/>
  <c r="BT773" i="14"/>
  <c r="BE772" i="14"/>
  <c r="BT772" i="14"/>
  <c r="BE765" i="14"/>
  <c r="BT765" i="14"/>
  <c r="BZ765" i="14"/>
  <c r="BZ762" i="14"/>
  <c r="BT762" i="14"/>
  <c r="BE760" i="14"/>
  <c r="BZ760" i="14"/>
  <c r="AV756" i="14"/>
  <c r="BZ756" i="14"/>
  <c r="BZ754" i="14"/>
  <c r="AV754" i="14"/>
  <c r="BT751" i="14"/>
  <c r="BZ751" i="14"/>
  <c r="BE751" i="14"/>
  <c r="AV745" i="14"/>
  <c r="BZ745" i="14"/>
  <c r="AV744" i="14"/>
  <c r="BZ744" i="14"/>
  <c r="BT742" i="14"/>
  <c r="BE742" i="14"/>
  <c r="BZ742" i="14"/>
  <c r="BE740" i="14"/>
  <c r="BT740" i="14"/>
  <c r="BT739" i="14"/>
  <c r="BZ739" i="14"/>
  <c r="BT738" i="14"/>
  <c r="BZ738" i="14"/>
  <c r="BZ729" i="14"/>
  <c r="AV729" i="14"/>
  <c r="BE723" i="14"/>
  <c r="BT723" i="14"/>
  <c r="BZ715" i="14"/>
  <c r="AV715" i="14"/>
  <c r="BZ714" i="14"/>
  <c r="BT714" i="14"/>
  <c r="BE702" i="14"/>
  <c r="BT702" i="14"/>
  <c r="BT700" i="14"/>
  <c r="BZ700" i="14"/>
  <c r="AV694" i="14"/>
  <c r="BZ694" i="14"/>
  <c r="BZ693" i="14"/>
  <c r="BT693" i="14"/>
  <c r="BT692" i="14"/>
  <c r="BE692" i="14"/>
  <c r="BZ692" i="14"/>
  <c r="BT691" i="14"/>
  <c r="BZ691" i="14"/>
  <c r="BE685" i="14"/>
  <c r="BZ685" i="14"/>
  <c r="BZ683" i="14"/>
  <c r="BT683" i="14"/>
  <c r="BZ681" i="14"/>
  <c r="BT681" i="14"/>
  <c r="BT675" i="14"/>
  <c r="BZ675" i="14"/>
  <c r="BT674" i="14"/>
  <c r="BZ674" i="14"/>
  <c r="BZ672" i="14"/>
  <c r="BT672" i="14"/>
  <c r="BZ657" i="14"/>
  <c r="BT657" i="14"/>
  <c r="BT656" i="14"/>
  <c r="BZ656" i="14"/>
  <c r="BZ653" i="14"/>
  <c r="BT653" i="14"/>
  <c r="BZ645" i="14"/>
  <c r="BT645" i="14"/>
  <c r="BT643" i="14"/>
  <c r="BZ643" i="14"/>
  <c r="BZ635" i="14"/>
  <c r="BE635" i="14"/>
  <c r="BE626" i="14"/>
  <c r="BZ626" i="14"/>
  <c r="BZ625" i="14"/>
  <c r="BE625" i="14"/>
  <c r="BT620" i="14"/>
  <c r="BZ620" i="14"/>
  <c r="BT618" i="14"/>
  <c r="BZ618" i="14"/>
  <c r="BZ609" i="14"/>
  <c r="BT609" i="14"/>
  <c r="BT602" i="14"/>
  <c r="BZ602" i="14"/>
  <c r="BE597" i="14"/>
  <c r="BZ597" i="14"/>
  <c r="BT596" i="14"/>
  <c r="BZ596" i="14"/>
  <c r="BE596" i="14"/>
  <c r="BZ586" i="14"/>
  <c r="AV586" i="14"/>
  <c r="BE574" i="14"/>
  <c r="BT574" i="14"/>
  <c r="BZ563" i="14"/>
  <c r="AV563" i="14"/>
  <c r="BE559" i="14"/>
  <c r="BT559" i="14"/>
  <c r="BT556" i="14"/>
  <c r="BZ556" i="14"/>
  <c r="BT545" i="14"/>
  <c r="BZ545" i="14"/>
  <c r="BZ538" i="14"/>
  <c r="BE538" i="14"/>
  <c r="BE524" i="14"/>
  <c r="BT524" i="14"/>
  <c r="BT516" i="14"/>
  <c r="BZ516" i="14"/>
  <c r="BZ515" i="14"/>
  <c r="BT515" i="14"/>
  <c r="BE510" i="14"/>
  <c r="BZ510" i="14"/>
  <c r="BT510" i="14"/>
  <c r="BT500" i="14"/>
  <c r="BZ500" i="14"/>
  <c r="BZ493" i="14"/>
  <c r="AV493" i="14"/>
  <c r="BE491" i="14"/>
  <c r="BZ491" i="14"/>
  <c r="BE490" i="14"/>
  <c r="BT490" i="14"/>
  <c r="BZ490" i="14"/>
  <c r="BZ488" i="14"/>
  <c r="BT488" i="14"/>
  <c r="BZ486" i="14"/>
  <c r="AV486" i="14"/>
  <c r="BE483" i="14"/>
  <c r="BZ483" i="14"/>
  <c r="BZ480" i="14"/>
  <c r="AV480" i="14"/>
  <c r="BT472" i="14"/>
  <c r="BZ472" i="14"/>
  <c r="AV470" i="14"/>
  <c r="BZ470" i="14"/>
  <c r="BZ411" i="14"/>
  <c r="BT411" i="14"/>
  <c r="BZ383" i="14"/>
  <c r="BE383" i="14"/>
  <c r="BT366" i="14"/>
  <c r="BE366" i="14"/>
  <c r="BZ366" i="14"/>
  <c r="BT324" i="14"/>
  <c r="BZ324" i="14"/>
  <c r="BZ321" i="14"/>
  <c r="BE321" i="14"/>
  <c r="BE273" i="14"/>
  <c r="BT273" i="14"/>
  <c r="BZ268" i="14"/>
  <c r="BT268" i="14"/>
  <c r="BE255" i="14"/>
  <c r="BZ255" i="14"/>
  <c r="BZ253" i="14"/>
  <c r="BT253" i="14"/>
  <c r="BE249" i="14"/>
  <c r="BZ249" i="14"/>
  <c r="BT249" i="14"/>
  <c r="BZ246" i="14"/>
  <c r="BT246" i="14"/>
  <c r="BZ237" i="14"/>
  <c r="AV237" i="14"/>
  <c r="BE235" i="14"/>
  <c r="BT235" i="14"/>
  <c r="BE224" i="14"/>
  <c r="BZ224" i="14"/>
  <c r="BT224" i="14"/>
  <c r="AV208" i="14"/>
  <c r="BZ208" i="14"/>
  <c r="BT199" i="14"/>
  <c r="BZ199" i="14"/>
  <c r="BT188" i="14"/>
  <c r="BZ188" i="14"/>
  <c r="BT186" i="14"/>
  <c r="BE186" i="14"/>
  <c r="BT182" i="14"/>
  <c r="BZ182" i="14"/>
  <c r="BT170" i="14"/>
  <c r="BZ170" i="14"/>
  <c r="AV167" i="14"/>
  <c r="BZ167" i="14"/>
  <c r="BE165" i="14"/>
  <c r="BT165" i="14"/>
  <c r="BZ165" i="14"/>
  <c r="BZ163" i="14"/>
  <c r="BT163" i="14"/>
  <c r="BE162" i="14"/>
  <c r="BZ162" i="14"/>
  <c r="BT162" i="14"/>
  <c r="BE161" i="14"/>
  <c r="AV161" i="14"/>
  <c r="BT161" i="14"/>
  <c r="BZ161" i="14"/>
  <c r="AV159" i="14"/>
  <c r="BE159" i="14"/>
  <c r="BT158" i="14"/>
  <c r="BE158" i="14"/>
  <c r="AV158" i="14"/>
  <c r="BZ158" i="14"/>
  <c r="BE157" i="14"/>
  <c r="BT157" i="14"/>
  <c r="BZ155" i="14"/>
  <c r="BT155" i="14"/>
  <c r="BZ153" i="14"/>
  <c r="BT153" i="14"/>
  <c r="BZ152" i="14"/>
  <c r="BE152" i="14"/>
  <c r="BZ145" i="14"/>
  <c r="BE145" i="14"/>
  <c r="BT144" i="14"/>
  <c r="BZ144" i="14"/>
  <c r="BZ143" i="14"/>
  <c r="BT143" i="14"/>
  <c r="BT142" i="14"/>
  <c r="BZ142" i="14"/>
  <c r="BE142" i="14"/>
  <c r="BT141" i="14"/>
  <c r="BZ141" i="14"/>
  <c r="BT136" i="14"/>
  <c r="BZ136" i="14"/>
  <c r="BZ135" i="14"/>
  <c r="BT135" i="14"/>
  <c r="BT132" i="14"/>
  <c r="BZ132" i="14"/>
  <c r="BT124" i="14"/>
  <c r="BZ124" i="14"/>
  <c r="BZ122" i="14"/>
  <c r="BE122" i="14"/>
  <c r="BE115" i="14"/>
  <c r="BT115" i="14"/>
  <c r="BZ115" i="14"/>
  <c r="BT103" i="14"/>
  <c r="BZ103" i="14"/>
  <c r="BE103" i="14"/>
  <c r="BE88" i="14"/>
  <c r="BT88" i="14"/>
  <c r="BT78" i="14"/>
  <c r="BZ78" i="14"/>
  <c r="BE72" i="14"/>
  <c r="BT72" i="14"/>
  <c r="BE69" i="14"/>
  <c r="BT69" i="14"/>
  <c r="BE60" i="14"/>
  <c r="BT60" i="14"/>
  <c r="BZ60" i="14"/>
  <c r="BT44" i="14"/>
  <c r="BZ44" i="14"/>
  <c r="BZ845" i="14"/>
  <c r="BZ202" i="14"/>
  <c r="BX854" i="14"/>
  <c r="BX851" i="14"/>
  <c r="BX853" i="14"/>
  <c r="BX850" i="14"/>
  <c r="BX855" i="14"/>
  <c r="BX852" i="14"/>
  <c r="BY851" i="14"/>
  <c r="BE848" i="14"/>
  <c r="BZ848" i="14"/>
  <c r="BT848" i="14"/>
  <c r="AV848" i="14"/>
  <c r="BE847" i="14"/>
  <c r="BT847" i="14"/>
  <c r="BZ847" i="14"/>
  <c r="AV847" i="14"/>
  <c r="BE846" i="14"/>
  <c r="AV846" i="14"/>
  <c r="AV845" i="14"/>
  <c r="BT845" i="14"/>
  <c r="BE844" i="14"/>
  <c r="AV844" i="14"/>
  <c r="BT843" i="14"/>
  <c r="AV843" i="14"/>
  <c r="BT842" i="14"/>
  <c r="AV842" i="14"/>
  <c r="BE842" i="14"/>
  <c r="BZ842" i="14"/>
  <c r="BE841" i="14"/>
  <c r="AV841" i="14"/>
  <c r="BE840" i="14"/>
  <c r="BZ840" i="14"/>
  <c r="BT840" i="14"/>
  <c r="BE839" i="14"/>
  <c r="AV839" i="14"/>
  <c r="BT839" i="14"/>
  <c r="BZ839" i="14"/>
  <c r="BE837" i="14"/>
  <c r="AV837" i="14"/>
  <c r="BE836" i="14"/>
  <c r="AV836" i="14"/>
  <c r="BT835" i="14"/>
  <c r="BE835" i="14"/>
  <c r="BT834" i="14"/>
  <c r="AV834" i="14"/>
  <c r="BE834" i="14"/>
  <c r="BT831" i="14"/>
  <c r="BZ831" i="14"/>
  <c r="AV831" i="14"/>
  <c r="BE831" i="14"/>
  <c r="AV830" i="14"/>
  <c r="BT830" i="14"/>
  <c r="BZ830" i="14"/>
  <c r="BE830" i="14"/>
  <c r="AV829" i="14"/>
  <c r="BE829" i="14"/>
  <c r="BE827" i="14"/>
  <c r="AV827" i="14"/>
  <c r="BE826" i="14"/>
  <c r="AV826" i="14"/>
  <c r="AV825" i="14"/>
  <c r="BE825" i="14"/>
  <c r="BE823" i="14"/>
  <c r="BT823" i="14"/>
  <c r="AV823" i="14"/>
  <c r="BZ823" i="14"/>
  <c r="BZ822" i="14"/>
  <c r="BT822" i="14"/>
  <c r="BE822" i="14"/>
  <c r="AV822" i="14"/>
  <c r="BZ821" i="14"/>
  <c r="BT821" i="14"/>
  <c r="BE821" i="14"/>
  <c r="AV821" i="14"/>
  <c r="BZ820" i="14"/>
  <c r="BT820" i="14"/>
  <c r="BE820" i="14"/>
  <c r="AV820" i="14"/>
  <c r="AV818" i="14"/>
  <c r="BE818" i="14"/>
  <c r="AV817" i="14"/>
  <c r="BE817" i="14"/>
  <c r="AV815" i="14"/>
  <c r="BT815" i="14"/>
  <c r="AV814" i="14"/>
  <c r="BT814" i="14"/>
  <c r="AV813" i="14"/>
  <c r="BE813" i="14"/>
  <c r="BT813" i="14"/>
  <c r="BE812" i="14"/>
  <c r="AV812" i="14"/>
  <c r="BE810" i="14"/>
  <c r="AV810" i="14"/>
  <c r="BE809" i="14"/>
  <c r="BT809" i="14"/>
  <c r="AV808" i="14"/>
  <c r="BE808" i="14"/>
  <c r="BT807" i="14"/>
  <c r="AV807" i="14"/>
  <c r="BE807" i="14"/>
  <c r="BZ807" i="14"/>
  <c r="AV806" i="14"/>
  <c r="BE806" i="14"/>
  <c r="BT806" i="14"/>
  <c r="BZ805" i="14"/>
  <c r="BE805" i="14"/>
  <c r="BT805" i="14"/>
  <c r="BT804" i="14"/>
  <c r="BZ804" i="14"/>
  <c r="AV804" i="14"/>
  <c r="BE804" i="14"/>
  <c r="BE803" i="14"/>
  <c r="AV803" i="14"/>
  <c r="BT803" i="14"/>
  <c r="BZ803" i="14"/>
  <c r="BT802" i="14"/>
  <c r="BE802" i="14"/>
  <c r="AV802" i="14"/>
  <c r="BZ802" i="14"/>
  <c r="BE801" i="14"/>
  <c r="AV801" i="14"/>
  <c r="AV800" i="14"/>
  <c r="BT800" i="14"/>
  <c r="BE800" i="14"/>
  <c r="BZ800" i="14"/>
  <c r="BT799" i="14"/>
  <c r="BE799" i="14"/>
  <c r="BT797" i="14"/>
  <c r="BE797" i="14"/>
  <c r="AV797" i="14"/>
  <c r="BT796" i="14"/>
  <c r="AV796" i="14"/>
  <c r="AV795" i="14"/>
  <c r="BT795" i="14"/>
  <c r="BT794" i="14"/>
  <c r="BE794" i="14"/>
  <c r="AV794" i="14"/>
  <c r="AV793" i="14"/>
  <c r="BE793" i="14"/>
  <c r="AV792" i="14"/>
  <c r="BE792" i="14"/>
  <c r="AV791" i="14"/>
  <c r="BE791" i="14"/>
  <c r="BE790" i="14"/>
  <c r="AV790" i="14"/>
  <c r="AV789" i="14"/>
  <c r="BE789" i="14"/>
  <c r="AV786" i="14"/>
  <c r="BE786" i="14"/>
  <c r="AV785" i="14"/>
  <c r="BE785" i="14"/>
  <c r="AV783" i="14"/>
  <c r="BT783" i="14"/>
  <c r="BT782" i="14"/>
  <c r="AV782" i="14"/>
  <c r="AV781" i="14"/>
  <c r="BE781" i="14"/>
  <c r="AV780" i="14"/>
  <c r="BT780" i="14"/>
  <c r="AV779" i="14"/>
  <c r="BE779" i="14"/>
  <c r="BT779" i="14"/>
  <c r="BT778" i="14"/>
  <c r="BZ778" i="14"/>
  <c r="AV778" i="14"/>
  <c r="BE778" i="14"/>
  <c r="BT777" i="14"/>
  <c r="BZ777" i="14"/>
  <c r="AV777" i="14"/>
  <c r="BE777" i="14"/>
  <c r="BE775" i="14"/>
  <c r="BT775" i="14"/>
  <c r="AV775" i="14"/>
  <c r="AV774" i="14"/>
  <c r="BE774" i="14"/>
  <c r="AV773" i="14"/>
  <c r="BE773" i="14"/>
  <c r="AV771" i="14"/>
  <c r="BE771" i="14"/>
  <c r="BT770" i="14"/>
  <c r="AV770" i="14"/>
  <c r="BE770" i="14"/>
  <c r="BZ770" i="14"/>
  <c r="BE769" i="14"/>
  <c r="BZ769" i="14"/>
  <c r="AV769" i="14"/>
  <c r="BT769" i="14"/>
  <c r="BZ768" i="14"/>
  <c r="AV768" i="14"/>
  <c r="BT768" i="14"/>
  <c r="BE768" i="14"/>
  <c r="BE766" i="14"/>
  <c r="AV766" i="14"/>
  <c r="BE764" i="14"/>
  <c r="AV764" i="14"/>
  <c r="BT764" i="14"/>
  <c r="BT763" i="14"/>
  <c r="BE763" i="14"/>
  <c r="AV763" i="14"/>
  <c r="BE762" i="14"/>
  <c r="AV762" i="14"/>
  <c r="BT761" i="14"/>
  <c r="BE761" i="14"/>
  <c r="AV761" i="14"/>
  <c r="AV760" i="14"/>
  <c r="BT760" i="14"/>
  <c r="BZ759" i="14"/>
  <c r="AV759" i="14"/>
  <c r="BE759" i="14"/>
  <c r="BT759" i="14"/>
  <c r="BZ758" i="14"/>
  <c r="BT758" i="14"/>
  <c r="AV758" i="14"/>
  <c r="BE758" i="14"/>
  <c r="BT757" i="14"/>
  <c r="BE757" i="14"/>
  <c r="BZ757" i="14"/>
  <c r="AV757" i="14"/>
  <c r="BE756" i="14"/>
  <c r="BT756" i="14"/>
  <c r="BE755" i="14"/>
  <c r="BT755" i="14"/>
  <c r="AV755" i="14"/>
  <c r="BT754" i="14"/>
  <c r="BE754" i="14"/>
  <c r="BE753" i="14"/>
  <c r="BT753" i="14"/>
  <c r="AV753" i="14"/>
  <c r="BT752" i="14"/>
  <c r="BE752" i="14"/>
  <c r="AV752" i="14"/>
  <c r="BE750" i="14"/>
  <c r="AV750" i="14"/>
  <c r="BZ749" i="14"/>
  <c r="AV749" i="14"/>
  <c r="BE749" i="14"/>
  <c r="BT749" i="14"/>
  <c r="AV748" i="14"/>
  <c r="BZ748" i="14"/>
  <c r="BT748" i="14"/>
  <c r="BE748" i="14"/>
  <c r="BE747" i="14"/>
  <c r="AV747" i="14"/>
  <c r="BT747" i="14"/>
  <c r="BZ747" i="14"/>
  <c r="BE746" i="14"/>
  <c r="BZ746" i="14"/>
  <c r="AV746" i="14"/>
  <c r="BT746" i="14"/>
  <c r="BE745" i="14"/>
  <c r="BT745" i="14"/>
  <c r="BT744" i="14"/>
  <c r="BE744" i="14"/>
  <c r="BE743" i="14"/>
  <c r="AV743" i="14"/>
  <c r="BT743" i="14"/>
  <c r="AV741" i="14"/>
  <c r="BE741" i="14"/>
  <c r="AV739" i="14"/>
  <c r="BE739" i="14"/>
  <c r="BE738" i="14"/>
  <c r="AV738" i="14"/>
  <c r="BZ737" i="14"/>
  <c r="BT737" i="14"/>
  <c r="BE737" i="14"/>
  <c r="AV737" i="14"/>
  <c r="BZ736" i="14"/>
  <c r="BE736" i="14"/>
  <c r="BT736" i="14"/>
  <c r="AV736" i="14"/>
  <c r="BE735" i="14"/>
  <c r="AV735" i="14"/>
  <c r="AV734" i="14"/>
  <c r="BE734" i="14"/>
  <c r="AV733" i="14"/>
  <c r="BT733" i="14"/>
  <c r="BE733" i="14"/>
  <c r="BZ732" i="14"/>
  <c r="BE732" i="14"/>
  <c r="BT732" i="14"/>
  <c r="BZ731" i="14"/>
  <c r="BT731" i="14"/>
  <c r="AV731" i="14"/>
  <c r="BE731" i="14"/>
  <c r="BT730" i="14"/>
  <c r="AV730" i="14"/>
  <c r="BE730" i="14"/>
  <c r="BZ730" i="14"/>
  <c r="BE729" i="14"/>
  <c r="BT729" i="14"/>
  <c r="BT728" i="14"/>
  <c r="AV728" i="14"/>
  <c r="BE728" i="14"/>
  <c r="BZ728" i="14"/>
  <c r="AV726" i="14"/>
  <c r="BT726" i="14"/>
  <c r="BE726" i="14"/>
  <c r="BZ726" i="14"/>
  <c r="AV725" i="14"/>
  <c r="BT725" i="14"/>
  <c r="BT724" i="14"/>
  <c r="BE724" i="14"/>
  <c r="BE722" i="14"/>
  <c r="AV722" i="14"/>
  <c r="AV721" i="14"/>
  <c r="BT721" i="14"/>
  <c r="AV720" i="14"/>
  <c r="BE720" i="14"/>
  <c r="BE719" i="14"/>
  <c r="BT719" i="14"/>
  <c r="AV719" i="14"/>
  <c r="BE718" i="14"/>
  <c r="AV718" i="14"/>
  <c r="BT718" i="14"/>
  <c r="BE717" i="14"/>
  <c r="BT717" i="14"/>
  <c r="AV717" i="14"/>
  <c r="AV716" i="14"/>
  <c r="BT716" i="14"/>
  <c r="BE716" i="14"/>
  <c r="BE715" i="14"/>
  <c r="BT715" i="14"/>
  <c r="BE714" i="14"/>
  <c r="AV714" i="14"/>
  <c r="BT713" i="14"/>
  <c r="BE713" i="14"/>
  <c r="AV713" i="14"/>
  <c r="AV712" i="14"/>
  <c r="BT712" i="14"/>
  <c r="BE712" i="14"/>
  <c r="AV711" i="14"/>
  <c r="BE711" i="14"/>
  <c r="BT710" i="14"/>
  <c r="BE710" i="14"/>
  <c r="AV710" i="14"/>
  <c r="BZ709" i="14"/>
  <c r="BT709" i="14"/>
  <c r="AV709" i="14"/>
  <c r="BE709" i="14"/>
  <c r="BE707" i="14"/>
  <c r="AV707" i="14"/>
  <c r="BZ707" i="14"/>
  <c r="BT706" i="14"/>
  <c r="BZ706" i="14"/>
  <c r="AV706" i="14"/>
  <c r="BE706" i="14"/>
  <c r="AV705" i="14"/>
  <c r="BE705" i="14"/>
  <c r="BE704" i="14"/>
  <c r="AV704" i="14"/>
  <c r="BE703" i="14"/>
  <c r="BT703" i="14"/>
  <c r="BE701" i="14"/>
  <c r="AV701" i="14"/>
  <c r="BE700" i="14"/>
  <c r="AV700" i="14"/>
  <c r="BT699" i="14"/>
  <c r="AV699" i="14"/>
  <c r="BZ699" i="14"/>
  <c r="BE699" i="14"/>
  <c r="BE697" i="14"/>
  <c r="AV697" i="14"/>
  <c r="BE696" i="14"/>
  <c r="AV696" i="14"/>
  <c r="AV695" i="14"/>
  <c r="BE695" i="14"/>
  <c r="BT694" i="14"/>
  <c r="BE694" i="14"/>
  <c r="BE693" i="14"/>
  <c r="AV693" i="14"/>
  <c r="AV691" i="14"/>
  <c r="BE691" i="14"/>
  <c r="BZ690" i="14"/>
  <c r="AV690" i="14"/>
  <c r="BE690" i="14"/>
  <c r="BT690" i="14"/>
  <c r="BZ689" i="14"/>
  <c r="BE689" i="14"/>
  <c r="BT689" i="14"/>
  <c r="BE686" i="14"/>
  <c r="AV686" i="14"/>
  <c r="BT686" i="14"/>
  <c r="BT685" i="14"/>
  <c r="AV685" i="14"/>
  <c r="AV684" i="14"/>
  <c r="BE684" i="14"/>
  <c r="AV683" i="14"/>
  <c r="BE683" i="14"/>
  <c r="AV682" i="14"/>
  <c r="BE682" i="14"/>
  <c r="BT682" i="14"/>
  <c r="BE681" i="14"/>
  <c r="AV681" i="14"/>
  <c r="AV680" i="14"/>
  <c r="BE680" i="14"/>
  <c r="BT679" i="14"/>
  <c r="BZ679" i="14"/>
  <c r="BE677" i="14"/>
  <c r="AV677" i="14"/>
  <c r="AV676" i="14"/>
  <c r="BE676" i="14"/>
  <c r="AV675" i="14"/>
  <c r="BE675" i="14"/>
  <c r="BE674" i="14"/>
  <c r="AV674" i="14"/>
  <c r="BE673" i="14"/>
  <c r="AV673" i="14"/>
  <c r="BZ673" i="14"/>
  <c r="BT673" i="14"/>
  <c r="BE672" i="14"/>
  <c r="AV672" i="14"/>
  <c r="AV670" i="14"/>
  <c r="BE670" i="14"/>
  <c r="BT670" i="14"/>
  <c r="BE669" i="14"/>
  <c r="BZ669" i="14"/>
  <c r="BT669" i="14"/>
  <c r="AV667" i="14"/>
  <c r="BE667" i="14"/>
  <c r="BT667" i="14"/>
  <c r="AV666" i="14"/>
  <c r="BE666" i="14"/>
  <c r="BE665" i="14"/>
  <c r="AV665" i="14"/>
  <c r="BT664" i="14"/>
  <c r="AV664" i="14"/>
  <c r="BT663" i="14"/>
  <c r="AV663" i="14"/>
  <c r="BE663" i="14"/>
  <c r="BT662" i="14"/>
  <c r="AV662" i="14"/>
  <c r="BE662" i="14"/>
  <c r="BZ661" i="14"/>
  <c r="BT661" i="14"/>
  <c r="BZ660" i="14"/>
  <c r="BT660" i="14"/>
  <c r="AV660" i="14"/>
  <c r="BE660" i="14"/>
  <c r="BT659" i="14"/>
  <c r="BE659" i="14"/>
  <c r="BZ659" i="14"/>
  <c r="BE658" i="14"/>
  <c r="AV658" i="14"/>
  <c r="AV657" i="14"/>
  <c r="BE657" i="14"/>
  <c r="BE656" i="14"/>
  <c r="AV656" i="14"/>
  <c r="BE655" i="14"/>
  <c r="BT655" i="14"/>
  <c r="AV655" i="14"/>
  <c r="BE654" i="14"/>
  <c r="BT654" i="14"/>
  <c r="AV654" i="14"/>
  <c r="AV653" i="14"/>
  <c r="BE653" i="14"/>
  <c r="BT652" i="14"/>
  <c r="BZ652" i="14"/>
  <c r="AV651" i="14"/>
  <c r="BE651" i="14"/>
  <c r="BT651" i="14"/>
  <c r="BE650" i="14"/>
  <c r="AV650" i="14"/>
  <c r="BT650" i="14"/>
  <c r="BT649" i="14"/>
  <c r="BE649" i="14"/>
  <c r="AV649" i="14"/>
  <c r="BE646" i="14"/>
  <c r="AV646" i="14"/>
  <c r="BT646" i="14"/>
  <c r="BE645" i="14"/>
  <c r="AV645" i="14"/>
  <c r="AV643" i="14"/>
  <c r="BE643" i="14"/>
  <c r="BE641" i="14"/>
  <c r="AV641" i="14"/>
  <c r="BZ641" i="14"/>
  <c r="BT641" i="14"/>
  <c r="BE640" i="14"/>
  <c r="BZ640" i="14"/>
  <c r="BT640" i="14"/>
  <c r="AV638" i="14"/>
  <c r="BE638" i="14"/>
  <c r="BE637" i="14"/>
  <c r="AV637" i="14"/>
  <c r="BT636" i="14"/>
  <c r="BE636" i="14"/>
  <c r="AV636" i="14"/>
  <c r="AV635" i="14"/>
  <c r="BT635" i="14"/>
  <c r="BE634" i="14"/>
  <c r="AV634" i="14"/>
  <c r="AV633" i="14"/>
  <c r="BE633" i="14"/>
  <c r="BT633" i="14"/>
  <c r="BE632" i="14"/>
  <c r="AV632" i="14"/>
  <c r="BZ631" i="14"/>
  <c r="BE631" i="14"/>
  <c r="AV631" i="14"/>
  <c r="AV630" i="14"/>
  <c r="BE630" i="14"/>
  <c r="BT630" i="14"/>
  <c r="AV629" i="14"/>
  <c r="BE629" i="14"/>
  <c r="BE628" i="14"/>
  <c r="BT628" i="14"/>
  <c r="AV628" i="14"/>
  <c r="BT626" i="14"/>
  <c r="AV626" i="14"/>
  <c r="BT625" i="14"/>
  <c r="AV625" i="14"/>
  <c r="AV623" i="14"/>
  <c r="BT623" i="14"/>
  <c r="BZ623" i="14"/>
  <c r="BE623" i="14"/>
  <c r="AV622" i="14"/>
  <c r="BT622" i="14"/>
  <c r="BE622" i="14"/>
  <c r="AV621" i="14"/>
  <c r="BT621" i="14"/>
  <c r="BE621" i="14"/>
  <c r="BZ621" i="14"/>
  <c r="BE620" i="14"/>
  <c r="AV620" i="14"/>
  <c r="BE619" i="14"/>
  <c r="BT619" i="14"/>
  <c r="AV619" i="14"/>
  <c r="AV618" i="14"/>
  <c r="BE618" i="14"/>
  <c r="AV616" i="14"/>
  <c r="BE616" i="14"/>
  <c r="BT616" i="14"/>
  <c r="BZ616" i="14"/>
  <c r="BT615" i="14"/>
  <c r="BE615" i="14"/>
  <c r="AV615" i="14"/>
  <c r="BE614" i="14"/>
  <c r="AV614" i="14"/>
  <c r="BE613" i="14"/>
  <c r="BT613" i="14"/>
  <c r="BZ613" i="14"/>
  <c r="BE612" i="14"/>
  <c r="AV612" i="14"/>
  <c r="BT611" i="14"/>
  <c r="AV611" i="14"/>
  <c r="BE609" i="14"/>
  <c r="AV609" i="14"/>
  <c r="BT607" i="14"/>
  <c r="BZ607" i="14"/>
  <c r="AV607" i="14"/>
  <c r="BE607" i="14"/>
  <c r="AV605" i="14"/>
  <c r="BE605" i="14"/>
  <c r="BZ605" i="14"/>
  <c r="BT604" i="14"/>
  <c r="BE604" i="14"/>
  <c r="AV604" i="14"/>
  <c r="BE603" i="14"/>
  <c r="BT603" i="14"/>
  <c r="AV603" i="14"/>
  <c r="BE602" i="14"/>
  <c r="AV602" i="14"/>
  <c r="BT601" i="14"/>
  <c r="BE601" i="14"/>
  <c r="AV601" i="14"/>
  <c r="AV600" i="14"/>
  <c r="BE600" i="14"/>
  <c r="AV599" i="14"/>
  <c r="BE599" i="14"/>
  <c r="BT599" i="14"/>
  <c r="BE598" i="14"/>
  <c r="AV598" i="14"/>
  <c r="BT597" i="14"/>
  <c r="AV597" i="14"/>
  <c r="AV595" i="14"/>
  <c r="BE595" i="14"/>
  <c r="BZ594" i="14"/>
  <c r="BT594" i="14"/>
  <c r="BE594" i="14"/>
  <c r="BT593" i="14"/>
  <c r="AV593" i="14"/>
  <c r="BZ593" i="14"/>
  <c r="BE593" i="14"/>
  <c r="BT592" i="14"/>
  <c r="AV592" i="14"/>
  <c r="BE592" i="14"/>
  <c r="BE591" i="14"/>
  <c r="AV591" i="14"/>
  <c r="AV589" i="14"/>
  <c r="BE589" i="14"/>
  <c r="BT589" i="14"/>
  <c r="BT588" i="14"/>
  <c r="AV588" i="14"/>
  <c r="BE588" i="14"/>
  <c r="BE587" i="14"/>
  <c r="BT587" i="14"/>
  <c r="BZ587" i="14"/>
  <c r="AV587" i="14"/>
  <c r="BE586" i="14"/>
  <c r="BT586" i="14"/>
  <c r="BE585" i="14"/>
  <c r="AV585" i="14"/>
  <c r="BZ585" i="14"/>
  <c r="BT585" i="14"/>
  <c r="BT584" i="14"/>
  <c r="BZ584" i="14"/>
  <c r="BT583" i="14"/>
  <c r="BE583" i="14"/>
  <c r="AV583" i="14"/>
  <c r="BE582" i="14"/>
  <c r="AV582" i="14"/>
  <c r="BE581" i="14"/>
  <c r="AV581" i="14"/>
  <c r="AV580" i="14"/>
  <c r="BE580" i="14"/>
  <c r="BE579" i="14"/>
  <c r="BT579" i="14"/>
  <c r="AV579" i="14"/>
  <c r="BE578" i="14"/>
  <c r="AV578" i="14"/>
  <c r="BT577" i="14"/>
  <c r="AV577" i="14"/>
  <c r="BE576" i="14"/>
  <c r="AV576" i="14"/>
  <c r="BT576" i="14"/>
  <c r="BE575" i="14"/>
  <c r="BZ575" i="14"/>
  <c r="BT575" i="14"/>
  <c r="AV575" i="14"/>
  <c r="BE569" i="14"/>
  <c r="AV569" i="14"/>
  <c r="BZ569" i="14"/>
  <c r="BT569" i="14"/>
  <c r="BE568" i="14"/>
  <c r="AV568" i="14"/>
  <c r="BE567" i="14"/>
  <c r="BT567" i="14"/>
  <c r="AV567" i="14"/>
  <c r="BE565" i="14"/>
  <c r="AV565" i="14"/>
  <c r="BE564" i="14"/>
  <c r="BT564" i="14"/>
  <c r="AV564" i="14"/>
  <c r="BE563" i="14"/>
  <c r="BT563" i="14"/>
  <c r="AV562" i="14"/>
  <c r="BE562" i="14"/>
  <c r="AV561" i="14"/>
  <c r="BE561" i="14"/>
  <c r="AV560" i="14"/>
  <c r="BE560" i="14"/>
  <c r="BT560" i="14"/>
  <c r="BZ558" i="14"/>
  <c r="BE558" i="14"/>
  <c r="AV558" i="14"/>
  <c r="BT558" i="14"/>
  <c r="BE557" i="14"/>
  <c r="AV557" i="14"/>
  <c r="AV556" i="14"/>
  <c r="BE556" i="14"/>
  <c r="BE555" i="14"/>
  <c r="BT555" i="14"/>
  <c r="BT554" i="14"/>
  <c r="BE554" i="14"/>
  <c r="AV554" i="14"/>
  <c r="BT553" i="14"/>
  <c r="BE553" i="14"/>
  <c r="BT552" i="14"/>
  <c r="BE552" i="14"/>
  <c r="AV552" i="14"/>
  <c r="BT551" i="14"/>
  <c r="AV551" i="14"/>
  <c r="BE551" i="14"/>
  <c r="AV550" i="14"/>
  <c r="BZ550" i="14"/>
  <c r="BT550" i="14"/>
  <c r="BE550" i="14"/>
  <c r="BE549" i="14"/>
  <c r="BZ549" i="14"/>
  <c r="BT549" i="14"/>
  <c r="AV549" i="14"/>
  <c r="AV548" i="14"/>
  <c r="BE548" i="14"/>
  <c r="BE547" i="14"/>
  <c r="BZ547" i="14"/>
  <c r="BT547" i="14"/>
  <c r="AV547" i="14"/>
  <c r="AV546" i="14"/>
  <c r="BE546" i="14"/>
  <c r="AV545" i="14"/>
  <c r="BE545" i="14"/>
  <c r="BE544" i="14"/>
  <c r="AV544" i="14"/>
  <c r="BT544" i="14"/>
  <c r="BT543" i="14"/>
  <c r="AV543" i="14"/>
  <c r="BE543" i="14"/>
  <c r="BE542" i="14"/>
  <c r="AV542" i="14"/>
  <c r="AV541" i="14"/>
  <c r="BE541" i="14"/>
  <c r="AV540" i="14"/>
  <c r="BZ540" i="14"/>
  <c r="BE540" i="14"/>
  <c r="BZ539" i="14"/>
  <c r="AV539" i="14"/>
  <c r="BE539" i="14"/>
  <c r="BT539" i="14"/>
  <c r="AV538" i="14"/>
  <c r="BT538" i="14"/>
  <c r="BE537" i="14"/>
  <c r="AV537" i="14"/>
  <c r="AV536" i="14"/>
  <c r="BE536" i="14"/>
  <c r="AV534" i="14"/>
  <c r="BE534" i="14"/>
  <c r="BE533" i="14"/>
  <c r="AV533" i="14"/>
  <c r="AV532" i="14"/>
  <c r="BZ532" i="14"/>
  <c r="BT532" i="14"/>
  <c r="BE532" i="14"/>
  <c r="BE530" i="14"/>
  <c r="AV530" i="14"/>
  <c r="BT529" i="14"/>
  <c r="AV529" i="14"/>
  <c r="AV528" i="14"/>
  <c r="BE528" i="14"/>
  <c r="BT528" i="14"/>
  <c r="BE527" i="14"/>
  <c r="AV527" i="14"/>
  <c r="AV526" i="14"/>
  <c r="BE526" i="14"/>
  <c r="AV525" i="14"/>
  <c r="BT525" i="14"/>
  <c r="BE525" i="14"/>
  <c r="BT523" i="14"/>
  <c r="AV523" i="14"/>
  <c r="BZ522" i="14"/>
  <c r="AV522" i="14"/>
  <c r="BE522" i="14"/>
  <c r="BT522" i="14"/>
  <c r="BT520" i="14"/>
  <c r="BE520" i="14"/>
  <c r="AV520" i="14"/>
  <c r="BE519" i="14"/>
  <c r="AV519" i="14"/>
  <c r="BE518" i="14"/>
  <c r="AV518" i="14"/>
  <c r="BT518" i="14"/>
  <c r="AV517" i="14"/>
  <c r="BE517" i="14"/>
  <c r="AV516" i="14"/>
  <c r="BE516" i="14"/>
  <c r="AV515" i="14"/>
  <c r="BE515" i="14"/>
  <c r="BE514" i="14"/>
  <c r="BT514" i="14"/>
  <c r="AV514" i="14"/>
  <c r="BE513" i="14"/>
  <c r="BT513" i="14"/>
  <c r="BE512" i="14"/>
  <c r="BZ512" i="14"/>
  <c r="BT512" i="14"/>
  <c r="BT507" i="14"/>
  <c r="AV507" i="14"/>
  <c r="BZ507" i="14"/>
  <c r="BT506" i="14"/>
  <c r="BE506" i="14"/>
  <c r="BT505" i="14"/>
  <c r="BE505" i="14"/>
  <c r="BE504" i="14"/>
  <c r="BT504" i="14"/>
  <c r="AV502" i="14"/>
  <c r="BT502" i="14"/>
  <c r="BE502" i="14"/>
  <c r="BT501" i="14"/>
  <c r="AV501" i="14"/>
  <c r="AV500" i="14"/>
  <c r="BE500" i="14"/>
  <c r="BE499" i="14"/>
  <c r="AV499" i="14"/>
  <c r="BT499" i="14"/>
  <c r="AV498" i="14"/>
  <c r="BZ498" i="14"/>
  <c r="BE498" i="14"/>
  <c r="BT498" i="14"/>
  <c r="BE496" i="14"/>
  <c r="AV496" i="14"/>
  <c r="BT496" i="14"/>
  <c r="BE495" i="14"/>
  <c r="BT495" i="14"/>
  <c r="AV495" i="14"/>
  <c r="BE494" i="14"/>
  <c r="AV494" i="14"/>
  <c r="BZ494" i="14"/>
  <c r="BT494" i="14"/>
  <c r="BT493" i="14"/>
  <c r="BE493" i="14"/>
  <c r="BE492" i="14"/>
  <c r="BT492" i="14"/>
  <c r="AV492" i="14"/>
  <c r="BT491" i="14"/>
  <c r="AV491" i="14"/>
  <c r="BE489" i="14"/>
  <c r="AV489" i="14"/>
  <c r="BT489" i="14"/>
  <c r="AV488" i="14"/>
  <c r="BE488" i="14"/>
  <c r="BE487" i="14"/>
  <c r="BT487" i="14"/>
  <c r="BZ487" i="14"/>
  <c r="BE486" i="14"/>
  <c r="BT486" i="14"/>
  <c r="BE485" i="14"/>
  <c r="AV485" i="14"/>
  <c r="BZ484" i="14"/>
  <c r="BT484" i="14"/>
  <c r="BE484" i="14"/>
  <c r="AV484" i="14"/>
  <c r="AV483" i="14"/>
  <c r="BT483" i="14"/>
  <c r="BE482" i="14"/>
  <c r="BT482" i="14"/>
  <c r="AV482" i="14"/>
  <c r="BE481" i="14"/>
  <c r="AV481" i="14"/>
  <c r="BE480" i="14"/>
  <c r="BT480" i="14"/>
  <c r="BE479" i="14"/>
  <c r="AV479" i="14"/>
  <c r="BE478" i="14"/>
  <c r="AV478" i="14"/>
  <c r="BT478" i="14"/>
  <c r="BT477" i="14"/>
  <c r="AV477" i="14"/>
  <c r="BE477" i="14"/>
  <c r="BE476" i="14"/>
  <c r="AV476" i="14"/>
  <c r="BT476" i="14"/>
  <c r="BZ475" i="14"/>
  <c r="BT475" i="14"/>
  <c r="BT474" i="14"/>
  <c r="BE474" i="14"/>
  <c r="AV474" i="14"/>
  <c r="AV473" i="14"/>
  <c r="BT473" i="14"/>
  <c r="BE473" i="14"/>
  <c r="BE472" i="14"/>
  <c r="AV472" i="14"/>
  <c r="BZ471" i="14"/>
  <c r="BE471" i="14"/>
  <c r="BT471" i="14"/>
  <c r="BE470" i="14"/>
  <c r="BT470" i="14"/>
  <c r="BE469" i="14"/>
  <c r="AV469" i="14"/>
  <c r="BT469" i="14"/>
  <c r="BT468" i="14"/>
  <c r="AV468" i="14"/>
  <c r="BE468" i="14"/>
  <c r="BT467" i="14"/>
  <c r="AV467" i="14"/>
  <c r="BE467" i="14"/>
  <c r="BZ467" i="14"/>
  <c r="AV466" i="14"/>
  <c r="BT466" i="14"/>
  <c r="BE465" i="14"/>
  <c r="BT465" i="14"/>
  <c r="BT464" i="14"/>
  <c r="BE464" i="14"/>
  <c r="BZ464" i="14"/>
  <c r="BE463" i="14"/>
  <c r="AV463" i="14"/>
  <c r="BT462" i="14"/>
  <c r="BE462" i="14"/>
  <c r="AV462" i="14"/>
  <c r="BE461" i="14"/>
  <c r="AV461" i="14"/>
  <c r="AV459" i="14"/>
  <c r="BE459" i="14"/>
  <c r="BT457" i="14"/>
  <c r="BZ457" i="14"/>
  <c r="BE457" i="14"/>
  <c r="BT456" i="14"/>
  <c r="BE456" i="14"/>
  <c r="AV456" i="14"/>
  <c r="BZ456" i="14"/>
  <c r="BE452" i="14"/>
  <c r="AV452" i="14"/>
  <c r="BE451" i="14"/>
  <c r="BT451" i="14"/>
  <c r="BZ449" i="14"/>
  <c r="BT449" i="14"/>
  <c r="AV449" i="14"/>
  <c r="BE449" i="14"/>
  <c r="BT448" i="14"/>
  <c r="BE448" i="14"/>
  <c r="AV448" i="14"/>
  <c r="BE447" i="14"/>
  <c r="AV447" i="14"/>
  <c r="BZ447" i="14"/>
  <c r="BT447" i="14"/>
  <c r="BT445" i="14"/>
  <c r="BE445" i="14"/>
  <c r="AV445" i="14"/>
  <c r="BT443" i="14"/>
  <c r="BE443" i="14"/>
  <c r="AV443" i="14"/>
  <c r="BT441" i="14"/>
  <c r="AV441" i="14"/>
  <c r="BE441" i="14"/>
  <c r="AV440" i="14"/>
  <c r="BE440" i="14"/>
  <c r="AV439" i="14"/>
  <c r="BE439" i="14"/>
  <c r="BZ439" i="14"/>
  <c r="BT439" i="14"/>
  <c r="BT437" i="14"/>
  <c r="BE437" i="14"/>
  <c r="AV437" i="14"/>
  <c r="AV436" i="14"/>
  <c r="BE436" i="14"/>
  <c r="BT434" i="14"/>
  <c r="BE434" i="14"/>
  <c r="BE433" i="14"/>
  <c r="AV433" i="14"/>
  <c r="AV432" i="14"/>
  <c r="BE432" i="14"/>
  <c r="BZ431" i="14"/>
  <c r="BT431" i="14"/>
  <c r="BE430" i="14"/>
  <c r="BT430" i="14"/>
  <c r="AV429" i="14"/>
  <c r="BZ429" i="14"/>
  <c r="BE429" i="14"/>
  <c r="BT429" i="14"/>
  <c r="BT428" i="14"/>
  <c r="BE428" i="14"/>
  <c r="AV428" i="14"/>
  <c r="BT427" i="14"/>
  <c r="AV427" i="14"/>
  <c r="BE426" i="14"/>
  <c r="AV426" i="14"/>
  <c r="BT425" i="14"/>
  <c r="AV425" i="14"/>
  <c r="BE424" i="14"/>
  <c r="AV424" i="14"/>
  <c r="BZ423" i="14"/>
  <c r="BE423" i="14"/>
  <c r="BT423" i="14"/>
  <c r="AV422" i="14"/>
  <c r="BE422" i="14"/>
  <c r="BE421" i="14"/>
  <c r="AV421" i="14"/>
  <c r="BZ421" i="14"/>
  <c r="BT421" i="14"/>
  <c r="AV420" i="14"/>
  <c r="BT420" i="14"/>
  <c r="BE420" i="14"/>
  <c r="AV419" i="14"/>
  <c r="BE419" i="14"/>
  <c r="BT419" i="14"/>
  <c r="AV418" i="14"/>
  <c r="BE418" i="14"/>
  <c r="BE417" i="14"/>
  <c r="AV417" i="14"/>
  <c r="BE416" i="14"/>
  <c r="AV416" i="14"/>
  <c r="BT415" i="14"/>
  <c r="BE415" i="14"/>
  <c r="AV414" i="14"/>
  <c r="BE414" i="14"/>
  <c r="BE413" i="14"/>
  <c r="BT413" i="14"/>
  <c r="BZ413" i="14"/>
  <c r="AV413" i="14"/>
  <c r="BT412" i="14"/>
  <c r="AV412" i="14"/>
  <c r="BZ412" i="14"/>
  <c r="BE412" i="14"/>
  <c r="BE411" i="14"/>
  <c r="AV411" i="14"/>
  <c r="AV410" i="14"/>
  <c r="BE410" i="14"/>
  <c r="BT409" i="14"/>
  <c r="BE409" i="14"/>
  <c r="AV409" i="14"/>
  <c r="BE408" i="14"/>
  <c r="AV408" i="14"/>
  <c r="BT407" i="14"/>
  <c r="BE407" i="14"/>
  <c r="AV407" i="14"/>
  <c r="AV405" i="14"/>
  <c r="BE405" i="14"/>
  <c r="BE404" i="14"/>
  <c r="AV404" i="14"/>
  <c r="BZ403" i="14"/>
  <c r="AV403" i="14"/>
  <c r="BT403" i="14"/>
  <c r="BE403" i="14"/>
  <c r="AV402" i="14"/>
  <c r="BT402" i="14"/>
  <c r="BE402" i="14"/>
  <c r="BE401" i="14"/>
  <c r="AV401" i="14"/>
  <c r="BE400" i="14"/>
  <c r="AV400" i="14"/>
  <c r="BT400" i="14"/>
  <c r="BT398" i="14"/>
  <c r="AV398" i="14"/>
  <c r="AV396" i="14"/>
  <c r="BT396" i="14"/>
  <c r="BE396" i="14"/>
  <c r="AV395" i="14"/>
  <c r="BE395" i="14"/>
  <c r="BT395" i="14"/>
  <c r="BZ395" i="14"/>
  <c r="BE394" i="14"/>
  <c r="AV394" i="14"/>
  <c r="BT394" i="14"/>
  <c r="BT393" i="14"/>
  <c r="BE393" i="14"/>
  <c r="AV393" i="14"/>
  <c r="BT392" i="14"/>
  <c r="BE392" i="14"/>
  <c r="AV392" i="14"/>
  <c r="AV391" i="14"/>
  <c r="BE391" i="14"/>
  <c r="BE390" i="14"/>
  <c r="AV390" i="14"/>
  <c r="BE389" i="14"/>
  <c r="AV389" i="14"/>
  <c r="AV388" i="14"/>
  <c r="BE388" i="14"/>
  <c r="BE387" i="14"/>
  <c r="BT387" i="14"/>
  <c r="BZ387" i="14"/>
  <c r="BT386" i="14"/>
  <c r="BE386" i="14"/>
  <c r="AV386" i="14"/>
  <c r="BT384" i="14"/>
  <c r="BZ384" i="14"/>
  <c r="AV384" i="14"/>
  <c r="BE384" i="14"/>
  <c r="BT383" i="14"/>
  <c r="AV383" i="14"/>
  <c r="BE382" i="14"/>
  <c r="AV382" i="14"/>
  <c r="BT381" i="14"/>
  <c r="AV381" i="14"/>
  <c r="BE380" i="14"/>
  <c r="AV380" i="14"/>
  <c r="BZ379" i="14"/>
  <c r="BT379" i="14"/>
  <c r="BE379" i="14"/>
  <c r="AV379" i="14"/>
  <c r="BZ378" i="14"/>
  <c r="BT378" i="14"/>
  <c r="BE378" i="14"/>
  <c r="AV378" i="14"/>
  <c r="BT377" i="14"/>
  <c r="BE377" i="14"/>
  <c r="AV377" i="14"/>
  <c r="BZ376" i="14"/>
  <c r="BT376" i="14"/>
  <c r="AV376" i="14"/>
  <c r="BE376" i="14"/>
  <c r="BE374" i="14"/>
  <c r="AV374" i="14"/>
  <c r="AV373" i="14"/>
  <c r="BE373" i="14"/>
  <c r="AV371" i="14"/>
  <c r="BT371" i="14"/>
  <c r="BZ371" i="14"/>
  <c r="BE371" i="14"/>
  <c r="BT370" i="14"/>
  <c r="BZ370" i="14"/>
  <c r="AV370" i="14"/>
  <c r="BE370" i="14"/>
  <c r="AV369" i="14"/>
  <c r="BE369" i="14"/>
  <c r="BT369" i="14"/>
  <c r="BE368" i="14"/>
  <c r="AV368" i="14"/>
  <c r="BT368" i="14"/>
  <c r="BZ368" i="14"/>
  <c r="AV367" i="14"/>
  <c r="BT367" i="14"/>
  <c r="BE367" i="14"/>
  <c r="BE365" i="14"/>
  <c r="AV365" i="14"/>
  <c r="BT364" i="14"/>
  <c r="BE364" i="14"/>
  <c r="BE363" i="14"/>
  <c r="AV363" i="14"/>
  <c r="BT363" i="14"/>
  <c r="BE362" i="14"/>
  <c r="AV362" i="14"/>
  <c r="BT362" i="14"/>
  <c r="BE361" i="14"/>
  <c r="AV361" i="14"/>
  <c r="BE360" i="14"/>
  <c r="AV360" i="14"/>
  <c r="AV359" i="14"/>
  <c r="BE359" i="14"/>
  <c r="BT358" i="14"/>
  <c r="BE358" i="14"/>
  <c r="BE357" i="14"/>
  <c r="BT357" i="14"/>
  <c r="AV357" i="14"/>
  <c r="BE356" i="14"/>
  <c r="AV356" i="14"/>
  <c r="AV355" i="14"/>
  <c r="BE355" i="14"/>
  <c r="BT355" i="14"/>
  <c r="BT354" i="14"/>
  <c r="BE354" i="14"/>
  <c r="AV353" i="14"/>
  <c r="BE353" i="14"/>
  <c r="BT351" i="14"/>
  <c r="AV351" i="14"/>
  <c r="AV350" i="14"/>
  <c r="BE350" i="14"/>
  <c r="BT349" i="14"/>
  <c r="BE349" i="14"/>
  <c r="BZ349" i="14"/>
  <c r="AV349" i="14"/>
  <c r="BT348" i="14"/>
  <c r="AV348" i="14"/>
  <c r="BE347" i="14"/>
  <c r="AV347" i="14"/>
  <c r="BT345" i="14"/>
  <c r="AV345" i="14"/>
  <c r="BT344" i="14"/>
  <c r="AV344" i="14"/>
  <c r="BE343" i="14"/>
  <c r="BT343" i="14"/>
  <c r="BT342" i="14"/>
  <c r="BE342" i="14"/>
  <c r="AV342" i="14"/>
  <c r="BE341" i="14"/>
  <c r="AV341" i="14"/>
  <c r="BE340" i="14"/>
  <c r="BT340" i="14"/>
  <c r="AV340" i="14"/>
  <c r="AV339" i="14"/>
  <c r="BT339" i="14"/>
  <c r="BZ339" i="14"/>
  <c r="BE339" i="14"/>
  <c r="BE338" i="14"/>
  <c r="BZ338" i="14"/>
  <c r="BT338" i="14"/>
  <c r="BE337" i="14"/>
  <c r="AV337" i="14"/>
  <c r="BT336" i="14"/>
  <c r="BE336" i="14"/>
  <c r="BE335" i="14"/>
  <c r="BT335" i="14"/>
  <c r="BZ335" i="14"/>
  <c r="AV333" i="14"/>
  <c r="BT333" i="14"/>
  <c r="BT332" i="14"/>
  <c r="BZ332" i="14"/>
  <c r="BE331" i="14"/>
  <c r="BT331" i="14"/>
  <c r="AV331" i="14"/>
  <c r="BT330" i="14"/>
  <c r="BE330" i="14"/>
  <c r="BZ330" i="14"/>
  <c r="AV330" i="14"/>
  <c r="BT327" i="14"/>
  <c r="BE327" i="14"/>
  <c r="AV327" i="14"/>
  <c r="AV326" i="14"/>
  <c r="BT326" i="14"/>
  <c r="BT325" i="14"/>
  <c r="AV325" i="14"/>
  <c r="BE325" i="14"/>
  <c r="AV324" i="14"/>
  <c r="BE324" i="14"/>
  <c r="BT323" i="14"/>
  <c r="BE323" i="14"/>
  <c r="AV323" i="14"/>
  <c r="AV322" i="14"/>
  <c r="BE322" i="14"/>
  <c r="AV321" i="14"/>
  <c r="BT321" i="14"/>
  <c r="BT320" i="14"/>
  <c r="BE320" i="14"/>
  <c r="AV320" i="14"/>
  <c r="BT319" i="14"/>
  <c r="BE319" i="14"/>
  <c r="AV319" i="14"/>
  <c r="BE318" i="14"/>
  <c r="BT318" i="14"/>
  <c r="AV318" i="14"/>
  <c r="AV317" i="14"/>
  <c r="BT317" i="14"/>
  <c r="BE317" i="14"/>
  <c r="AV316" i="14"/>
  <c r="BE316" i="14"/>
  <c r="BT316" i="14"/>
  <c r="AV315" i="14"/>
  <c r="BT315" i="14"/>
  <c r="AV314" i="14"/>
  <c r="BE314" i="14"/>
  <c r="BT314" i="14"/>
  <c r="AV313" i="14"/>
  <c r="BE313" i="14"/>
  <c r="BT313" i="14"/>
  <c r="BE312" i="14"/>
  <c r="BT312" i="14"/>
  <c r="AV312" i="14"/>
  <c r="BT311" i="14"/>
  <c r="BE311" i="14"/>
  <c r="BZ310" i="14"/>
  <c r="BE310" i="14"/>
  <c r="BT310" i="14"/>
  <c r="AV308" i="14"/>
  <c r="BT308" i="14"/>
  <c r="BE308" i="14"/>
  <c r="BZ308" i="14"/>
  <c r="BT307" i="14"/>
  <c r="BZ307" i="14"/>
  <c r="AV307" i="14"/>
  <c r="BE307" i="14"/>
  <c r="AV306" i="14"/>
  <c r="BE306" i="14"/>
  <c r="BE305" i="14"/>
  <c r="BT305" i="14"/>
  <c r="BE304" i="14"/>
  <c r="BT304" i="14"/>
  <c r="BT303" i="14"/>
  <c r="AV303" i="14"/>
  <c r="AV302" i="14"/>
  <c r="BE302" i="14"/>
  <c r="BT302" i="14"/>
  <c r="AV301" i="14"/>
  <c r="BE301" i="14"/>
  <c r="BT301" i="14"/>
  <c r="BZ301" i="14"/>
  <c r="AV299" i="14"/>
  <c r="BE299" i="14"/>
  <c r="BT298" i="14"/>
  <c r="BZ298" i="14"/>
  <c r="BE298" i="14"/>
  <c r="AV298" i="14"/>
  <c r="BZ294" i="14"/>
  <c r="BT294" i="14"/>
  <c r="BE294" i="14"/>
  <c r="AV294" i="14"/>
  <c r="AV292" i="14"/>
  <c r="BE292" i="14"/>
  <c r="AV291" i="14"/>
  <c r="BE291" i="14"/>
  <c r="BT291" i="14"/>
  <c r="BZ291" i="14"/>
  <c r="BZ289" i="14"/>
  <c r="BT289" i="14"/>
  <c r="AV289" i="14"/>
  <c r="BE289" i="14"/>
  <c r="BE288" i="14"/>
  <c r="AV288" i="14"/>
  <c r="BT288" i="14"/>
  <c r="BE286" i="14"/>
  <c r="BT286" i="14"/>
  <c r="AV286" i="14"/>
  <c r="AV285" i="14"/>
  <c r="BE285" i="14"/>
  <c r="AV284" i="14"/>
  <c r="BE284" i="14"/>
  <c r="BE283" i="14"/>
  <c r="BT283" i="14"/>
  <c r="BE282" i="14"/>
  <c r="AV282" i="14"/>
  <c r="BE281" i="14"/>
  <c r="BT281" i="14"/>
  <c r="AV281" i="14"/>
  <c r="BE280" i="14"/>
  <c r="BT280" i="14"/>
  <c r="BE279" i="14"/>
  <c r="BT279" i="14"/>
  <c r="AV279" i="14"/>
  <c r="BZ279" i="14"/>
  <c r="AV278" i="14"/>
  <c r="BT278" i="14"/>
  <c r="BE278" i="14"/>
  <c r="BZ277" i="14"/>
  <c r="BT277" i="14"/>
  <c r="AV277" i="14"/>
  <c r="AV276" i="14"/>
  <c r="BE276" i="14"/>
  <c r="BT274" i="14"/>
  <c r="BE274" i="14"/>
  <c r="AV272" i="14"/>
  <c r="BE272" i="14"/>
  <c r="AV269" i="14"/>
  <c r="BT269" i="14"/>
  <c r="BE269" i="14"/>
  <c r="BZ269" i="14"/>
  <c r="BE268" i="14"/>
  <c r="AV268" i="14"/>
  <c r="BT267" i="14"/>
  <c r="BE267" i="14"/>
  <c r="AV265" i="14"/>
  <c r="BE265" i="14"/>
  <c r="AV264" i="14"/>
  <c r="BT264" i="14"/>
  <c r="BE264" i="14"/>
  <c r="AV263" i="14"/>
  <c r="BE263" i="14"/>
  <c r="BT261" i="14"/>
  <c r="BZ261" i="14"/>
  <c r="BE261" i="14"/>
  <c r="AV260" i="14"/>
  <c r="BE260" i="14"/>
  <c r="BT260" i="14"/>
  <c r="BT259" i="14"/>
  <c r="BE259" i="14"/>
  <c r="BT257" i="14"/>
  <c r="BZ257" i="14"/>
  <c r="BE257" i="14"/>
  <c r="BT256" i="14"/>
  <c r="AV256" i="14"/>
  <c r="BE256" i="14"/>
  <c r="AV255" i="14"/>
  <c r="BT255" i="14"/>
  <c r="AV254" i="14"/>
  <c r="BE254" i="14"/>
  <c r="AV253" i="14"/>
  <c r="BE253" i="14"/>
  <c r="BE252" i="14"/>
  <c r="AV252" i="14"/>
  <c r="BT251" i="14"/>
  <c r="BZ251" i="14"/>
  <c r="BE251" i="14"/>
  <c r="AV251" i="14"/>
  <c r="AV250" i="14"/>
  <c r="BE250" i="14"/>
  <c r="BZ250" i="14"/>
  <c r="BT250" i="14"/>
  <c r="AV247" i="14"/>
  <c r="BE247" i="14"/>
  <c r="BE246" i="14"/>
  <c r="AV246" i="14"/>
  <c r="AV245" i="14"/>
  <c r="BE245" i="14"/>
  <c r="BT245" i="14"/>
  <c r="BE243" i="14"/>
  <c r="BT243" i="14"/>
  <c r="AV243" i="14"/>
  <c r="BZ242" i="14"/>
  <c r="BT242" i="14"/>
  <c r="AV242" i="14"/>
  <c r="BE242" i="14"/>
  <c r="BE241" i="14"/>
  <c r="BT241" i="14"/>
  <c r="BE240" i="14"/>
  <c r="AV240" i="14"/>
  <c r="BT240" i="14"/>
  <c r="BE239" i="14"/>
  <c r="BT239" i="14"/>
  <c r="AV239" i="14"/>
  <c r="AV238" i="14"/>
  <c r="BE238" i="14"/>
  <c r="BT237" i="14"/>
  <c r="BE237" i="14"/>
  <c r="BE236" i="14"/>
  <c r="BT236" i="14"/>
  <c r="BT234" i="14"/>
  <c r="BE234" i="14"/>
  <c r="BE233" i="14"/>
  <c r="AV233" i="14"/>
  <c r="BT231" i="14"/>
  <c r="BZ231" i="14"/>
  <c r="BT230" i="14"/>
  <c r="BE230" i="14"/>
  <c r="BE229" i="14"/>
  <c r="BT229" i="14"/>
  <c r="BT228" i="14"/>
  <c r="BZ228" i="14"/>
  <c r="BT225" i="14"/>
  <c r="BZ225" i="14"/>
  <c r="BE223" i="14"/>
  <c r="BT223" i="14"/>
  <c r="BT222" i="14"/>
  <c r="BZ222" i="14"/>
  <c r="BE222" i="14"/>
  <c r="AV222" i="14"/>
  <c r="BE220" i="14"/>
  <c r="AV220" i="14"/>
  <c r="BZ218" i="14"/>
  <c r="BT218" i="14"/>
  <c r="BE218" i="14"/>
  <c r="AV218" i="14"/>
  <c r="AV217" i="14"/>
  <c r="BT217" i="14"/>
  <c r="BZ216" i="14"/>
  <c r="BT216" i="14"/>
  <c r="BE216" i="14"/>
  <c r="BT215" i="14"/>
  <c r="BE215" i="14"/>
  <c r="BZ214" i="14"/>
  <c r="BT214" i="14"/>
  <c r="AV214" i="14"/>
  <c r="BE214" i="14"/>
  <c r="BE213" i="14"/>
  <c r="BT213" i="14"/>
  <c r="AV213" i="14"/>
  <c r="AV212" i="14"/>
  <c r="BE212" i="14"/>
  <c r="BE211" i="14"/>
  <c r="BT211" i="14"/>
  <c r="BE210" i="14"/>
  <c r="AV210" i="14"/>
  <c r="BE209" i="14"/>
  <c r="BZ209" i="14"/>
  <c r="BT209" i="14"/>
  <c r="BE208" i="14"/>
  <c r="BT208" i="14"/>
  <c r="AV207" i="14"/>
  <c r="BT207" i="14"/>
  <c r="BE207" i="14"/>
  <c r="AV206" i="14"/>
  <c r="BT206" i="14"/>
  <c r="BE205" i="14"/>
  <c r="BT205" i="14"/>
  <c r="AV205" i="14"/>
  <c r="BE204" i="14"/>
  <c r="AV204" i="14"/>
  <c r="BE203" i="14"/>
  <c r="BZ203" i="14"/>
  <c r="BT203" i="14"/>
  <c r="AV203" i="14"/>
  <c r="AV202" i="14"/>
  <c r="BE202" i="14"/>
  <c r="BE201" i="14"/>
  <c r="AV201" i="14"/>
  <c r="BE200" i="14"/>
  <c r="BZ200" i="14"/>
  <c r="AV200" i="14"/>
  <c r="BT200" i="14"/>
  <c r="BE199" i="14"/>
  <c r="AV199" i="14"/>
  <c r="BT197" i="14"/>
  <c r="AV197" i="14"/>
  <c r="BT196" i="14"/>
  <c r="BZ196" i="14"/>
  <c r="BE196" i="14"/>
  <c r="AV196" i="14"/>
  <c r="AV194" i="14"/>
  <c r="BE194" i="14"/>
  <c r="BE193" i="14"/>
  <c r="AV193" i="14"/>
  <c r="BZ191" i="14"/>
  <c r="BT191" i="14"/>
  <c r="BE191" i="14"/>
  <c r="AV191" i="14"/>
  <c r="AV190" i="14"/>
  <c r="BE190" i="14"/>
  <c r="BZ189" i="14"/>
  <c r="BT189" i="14"/>
  <c r="AV188" i="14"/>
  <c r="BE188" i="14"/>
  <c r="BE187" i="14"/>
  <c r="AV187" i="14"/>
  <c r="BT187" i="14"/>
  <c r="AV184" i="14"/>
  <c r="BE184" i="14"/>
  <c r="BT183" i="14"/>
  <c r="BE183" i="14"/>
  <c r="AV183" i="14"/>
  <c r="AV182" i="14"/>
  <c r="BE182" i="14"/>
  <c r="BT181" i="14"/>
  <c r="BZ181" i="14"/>
  <c r="BE181" i="14"/>
  <c r="AV181" i="14"/>
  <c r="AV180" i="14"/>
  <c r="BE180" i="14"/>
  <c r="BZ180" i="14"/>
  <c r="BT180" i="14"/>
  <c r="BT179" i="14"/>
  <c r="AV179" i="14"/>
  <c r="BZ179" i="14"/>
  <c r="BE179" i="14"/>
  <c r="AV178" i="14"/>
  <c r="BZ178" i="14"/>
  <c r="BT178" i="14"/>
  <c r="BE178" i="14"/>
  <c r="AV177" i="14"/>
  <c r="BE177" i="14"/>
  <c r="BT176" i="14"/>
  <c r="AV176" i="14"/>
  <c r="BE176" i="14"/>
  <c r="BE175" i="14"/>
  <c r="AV175" i="14"/>
  <c r="BT174" i="14"/>
  <c r="BE174" i="14"/>
  <c r="BT173" i="14"/>
  <c r="BE173" i="14"/>
  <c r="AV173" i="14"/>
  <c r="BZ173" i="14"/>
  <c r="BT172" i="14"/>
  <c r="AV172" i="14"/>
  <c r="AV171" i="14"/>
  <c r="BE171" i="14"/>
  <c r="BE170" i="14"/>
  <c r="AV170" i="14"/>
  <c r="BZ169" i="14"/>
  <c r="BT169" i="14"/>
  <c r="AV168" i="14"/>
  <c r="BT168" i="14"/>
  <c r="BE168" i="14"/>
  <c r="BE167" i="14"/>
  <c r="BT167" i="14"/>
  <c r="BT166" i="14"/>
  <c r="BZ166" i="14"/>
  <c r="AV164" i="14"/>
  <c r="BE164" i="14"/>
  <c r="BZ164" i="14"/>
  <c r="BT164" i="14"/>
  <c r="BZ159" i="14"/>
  <c r="BT159" i="14"/>
  <c r="BE155" i="14"/>
  <c r="AV155" i="14"/>
  <c r="BT154" i="14"/>
  <c r="AV154" i="14"/>
  <c r="AV153" i="14"/>
  <c r="BE153" i="14"/>
  <c r="BT152" i="14"/>
  <c r="AV152" i="14"/>
  <c r="BT151" i="14"/>
  <c r="BZ151" i="14"/>
  <c r="BE151" i="14"/>
  <c r="AV151" i="14"/>
  <c r="BE150" i="14"/>
  <c r="AV150" i="14"/>
  <c r="BZ149" i="14"/>
  <c r="AV149" i="14"/>
  <c r="BE149" i="14"/>
  <c r="BT149" i="14"/>
  <c r="BZ148" i="14"/>
  <c r="BT148" i="14"/>
  <c r="AV148" i="14"/>
  <c r="BE148" i="14"/>
  <c r="BE147" i="14"/>
  <c r="AV147" i="14"/>
  <c r="BT145" i="14"/>
  <c r="AV145" i="14"/>
  <c r="BE144" i="14"/>
  <c r="AV144" i="14"/>
  <c r="BE143" i="14"/>
  <c r="AV143" i="14"/>
  <c r="BE141" i="14"/>
  <c r="AV141" i="14"/>
  <c r="BT140" i="14"/>
  <c r="AV140" i="14"/>
  <c r="BE140" i="14"/>
  <c r="AV138" i="14"/>
  <c r="BT138" i="14"/>
  <c r="BE138" i="14"/>
  <c r="BZ138" i="14"/>
  <c r="BE137" i="14"/>
  <c r="AV137" i="14"/>
  <c r="AV136" i="14"/>
  <c r="BE136" i="14"/>
  <c r="BE135" i="14"/>
  <c r="AV135" i="14"/>
  <c r="BE134" i="14"/>
  <c r="BT134" i="14"/>
  <c r="AV134" i="14"/>
  <c r="BZ134" i="14"/>
  <c r="BE133" i="14"/>
  <c r="BT133" i="14"/>
  <c r="BZ133" i="14"/>
  <c r="AV133" i="14"/>
  <c r="BE132" i="14"/>
  <c r="AV132" i="14"/>
  <c r="AV131" i="14"/>
  <c r="BE131" i="14"/>
  <c r="BT130" i="14"/>
  <c r="BZ130" i="14"/>
  <c r="AV130" i="14"/>
  <c r="BE130" i="14"/>
  <c r="BT129" i="14"/>
  <c r="BE129" i="14"/>
  <c r="BZ129" i="14"/>
  <c r="BE128" i="14"/>
  <c r="AV128" i="14"/>
  <c r="AV125" i="14"/>
  <c r="BT125" i="14"/>
  <c r="BE125" i="14"/>
  <c r="BE124" i="14"/>
  <c r="AV124" i="14"/>
  <c r="AV123" i="14"/>
  <c r="BE123" i="14"/>
  <c r="AV122" i="14"/>
  <c r="BT122" i="14"/>
  <c r="BE121" i="14"/>
  <c r="AV121" i="14"/>
  <c r="AV120" i="14"/>
  <c r="BE120" i="14"/>
  <c r="BZ119" i="14"/>
  <c r="BT119" i="14"/>
  <c r="BE119" i="14"/>
  <c r="AV119" i="14"/>
  <c r="BE118" i="14"/>
  <c r="AV118" i="14"/>
  <c r="BT117" i="14"/>
  <c r="BE117" i="14"/>
  <c r="AV117" i="14"/>
  <c r="AV116" i="14"/>
  <c r="BE116" i="14"/>
  <c r="BT114" i="14"/>
  <c r="BE114" i="14"/>
  <c r="AV114" i="14"/>
  <c r="AV113" i="14"/>
  <c r="BE113" i="14"/>
  <c r="BT112" i="14"/>
  <c r="BE112" i="14"/>
  <c r="BZ112" i="14"/>
  <c r="AV112" i="14"/>
  <c r="BE111" i="14"/>
  <c r="AV111" i="14"/>
  <c r="BT110" i="14"/>
  <c r="BZ110" i="14"/>
  <c r="AV110" i="14"/>
  <c r="BE110" i="14"/>
  <c r="BT109" i="14"/>
  <c r="BZ109" i="14"/>
  <c r="BE107" i="14"/>
  <c r="AV107" i="14"/>
  <c r="BE106" i="14"/>
  <c r="AV106" i="14"/>
  <c r="BT106" i="14"/>
  <c r="BT105" i="14"/>
  <c r="BZ105" i="14"/>
  <c r="AV105" i="14"/>
  <c r="BE105" i="14"/>
  <c r="BE104" i="14"/>
  <c r="BT104" i="14"/>
  <c r="AV104" i="14"/>
  <c r="BZ104" i="14"/>
  <c r="BZ102" i="14"/>
  <c r="AV102" i="14"/>
  <c r="BT102" i="14"/>
  <c r="BE102" i="14"/>
  <c r="BE101" i="14"/>
  <c r="BT101" i="14"/>
  <c r="AV101" i="14"/>
  <c r="BZ100" i="14"/>
  <c r="BT100" i="14"/>
  <c r="BE100" i="14"/>
  <c r="BE99" i="14"/>
  <c r="AV99" i="14"/>
  <c r="BE97" i="14"/>
  <c r="BT97" i="14"/>
  <c r="BT96" i="14"/>
  <c r="BZ96" i="14"/>
  <c r="BT95" i="14"/>
  <c r="BZ95" i="14"/>
  <c r="BE95" i="14"/>
  <c r="AV95" i="14"/>
  <c r="AV93" i="14"/>
  <c r="BT93" i="14"/>
  <c r="BE93" i="14"/>
  <c r="BT92" i="14"/>
  <c r="BZ92" i="14"/>
  <c r="BE92" i="14"/>
  <c r="AV92" i="14"/>
  <c r="BZ91" i="14"/>
  <c r="BT91" i="14"/>
  <c r="AV91" i="14"/>
  <c r="BE91" i="14"/>
  <c r="AV89" i="14"/>
  <c r="BE89" i="14"/>
  <c r="BE87" i="14"/>
  <c r="AV87" i="14"/>
  <c r="BE86" i="14"/>
  <c r="AV86" i="14"/>
  <c r="AV85" i="14"/>
  <c r="BE85" i="14"/>
  <c r="BZ84" i="14"/>
  <c r="BT84" i="14"/>
  <c r="BE84" i="14"/>
  <c r="AV84" i="14"/>
  <c r="BE83" i="14"/>
  <c r="AV83" i="14"/>
  <c r="AV81" i="14"/>
  <c r="BE81" i="14"/>
  <c r="BT81" i="14"/>
  <c r="BZ81" i="14"/>
  <c r="BT80" i="14"/>
  <c r="AV80" i="14"/>
  <c r="BE80" i="14"/>
  <c r="BZ79" i="14"/>
  <c r="BT79" i="14"/>
  <c r="AV79" i="14"/>
  <c r="BE79" i="14"/>
  <c r="AV78" i="14"/>
  <c r="BE78" i="14"/>
  <c r="BE77" i="14"/>
  <c r="AV77" i="14"/>
  <c r="BT77" i="14"/>
  <c r="BT76" i="14"/>
  <c r="BZ76" i="14"/>
  <c r="AV76" i="14"/>
  <c r="BE76" i="14"/>
  <c r="BT75" i="14"/>
  <c r="AV75" i="14"/>
  <c r="BE75" i="14"/>
  <c r="BT73" i="14"/>
  <c r="AV73" i="14"/>
  <c r="BE71" i="14"/>
  <c r="AV71" i="14"/>
  <c r="BE68" i="14"/>
  <c r="BT68" i="14"/>
  <c r="AV68" i="14"/>
  <c r="BE67" i="14"/>
  <c r="AV67" i="14"/>
  <c r="BT67" i="14"/>
  <c r="BT66" i="14"/>
  <c r="AV66" i="14"/>
  <c r="BZ65" i="14"/>
  <c r="BT65" i="14"/>
  <c r="AV65" i="14"/>
  <c r="BE65" i="14"/>
  <c r="BE64" i="14"/>
  <c r="AV64" i="14"/>
  <c r="BE63" i="14"/>
  <c r="AV63" i="14"/>
  <c r="BT62" i="14"/>
  <c r="BZ62" i="14"/>
  <c r="AV62" i="14"/>
  <c r="BE62" i="14"/>
  <c r="BE61" i="14"/>
  <c r="BT61" i="14"/>
  <c r="AV59" i="14"/>
  <c r="BT59" i="14"/>
  <c r="BE59" i="14"/>
  <c r="BE58" i="14"/>
  <c r="BT58" i="14"/>
  <c r="BZ58" i="14"/>
  <c r="BT57" i="14"/>
  <c r="BZ57" i="14"/>
  <c r="AV57" i="14"/>
  <c r="BE57" i="14"/>
  <c r="BT56" i="14"/>
  <c r="BE56" i="14"/>
  <c r="BZ54" i="14"/>
  <c r="BT54" i="14"/>
  <c r="AV54" i="14"/>
  <c r="BE54" i="14"/>
  <c r="BT53" i="14"/>
  <c r="AV53" i="14"/>
  <c r="BE52" i="14"/>
  <c r="BZ52" i="14"/>
  <c r="BT52" i="14"/>
  <c r="AV52" i="14"/>
  <c r="BZ51" i="14"/>
  <c r="BT51" i="14"/>
  <c r="BE51" i="14"/>
  <c r="AV51" i="14"/>
  <c r="BT50" i="14"/>
  <c r="BE50" i="14"/>
  <c r="AV50" i="14"/>
  <c r="BT49" i="14"/>
  <c r="BZ49" i="14"/>
  <c r="BE49" i="14"/>
  <c r="BZ48" i="14"/>
  <c r="BT48" i="14"/>
  <c r="BE48" i="14"/>
  <c r="BE47" i="14"/>
  <c r="AV47" i="14"/>
  <c r="AV46" i="14"/>
  <c r="BT46" i="14"/>
  <c r="BE46" i="14"/>
  <c r="AV45" i="14"/>
  <c r="BE45" i="14"/>
  <c r="AV44" i="14"/>
  <c r="BE44" i="14"/>
  <c r="BT43" i="14"/>
  <c r="AV43" i="14"/>
  <c r="BE42" i="14"/>
  <c r="AV42" i="14"/>
  <c r="BZ42" i="14"/>
  <c r="BT42" i="14"/>
  <c r="BT41" i="14"/>
  <c r="BZ41" i="14"/>
  <c r="AV41" i="14"/>
  <c r="BE41" i="14"/>
  <c r="AV40" i="14"/>
  <c r="BE40" i="14"/>
  <c r="BT40" i="14"/>
  <c r="BZ40" i="14"/>
  <c r="BT39" i="14"/>
  <c r="AV39" i="14"/>
  <c r="BE38" i="14"/>
  <c r="BT38" i="14"/>
  <c r="AV38" i="14"/>
  <c r="AU850" i="14"/>
  <c r="AU851" i="14"/>
  <c r="AU852" i="14"/>
  <c r="AU853" i="14"/>
  <c r="AU854" i="14"/>
  <c r="AU855" i="14"/>
  <c r="AV37" i="14"/>
  <c r="BT35" i="14"/>
  <c r="BE35" i="14"/>
  <c r="AV35" i="14"/>
  <c r="BZ35" i="14"/>
  <c r="AV34" i="14"/>
  <c r="BE34" i="14"/>
  <c r="BT33" i="14"/>
  <c r="BZ33" i="14"/>
  <c r="AV33" i="14"/>
  <c r="BE33" i="14"/>
  <c r="BZ31" i="14"/>
  <c r="BT31" i="14"/>
  <c r="BE31" i="14"/>
  <c r="AV31" i="14"/>
  <c r="AV30" i="14"/>
  <c r="BE30" i="14"/>
  <c r="BT29" i="14"/>
  <c r="BZ29" i="14"/>
  <c r="BE29" i="14"/>
  <c r="AV29" i="14"/>
  <c r="BE28" i="14"/>
  <c r="BZ28" i="14"/>
  <c r="BT28" i="14"/>
  <c r="BE27" i="14"/>
  <c r="AV27" i="14"/>
  <c r="BE24" i="14"/>
  <c r="BZ24" i="14"/>
  <c r="BT24" i="14"/>
  <c r="AV24" i="14"/>
  <c r="BZ23" i="14"/>
  <c r="BT23" i="14"/>
  <c r="AV23" i="14"/>
  <c r="BE23" i="14"/>
  <c r="BE21" i="14"/>
  <c r="BT21" i="14"/>
  <c r="BZ20" i="14"/>
  <c r="BT20" i="14"/>
  <c r="BE20" i="14"/>
  <c r="AV20" i="14"/>
  <c r="BE19" i="14"/>
  <c r="AV19" i="14"/>
  <c r="AV16" i="14"/>
  <c r="BZ16" i="14"/>
  <c r="BT16" i="14"/>
  <c r="BE16" i="14"/>
  <c r="BT15" i="14"/>
  <c r="BZ15" i="14"/>
  <c r="BE15" i="14"/>
  <c r="AV15" i="14"/>
  <c r="AV13" i="14"/>
  <c r="BT13" i="14"/>
  <c r="BT12" i="14"/>
  <c r="AV12" i="14"/>
  <c r="BZ12" i="14"/>
  <c r="BE12" i="14"/>
  <c r="AV9" i="14"/>
  <c r="BT9" i="14"/>
  <c r="BE8" i="14"/>
  <c r="BT8" i="14"/>
  <c r="AV8" i="14"/>
  <c r="BT7" i="14"/>
  <c r="BE7" i="14"/>
  <c r="AV7" i="14"/>
  <c r="BE6" i="14"/>
  <c r="BT6" i="14"/>
  <c r="AV6" i="14"/>
  <c r="BZ5" i="14"/>
  <c r="BE5" i="14"/>
  <c r="BT5" i="14"/>
  <c r="AV4" i="14"/>
  <c r="BE4" i="14"/>
  <c r="BT4" i="14"/>
  <c r="BZ4" i="14"/>
  <c r="BD854" i="14"/>
  <c r="BD852" i="14"/>
  <c r="BY3" i="14"/>
  <c r="BD855" i="14"/>
  <c r="BD850" i="14"/>
  <c r="BD851" i="14"/>
  <c r="BD853" i="14"/>
  <c r="BE2" i="14"/>
  <c r="AM854" i="14"/>
  <c r="AM855" i="14"/>
  <c r="AM853" i="14"/>
  <c r="AM852" i="14"/>
  <c r="AV2" i="14"/>
  <c r="AM851" i="14"/>
  <c r="AM850" i="14"/>
  <c r="BT855" i="14"/>
  <c r="BT851" i="14"/>
  <c r="BT854" i="14"/>
  <c r="BT852" i="14"/>
  <c r="BT853" i="14"/>
  <c r="BZ853" i="14"/>
  <c r="BZ851" i="14"/>
  <c r="BZ854" i="14"/>
  <c r="BZ852" i="14"/>
  <c r="BZ855" i="14"/>
  <c r="BZ850" i="14" l="1"/>
  <c r="BT850" i="14"/>
  <c r="BY850" i="14"/>
  <c r="BY853" i="14"/>
  <c r="BY855" i="14"/>
  <c r="BY852" i="14"/>
  <c r="BY854" i="14"/>
  <c r="BE850" i="14"/>
  <c r="BE851" i="14"/>
  <c r="BE852" i="14"/>
  <c r="BE855" i="14"/>
  <c r="BE854" i="14"/>
  <c r="BE853" i="14"/>
  <c r="AV855" i="14"/>
  <c r="AV854" i="14"/>
  <c r="AV853" i="14"/>
  <c r="AV852" i="14"/>
  <c r="AV851" i="14"/>
  <c r="AV850" i="14"/>
</calcChain>
</file>

<file path=xl/sharedStrings.xml><?xml version="1.0" encoding="utf-8"?>
<sst xmlns="http://schemas.openxmlformats.org/spreadsheetml/2006/main" count="21718" uniqueCount="1511">
  <si>
    <t>Marca temporal</t>
  </si>
  <si>
    <t>Indique su fecha de nacimiento</t>
  </si>
  <si>
    <t>Indique la fecha de nacimiento de su último hijo/a</t>
  </si>
  <si>
    <t>Fecha inicio Gestación</t>
  </si>
  <si>
    <t>Gestación en Pandemia</t>
  </si>
  <si>
    <t>¿Cuál era su estatura en centímetros al inicio del último embarazo?</t>
  </si>
  <si>
    <t>IMC Pregestacional</t>
  </si>
  <si>
    <t>Delta IMC</t>
  </si>
  <si>
    <t xml:space="preserve">Usted tuvo antes o durante el embarazo alguna de estas condiciones o estuvo expuesta a alguna de estas situaciones </t>
  </si>
  <si>
    <t xml:space="preserve">Su último hijo/a, ¿nació con algún problema de salud? </t>
  </si>
  <si>
    <t>Problema Salud</t>
  </si>
  <si>
    <t xml:space="preserve">¿Consumió suplementos de Ácido Fólico durante su embarazo? </t>
  </si>
  <si>
    <t xml:space="preserve">Si su respuesta anterior fue sí, ¿Qué suplemento de ácido fólico consumió durante su último embarazo?. Considere el consumido durante un mayor período de tiempo. </t>
  </si>
  <si>
    <t>Cada vez que lo consumió, ¿Cuántas cápsulas tomó?</t>
  </si>
  <si>
    <t>¿Consumió algún suplemento vitamínico durante su último embarazo?</t>
  </si>
  <si>
    <t>Si su respuesta fue sí, ¿Cuál consumió?</t>
  </si>
  <si>
    <t>Cada vez que lo consumió ¿Cuántas cápsulas tomó?</t>
  </si>
  <si>
    <t>Indique el periodo durante el cual consumió suplementos de Ácido Fólico</t>
  </si>
  <si>
    <t>Durante su último embarazo dejó de comer algún alimento como:</t>
  </si>
  <si>
    <t>Durante su último embarazo dejó de comer algún alimento como  #</t>
  </si>
  <si>
    <t>Durante su último embarazo, ¿consumió pan a base de harina de trigo?</t>
  </si>
  <si>
    <t>Durante su último embarazo, ¿Qué tipo de pan consumió con mayor frecuencia?</t>
  </si>
  <si>
    <t>Durante su embarazo, en promedio ¿Cuánto pan consumió a diario?</t>
  </si>
  <si>
    <t xml:space="preserve">Durante su embarazo, ¿consumió fideos – tallarines - pastas?. En base a trigo </t>
  </si>
  <si>
    <t xml:space="preserve">Durante su embarazo, ¿Cuánto de fideos – pastas - tallarines cocidos consumió a la semana? </t>
  </si>
  <si>
    <t>Preeclampsia</t>
  </si>
  <si>
    <t>No</t>
  </si>
  <si>
    <t>Folisanin 5 miligramos</t>
  </si>
  <si>
    <t>Antes del embarazo, 1-3 meses de embarazo (los 3 primeros meses de embarazo)</t>
  </si>
  <si>
    <t>No dejé de comer ningún tipo de alimento</t>
  </si>
  <si>
    <t>Marraqueta - Pan Batido - Pan Francés</t>
  </si>
  <si>
    <t>2 unidades</t>
  </si>
  <si>
    <t>2 tazas</t>
  </si>
  <si>
    <t>No estuve expuesta a ninguna de las situaciones o condiciones mencionadas</t>
  </si>
  <si>
    <t>Si</t>
  </si>
  <si>
    <t>Naticare supra</t>
  </si>
  <si>
    <t>Antes del embarazo, Durante todo el embarazo</t>
  </si>
  <si>
    <t>Pan de molde integral</t>
  </si>
  <si>
    <t>1 unidad</t>
  </si>
  <si>
    <t>1 taza</t>
  </si>
  <si>
    <t>Diabetes gestacional, Exposición directa o indirecta a humo de cigarro</t>
  </si>
  <si>
    <t>Supradyn prenatal</t>
  </si>
  <si>
    <t>Durante todo el embarazo</t>
  </si>
  <si>
    <t>Folisanin 1 miligramo (mg)</t>
  </si>
  <si>
    <t>Diabetes gestacional</t>
  </si>
  <si>
    <t>Elcal D y Omega 3</t>
  </si>
  <si>
    <t>pescado y huevos crudos</t>
  </si>
  <si>
    <t xml:space="preserve">Todas las anteriores </t>
  </si>
  <si>
    <t>3 tazas</t>
  </si>
  <si>
    <t>1-3 meses de embarazo (los 3 primeros meses de embarazo)</t>
  </si>
  <si>
    <t>Exposición directa o indirecta a humo de cigarro</t>
  </si>
  <si>
    <t>No consumí suplemento en ningún periodo</t>
  </si>
  <si>
    <t xml:space="preserve">Bebidas azucaradas </t>
  </si>
  <si>
    <t>Naticare supra, regenesisultra</t>
  </si>
  <si>
    <t>Antes del embarazo</t>
  </si>
  <si>
    <t>Hallulla</t>
  </si>
  <si>
    <t>Folacid 1 miligramo (mg)</t>
  </si>
  <si>
    <t>Folacid 5 miligramos (mg)</t>
  </si>
  <si>
    <t>Supradin</t>
  </si>
  <si>
    <t>Pan de molde blanco</t>
  </si>
  <si>
    <t>Menos de 1 unidad</t>
  </si>
  <si>
    <t>Centrum</t>
  </si>
  <si>
    <t>Menos de 1 taza</t>
  </si>
  <si>
    <t>Pan Pita</t>
  </si>
  <si>
    <t>Omega 3, probioticos, vitamina D, Calcio</t>
  </si>
  <si>
    <t>bebida cola</t>
  </si>
  <si>
    <t>Pan hecho en casa</t>
  </si>
  <si>
    <t>Elcal-D</t>
  </si>
  <si>
    <t>sushi, pescado crudo, salmon ahumado, quesos suaves, cafe</t>
  </si>
  <si>
    <t>Regenesis ultra</t>
  </si>
  <si>
    <t xml:space="preserve">Carnes o pescados crudos. Quesos no pasteurizados. </t>
  </si>
  <si>
    <t>Regenesis max</t>
  </si>
  <si>
    <t>3 unidades</t>
  </si>
  <si>
    <t>Regenesis ultra y citracal max</t>
  </si>
  <si>
    <t>ElcalDE omega 3</t>
  </si>
  <si>
    <t xml:space="preserve">No dejé de comer ningún tipo de alimento, Todos los alimentos de origen animal los consumí cocidos </t>
  </si>
  <si>
    <t>5 o más tazas</t>
  </si>
  <si>
    <t>Calcio y hierro</t>
  </si>
  <si>
    <t xml:space="preserve">Pan hecho en casa </t>
  </si>
  <si>
    <t>Consumí el del consultorio y no recuerdo el nombre</t>
  </si>
  <si>
    <t>Elcal D</t>
  </si>
  <si>
    <t>Miliser 5 miligramos (mg)</t>
  </si>
  <si>
    <t>Prenamin N, Folifer, ultrapure OMG3 UP</t>
  </si>
  <si>
    <t>Carnes rojas (vacuno, cerdo, etc)</t>
  </si>
  <si>
    <t>Alergia alimentaria multiple</t>
  </si>
  <si>
    <t xml:space="preserve">Elcal D y Cheltin </t>
  </si>
  <si>
    <t xml:space="preserve">Sólo crudos por ej. sushi </t>
  </si>
  <si>
    <t>4 unidades</t>
  </si>
  <si>
    <t>Pan amasado</t>
  </si>
  <si>
    <t>Diabetes gestacional, Consumo de drogas/alcohol antes o durante el embarazo, Exposición directa o indirecta a humo de cigarro</t>
  </si>
  <si>
    <t>Diabetes gestacional, Consumo de drogas/alcohol antes o durante el embarazo</t>
  </si>
  <si>
    <t xml:space="preserve">Alcohol, reducción de carbohidratos </t>
  </si>
  <si>
    <t>Pan pita linaza light</t>
  </si>
  <si>
    <t>Tis Tea</t>
  </si>
  <si>
    <t>4 tazas</t>
  </si>
  <si>
    <t>Participante no especifica</t>
  </si>
  <si>
    <t xml:space="preserve">Regenesis </t>
  </si>
  <si>
    <t>Naticare</t>
  </si>
  <si>
    <t>Prenamin N</t>
  </si>
  <si>
    <t xml:space="preserve">Pan hecho en casa con harina de supermercado </t>
  </si>
  <si>
    <t>productos crudos</t>
  </si>
  <si>
    <t>Doble sistema pielocalicial</t>
  </si>
  <si>
    <t xml:space="preserve">Ácido fólico 1 mg solgar </t>
  </si>
  <si>
    <t>Natucare</t>
  </si>
  <si>
    <t>Lácteos (leche, yogurt y quesos), Sushi</t>
  </si>
  <si>
    <t>Pan masa madre</t>
  </si>
  <si>
    <t>Consumo de drogas/alcohol antes o durante el embarazo</t>
  </si>
  <si>
    <t xml:space="preserve">Infor prenatal </t>
  </si>
  <si>
    <t>Civ</t>
  </si>
  <si>
    <t xml:space="preserve">Dulces </t>
  </si>
  <si>
    <t xml:space="preserve">Lácteos (leche, yogurt y quesos), Cerdo. Pescado crudo. </t>
  </si>
  <si>
    <t>Ciabatta</t>
  </si>
  <si>
    <t>Up, calcio+vitamina d</t>
  </si>
  <si>
    <t>Lácteos (leche, yogurt y quesos)</t>
  </si>
  <si>
    <t>1-3 meses de embarazo (los 3 primeros meses de embarazo), Durante todo el embarazo</t>
  </si>
  <si>
    <t>Quesos y fiambres</t>
  </si>
  <si>
    <t>Prenamin pro</t>
  </si>
  <si>
    <t>Acido folico 5 mg</t>
  </si>
  <si>
    <t>Frances</t>
  </si>
  <si>
    <t xml:space="preserve">Maam vit </t>
  </si>
  <si>
    <t>Pescado y huevo crudo</t>
  </si>
  <si>
    <t>No consumí ningún suplemento</t>
  </si>
  <si>
    <t>Huevos</t>
  </si>
  <si>
    <t>Consumo de drogas/alcohol antes o durante el embarazo, Exposición directa o indirecta a humo de cigarro</t>
  </si>
  <si>
    <t>Participante no epecifica</t>
  </si>
  <si>
    <t>ceviche y sushi</t>
  </si>
  <si>
    <t xml:space="preserve">Carnes rojas (vacuno, cerdo, etc), Carnes blancas (aves, pescado), Soy vegetariana desde antes del embarazo </t>
  </si>
  <si>
    <t>Embarazo múltiple</t>
  </si>
  <si>
    <t>Regenesis</t>
  </si>
  <si>
    <t xml:space="preserve">Keto </t>
  </si>
  <si>
    <t>folifer</t>
  </si>
  <si>
    <t>Pescado crudo, quesos no pausterizados</t>
  </si>
  <si>
    <t>Re genesis max</t>
  </si>
  <si>
    <t>pescados crudos</t>
  </si>
  <si>
    <t>Alimentos crudos o no pasteurizados</t>
  </si>
  <si>
    <t>PEG</t>
  </si>
  <si>
    <t>Gintol</t>
  </si>
  <si>
    <t>Gestavit</t>
  </si>
  <si>
    <t xml:space="preserve">Pan blanco colombiano </t>
  </si>
  <si>
    <t xml:space="preserve">Camarones, langostinos </t>
  </si>
  <si>
    <t>Cheltin</t>
  </si>
  <si>
    <t xml:space="preserve">Regodeo (2 cápsulas al ) en el último trimestre, primer y segundo trimestre omega 3 Up ( 2 cápsulas), primer trimestre naticare (caja celeste) </t>
  </si>
  <si>
    <t xml:space="preserve">Lechuga y legumbres </t>
  </si>
  <si>
    <t xml:space="preserve">Pan integral amasado </t>
  </si>
  <si>
    <t>Alergias alimentarias, intolerancia al gluten, síndrome de crouzon</t>
  </si>
  <si>
    <t xml:space="preserve">Arroz </t>
  </si>
  <si>
    <t>Regénesis</t>
  </si>
  <si>
    <t>Supradin, Centrum</t>
  </si>
  <si>
    <t>Pan Integral</t>
  </si>
  <si>
    <t>maltofer fol plus</t>
  </si>
  <si>
    <t xml:space="preserve">PEG severo </t>
  </si>
  <si>
    <t>elcal d, omega 3</t>
  </si>
  <si>
    <t>Pan de masa madre integral</t>
  </si>
  <si>
    <t>Vitamina D, B12</t>
  </si>
  <si>
    <t>Cualquier producto de origen animal</t>
  </si>
  <si>
    <t xml:space="preserve">Calcio +vitamina d - hierro - omega 3 </t>
  </si>
  <si>
    <t xml:space="preserve"> Naticare</t>
  </si>
  <si>
    <t xml:space="preserve">Prenamin natal </t>
  </si>
  <si>
    <t>Pan centeno</t>
  </si>
  <si>
    <t>No como pan</t>
  </si>
  <si>
    <t>Embutidos, alimentos crudos (sushi)</t>
  </si>
  <si>
    <t>No dejé de comer ningún tipo de alimento, Ceviches</t>
  </si>
  <si>
    <t>Fersitol 1 sobre</t>
  </si>
  <si>
    <t>VIT D</t>
  </si>
  <si>
    <t>Vitamina D: ElcalD 500/800</t>
  </si>
  <si>
    <t>Consumí pan casero elaborado con harina de trigo, levadura, aceite de oliva y agua</t>
  </si>
  <si>
    <t>Miliser 1 miligramo (mg)</t>
  </si>
  <si>
    <t>Alimentos enlatados, queso fresco</t>
  </si>
  <si>
    <t xml:space="preserve">Sushi, por el salmon crudo </t>
  </si>
  <si>
    <t>Vienesas</t>
  </si>
  <si>
    <t>B12</t>
  </si>
  <si>
    <t xml:space="preserve">Solo pescado </t>
  </si>
  <si>
    <t>Solo queso</t>
  </si>
  <si>
    <t>Diabetes gestacional, Preeclampsia</t>
  </si>
  <si>
    <t>Carnes blancas (aves, pescado), Lácteos (leche, yogurt y quesos)</t>
  </si>
  <si>
    <t>Naticare supra y folifer</t>
  </si>
  <si>
    <t>Solo comidas crudas o no pasteurizadas</t>
  </si>
  <si>
    <t>Elcal D forte, Ferranim</t>
  </si>
  <si>
    <t>Elcald</t>
  </si>
  <si>
    <t xml:space="preserve">Hernia diafragmática congénita izquierda </t>
  </si>
  <si>
    <t>Sal, té, café</t>
  </si>
  <si>
    <t>Cheltin FC 30 mg</t>
  </si>
  <si>
    <t xml:space="preserve">Yo preparé el pan </t>
  </si>
  <si>
    <t xml:space="preserve">Hipotonia con retraso en desarrollo motor,  alergia alimentaria </t>
  </si>
  <si>
    <t>Ferramin</t>
  </si>
  <si>
    <t>Carnes blancas (aves, pescado)</t>
  </si>
  <si>
    <t xml:space="preserve">Regenesis Max </t>
  </si>
  <si>
    <t>No dejé de comer ningún tipo de alimento, Solo evite alimentos sin cocción</t>
  </si>
  <si>
    <t>Femasvit prenatal</t>
  </si>
  <si>
    <t>Carnes rojas (vacuno, cerdo, etc), Carnes blancas (aves, pescado)</t>
  </si>
  <si>
    <t xml:space="preserve">Cerdo y alimentos crudos </t>
  </si>
  <si>
    <t>Exposición a pesticidas</t>
  </si>
  <si>
    <t>Maam vit</t>
  </si>
  <si>
    <t>Carnes blancas (aves, pescado), Huevos</t>
  </si>
  <si>
    <t>Pan integral de masa madre elaboración artesal</t>
  </si>
  <si>
    <t xml:space="preserve">regenesis max y supradyn </t>
  </si>
  <si>
    <t>pan de masa madre integral</t>
  </si>
  <si>
    <t>Génesis max</t>
  </si>
  <si>
    <t>Chatarra</t>
  </si>
  <si>
    <t>embutidos, crudos y alimentos sin pasteurizar</t>
  </si>
  <si>
    <t>Maltofer fol plus</t>
  </si>
  <si>
    <t xml:space="preserve">B12 Iron plant, D2, calcio y omega 3 de dulzura natural </t>
  </si>
  <si>
    <t xml:space="preserve">Cualquier producto de origen animal, Soy vegetariana estricta </t>
  </si>
  <si>
    <t xml:space="preserve">Calcio </t>
  </si>
  <si>
    <t xml:space="preserve">Prenamin n </t>
  </si>
  <si>
    <t xml:space="preserve">Realice dieta baja en carbohidratos por diabetes gestacional </t>
  </si>
  <si>
    <t>Fovit 5 miligramos (mg)</t>
  </si>
  <si>
    <t xml:space="preserve">Regenesis ultra </t>
  </si>
  <si>
    <t>Infor pro vegan pre natal</t>
  </si>
  <si>
    <t>Re genesis</t>
  </si>
  <si>
    <t>Lácteos (leche, yogurt y quesos), Pescados y mariscos</t>
  </si>
  <si>
    <t>Masa madre</t>
  </si>
  <si>
    <t xml:space="preserve">Cardiopatia congenita </t>
  </si>
  <si>
    <t xml:space="preserve">Regenesis max </t>
  </si>
  <si>
    <t>No dejé de comer ningún tipo de alimento, Preparaciones crudas como ceviche</t>
  </si>
  <si>
    <t xml:space="preserve">Síndrome goldenjan y otras cosas más </t>
  </si>
  <si>
    <t xml:space="preserve">Pescado </t>
  </si>
  <si>
    <t>Folifer</t>
  </si>
  <si>
    <t>Mariscos crudos salmon sushi</t>
  </si>
  <si>
    <t>regenesis max</t>
  </si>
  <si>
    <t>Regenesix Max</t>
  </si>
  <si>
    <t>regenesis</t>
  </si>
  <si>
    <t>1 scoop</t>
  </si>
  <si>
    <t>Gastrosquisis</t>
  </si>
  <si>
    <t>Supradin Prenatal</t>
  </si>
  <si>
    <t xml:space="preserve">Azúcar y derivados </t>
  </si>
  <si>
    <t>Ninguno</t>
  </si>
  <si>
    <t>NATICARE PLUS</t>
  </si>
  <si>
    <t>Antes del embarazo, 1-3 meses de embarazo (los 3 primeros meses de embarazo), Durante todo el embarazo</t>
  </si>
  <si>
    <t xml:space="preserve">mariscos y pescados crudos </t>
  </si>
  <si>
    <t>Alimentos con gluten (soy celíaca)</t>
  </si>
  <si>
    <t>Naticare Supra</t>
  </si>
  <si>
    <t>Síndrome de Down</t>
  </si>
  <si>
    <t>Carnes rojas (vacuno, cerdo, etc), Cualquier producto de origen animal</t>
  </si>
  <si>
    <t>No dejé de comer ningún tipo de alimento, Papas fritas cosas que tiene que ver con la fritura</t>
  </si>
  <si>
    <t xml:space="preserve">Re génesis Max </t>
  </si>
  <si>
    <t>Cheltyn, omega 3</t>
  </si>
  <si>
    <t>Cardiopatía congénita</t>
  </si>
  <si>
    <t>Hemofolic</t>
  </si>
  <si>
    <t>Pan integral</t>
  </si>
  <si>
    <t>Lácteos (leche, yogurt y quesos), Huevos</t>
  </si>
  <si>
    <t>Naticare supra ,colina</t>
  </si>
  <si>
    <t>Vitamina D</t>
  </si>
  <si>
    <t>Eran 10 gotas</t>
  </si>
  <si>
    <t>prenamin pro</t>
  </si>
  <si>
    <t>Omega 3</t>
  </si>
  <si>
    <t>Ictericia prolongada, soplo cardiaco</t>
  </si>
  <si>
    <t xml:space="preserve">No dejé de comer ningún tipo de alimento, </t>
  </si>
  <si>
    <t>Poliglobulia</t>
  </si>
  <si>
    <t xml:space="preserve">Neurofibromatosis Tipo 1 </t>
  </si>
  <si>
    <t xml:space="preserve">Supradin, Superadin Pre Natal </t>
  </si>
  <si>
    <t xml:space="preserve">Lácteos (leche, yogurt y quesos), Verduras y frutas </t>
  </si>
  <si>
    <t>Sulfito ferroso</t>
  </si>
  <si>
    <t>Pan casero</t>
  </si>
  <si>
    <t xml:space="preserve">Naticare supra </t>
  </si>
  <si>
    <t>Pescados crudos bebidas gaseosas café y te</t>
  </si>
  <si>
    <t>Folacid y folisanin de 1 mg</t>
  </si>
  <si>
    <t>Pescados crudos, carnes crudas</t>
  </si>
  <si>
    <t>x</t>
  </si>
  <si>
    <t xml:space="preserve">Lácteos (leche, yogurt y quesos), Bebidas gaseosas </t>
  </si>
  <si>
    <t>Heliofol 1 miligramo (mg)</t>
  </si>
  <si>
    <t>Genesis max</t>
  </si>
  <si>
    <t>Marisco crudos</t>
  </si>
  <si>
    <t>Pescado crudo</t>
  </si>
  <si>
    <t>Disrep</t>
  </si>
  <si>
    <t xml:space="preserve">Doble pliegue es su espalda baja </t>
  </si>
  <si>
    <t>Hemofolic, omega 3, elcald</t>
  </si>
  <si>
    <t xml:space="preserve">Lácteos (leche, yogurt y quesos), Legumbres </t>
  </si>
  <si>
    <t xml:space="preserve">Pan masa madre integral </t>
  </si>
  <si>
    <t>Preeclampsia, Consumo de drogas/alcohol antes o durante el embarazo</t>
  </si>
  <si>
    <t xml:space="preserve">Regenesis - sulfato ferroso - calcio </t>
  </si>
  <si>
    <t>Alergias Alimentarías múltiples,  retraso psicomotor, macrocefalia, pie talo valgo</t>
  </si>
  <si>
    <t>Carnes rojas (vacuno, cerdo, etc), Lácteos (leche, yogurt y quesos), Huevos, Soja, cafeína, frituras (alimentos altos en grasas y azúcares)</t>
  </si>
  <si>
    <t xml:space="preserve">Ciabatta - pita </t>
  </si>
  <si>
    <t>Re génesis ultra</t>
  </si>
  <si>
    <t>Ferranim</t>
  </si>
  <si>
    <t>Huevos, Avena</t>
  </si>
  <si>
    <t xml:space="preserve">Prenamin prenatal </t>
  </si>
  <si>
    <t>Carnes rojas (vacuno, cerdo, etc), Carnes blancas (aves, pescado), Cualquier producto de origen animal</t>
  </si>
  <si>
    <t>Omega, elcald plus</t>
  </si>
  <si>
    <t xml:space="preserve">Pielactacia </t>
  </si>
  <si>
    <t>Prenamin n</t>
  </si>
  <si>
    <t>Alimentos crudos, verduras y frutas crudas</t>
  </si>
  <si>
    <t xml:space="preserve">Ciabata </t>
  </si>
  <si>
    <t>Carnes blancas (aves, pescado), Mariscos</t>
  </si>
  <si>
    <t>ferranim</t>
  </si>
  <si>
    <t>Vitaminas D y C</t>
  </si>
  <si>
    <t>Calcio, omega 3</t>
  </si>
  <si>
    <t>Pescados y mariscos crudos, mayonesas caceras</t>
  </si>
  <si>
    <t>Centrum, Hierro</t>
  </si>
  <si>
    <t>Hierro y vitamina d</t>
  </si>
  <si>
    <t>Pollo y embutidos</t>
  </si>
  <si>
    <t>Vitakron duo</t>
  </si>
  <si>
    <t>Carnes, Pescados y mariscos crudos</t>
  </si>
  <si>
    <t>Regenis max</t>
  </si>
  <si>
    <t>Preeclampsia, Exposición directa o indirecta a humo de cigarro</t>
  </si>
  <si>
    <t>Alergia a la proteina de leche de vaca</t>
  </si>
  <si>
    <t>Naticare supra (multó vitamínico con ácido fólico)</t>
  </si>
  <si>
    <t>Naticare supra y ElcalD</t>
  </si>
  <si>
    <t>calcio y hierro</t>
  </si>
  <si>
    <t xml:space="preserve">Re génesis más </t>
  </si>
  <si>
    <t>Pan</t>
  </si>
  <si>
    <t>Llevo dieta vegetariana hace años y solo dejé algas y productos como quesos que corrían riesgo de contaminación cruzada</t>
  </si>
  <si>
    <t>Polidactilia post axial bilateral el pied, CIV muscular</t>
  </si>
  <si>
    <t xml:space="preserve">Hierro , calcio </t>
  </si>
  <si>
    <t>Regenisis ultra</t>
  </si>
  <si>
    <t xml:space="preserve">Crudos </t>
  </si>
  <si>
    <t>Cheltin fc</t>
  </si>
  <si>
    <t>Elcal forte</t>
  </si>
  <si>
    <t>Hiperbilirrubinemia, alergia clara de huevo, calculos vesiculares</t>
  </si>
  <si>
    <t>Folifer?</t>
  </si>
  <si>
    <t>Carnes rojas (vacuno, cerdo, etc), Carnes blancas (aves, pescado), Arroz</t>
  </si>
  <si>
    <t>Laringomalacia</t>
  </si>
  <si>
    <t>Productos crudos y de campo (no pasteurizados)</t>
  </si>
  <si>
    <t>Regenesis Max</t>
  </si>
  <si>
    <t xml:space="preserve">Alimentos crudos, ahumados y curados </t>
  </si>
  <si>
    <t>No recuerdo</t>
  </si>
  <si>
    <t>Maltofer</t>
  </si>
  <si>
    <t xml:space="preserve">Displasia broncopulmonar moderada </t>
  </si>
  <si>
    <t>Folifeminaf 5 miligramos (mg)</t>
  </si>
  <si>
    <t>Hierro y vitamina C</t>
  </si>
  <si>
    <t>Huevos, Carnes crudas, huevos no tan cocinados, sushi, embutidos, lácteos no pasteurizados</t>
  </si>
  <si>
    <t>elcald y maltofer</t>
  </si>
  <si>
    <t xml:space="preserve">VitD, aceite de pescado </t>
  </si>
  <si>
    <t xml:space="preserve">Queso amarillo </t>
  </si>
  <si>
    <t>Cecinas, frituras, papas, ceviche,sushi</t>
  </si>
  <si>
    <t>Elcald omega 3 hierro folifer</t>
  </si>
  <si>
    <t>Atun y pescado crudo</t>
  </si>
  <si>
    <t>Alimentos prohibidos durante el embarazo</t>
  </si>
  <si>
    <t>Alimentos crudos y legumbres</t>
  </si>
  <si>
    <t xml:space="preserve">Hidronefrosis riñón derecho </t>
  </si>
  <si>
    <t>Microtia e hipoacusia lado derecho</t>
  </si>
  <si>
    <t>Tortillas de pan sin levadura</t>
  </si>
  <si>
    <t xml:space="preserve">Fisura labiopalatina </t>
  </si>
  <si>
    <t>ElcalD</t>
  </si>
  <si>
    <t>Prenamin nat</t>
  </si>
  <si>
    <t>Hierro</t>
  </si>
  <si>
    <t xml:space="preserve">Fosita pironidal </t>
  </si>
  <si>
    <t>Supradin, Prenamin, exelmyo</t>
  </si>
  <si>
    <t xml:space="preserve">Carnes rojas (vacuno, cerdo, etc), Frutas hasta los 4 meses por hiperemesis </t>
  </si>
  <si>
    <t>Cecinas a granel, solo consumía cecinas envasadas</t>
  </si>
  <si>
    <t>Ecal D</t>
  </si>
  <si>
    <t>Maamvit</t>
  </si>
  <si>
    <t xml:space="preserve">Pan pita integral </t>
  </si>
  <si>
    <t>Tea</t>
  </si>
  <si>
    <t>Omega 3 y calcio y vitamina D preparada  D</t>
  </si>
  <si>
    <t>Carnes rojas (vacuno, cerdo, etc), Lácteos (leche, yogurt y quesos)</t>
  </si>
  <si>
    <t>Estenosis aórtica severa con insuficiencia mitral</t>
  </si>
  <si>
    <t>Queso de cabra, mayonesa casera y pescado crudo</t>
  </si>
  <si>
    <t>Alergia Alimentaria Múltiple, Trastorno hipertonico, retraso en el desarrollo psicomotor leve, TEA</t>
  </si>
  <si>
    <t>Omega 3 - vitamina D</t>
  </si>
  <si>
    <t>Carne de cerdo- embutidos</t>
  </si>
  <si>
    <t>Fisura de labio</t>
  </si>
  <si>
    <t>Sulfato Ferroso</t>
  </si>
  <si>
    <t xml:space="preserve">Carnes rojas (vacuno, cerdo, etc), Lácteos (leche, yogurt y quesos), Cebolla ajo </t>
  </si>
  <si>
    <t xml:space="preserve">Embutidos </t>
  </si>
  <si>
    <t>Mariscos, crustáceos</t>
  </si>
  <si>
    <t>Elcal d forte 1 diario y cheltin fc 2 diarios</t>
  </si>
  <si>
    <t xml:space="preserve">1 elcal d y 2 cheltin </t>
  </si>
  <si>
    <t xml:space="preserve">Cardiopatía congénita: CIV. Neumonediastino. </t>
  </si>
  <si>
    <t xml:space="preserve">Antes de embarazarme tomé 1 MG de ac fólico solo, luego tomé un suplemento que incluía ac. Fólico 1 MG. </t>
  </si>
  <si>
    <t xml:space="preserve">Prenamin N, lo toleré mal, así que lo cambié después por otro, regenesis max. </t>
  </si>
  <si>
    <t xml:space="preserve">Dejé de consumir bebidas, aguas saborizadas, hierbas, sushi o cualquier cosa cruda. </t>
  </si>
  <si>
    <t xml:space="preserve">Prenamin natal con omega </t>
  </si>
  <si>
    <t xml:space="preserve">Alimentos procesados altos en azúcar y pan corriente </t>
  </si>
  <si>
    <t>Hidronefrosis derecha</t>
  </si>
  <si>
    <t xml:space="preserve">Naticare Supra </t>
  </si>
  <si>
    <t>Integral de casa</t>
  </si>
  <si>
    <t>No dejé de comer ningún tipo de alimento, Café</t>
  </si>
  <si>
    <t xml:space="preserve">Consumí muy poca grasa ya que tenía cálculos a la vesícula </t>
  </si>
  <si>
    <t>Carnes rojas (vacuno, cerdo, etc), Carnes blancas (aves, pescado), Huevos, Cualquier producto de origen animal</t>
  </si>
  <si>
    <t xml:space="preserve">Pan sin harina de trigo </t>
  </si>
  <si>
    <t>Prenamin. Natal</t>
  </si>
  <si>
    <t>Folvit 1 miligramo (mg)</t>
  </si>
  <si>
    <t>Gluten</t>
  </si>
  <si>
    <t>Mam vit</t>
  </si>
  <si>
    <t xml:space="preserve">Cardiopatía congénita </t>
  </si>
  <si>
    <t>Carnes rojas (vacuno, cerdo, etc), Mariscos, quesillo</t>
  </si>
  <si>
    <t>Mariscos</t>
  </si>
  <si>
    <t xml:space="preserve">Reflujo </t>
  </si>
  <si>
    <t>Mariscos, pescados crudos y café</t>
  </si>
  <si>
    <t>Regenerix max</t>
  </si>
  <si>
    <t>Regenexis max</t>
  </si>
  <si>
    <t>Sin gluten</t>
  </si>
  <si>
    <t>Prenamin natal</t>
  </si>
  <si>
    <t>Cafeina, mariscos y pescados crudos</t>
  </si>
  <si>
    <t>Alergia alimentaria</t>
  </si>
  <si>
    <t>Pielectasia bilateral</t>
  </si>
  <si>
    <t>Lácteos (leche, yogurt y quesos), Embutidos</t>
  </si>
  <si>
    <t>Carnes rojas (vacuno, cerdo, etc), Embutidos, mariscos, quesos y todo lo que recomiendan no consumir</t>
  </si>
  <si>
    <t xml:space="preserve">Atún </t>
  </si>
  <si>
    <t xml:space="preserve">Pielectasia </t>
  </si>
  <si>
    <t>Pequeña para edad gestacional</t>
  </si>
  <si>
    <t xml:space="preserve">Autismo </t>
  </si>
  <si>
    <t>Alimentos crudos o sin etiqueta nutricional (quesos artesanales)</t>
  </si>
  <si>
    <t>Calcio, hierro</t>
  </si>
  <si>
    <t>Pie bot</t>
  </si>
  <si>
    <t>Fierro</t>
  </si>
  <si>
    <t>Ecal d y regenesis</t>
  </si>
  <si>
    <t>Calcio El Cal D 500/800, Regenesis max</t>
  </si>
  <si>
    <t xml:space="preserve">Re génesis </t>
  </si>
  <si>
    <t>REGENESIS MAX</t>
  </si>
  <si>
    <t xml:space="preserve">Dextrocardia </t>
  </si>
  <si>
    <t>NatiCare Supra</t>
  </si>
  <si>
    <t xml:space="preserve">DHA para Embarazadas </t>
  </si>
  <si>
    <t xml:space="preserve">Lácteos (leche, yogurt y quesos), Avena y leche, me provocaba vómitos </t>
  </si>
  <si>
    <t xml:space="preserve">Mariscos </t>
  </si>
  <si>
    <t>Elcald 400 800</t>
  </si>
  <si>
    <t>Omega 3, sulfato ferroso, calcio</t>
  </si>
  <si>
    <t>Natycare lat</t>
  </si>
  <si>
    <t>UP</t>
  </si>
  <si>
    <t xml:space="preserve">Pescados y carnes crudas </t>
  </si>
  <si>
    <t>Tea, dermatitis atopica, hemangioma plano</t>
  </si>
  <si>
    <t>Gentol</t>
  </si>
  <si>
    <t>Pescado crudo (ceviche)</t>
  </si>
  <si>
    <t>Regénesis max</t>
  </si>
  <si>
    <t>Alimentos no pasteurizados</t>
  </si>
  <si>
    <t xml:space="preserve">Pan integral </t>
  </si>
  <si>
    <t>Calcio y Omega 3</t>
  </si>
  <si>
    <t xml:space="preserve">Elcal d / fierro </t>
  </si>
  <si>
    <t>Carnes rojas crudas y pescado crudo</t>
  </si>
  <si>
    <t>Sushi</t>
  </si>
  <si>
    <t>Hipoxia, hipotonia</t>
  </si>
  <si>
    <t>ElcalD plus, neurobionta inyectable (cada 3 meses)</t>
  </si>
  <si>
    <t>Carbohibratos en el 3er trimestre por que todos me produjeron dumping</t>
  </si>
  <si>
    <t>Pescados crudos</t>
  </si>
  <si>
    <t>Ciabatta integral</t>
  </si>
  <si>
    <t>Naticare lat</t>
  </si>
  <si>
    <t xml:space="preserve">Pequeño Soplo al corazón </t>
  </si>
  <si>
    <t>Consumo de drogas/alcohol antes o durante el embarazo, Exposición directa o indirecta a humo de cigarro, Embarazo múltiple</t>
  </si>
  <si>
    <t>Marisco</t>
  </si>
  <si>
    <t>Regenesis Max, Folifer</t>
  </si>
  <si>
    <t>Quesos, alimentos crudos</t>
  </si>
  <si>
    <t>el primero no recuerdo, pero cuando empece con el fierro, tome folifer</t>
  </si>
  <si>
    <t>Carnes rojas (vacuno, cerdo, etc), Lácteos (leche, yogurt y quesos), Huevos</t>
  </si>
  <si>
    <t>Omega3 y complejo vit D</t>
  </si>
  <si>
    <t>Diabetes gestacional, No estuve expuesta a ninguna de las situaciones o condiciones mencionadas</t>
  </si>
  <si>
    <t>Gyntol</t>
  </si>
  <si>
    <t>Peg severo</t>
  </si>
  <si>
    <t>Duplicidad renal</t>
  </si>
  <si>
    <t>Bebida lactea suplementada de consultorio</t>
  </si>
  <si>
    <t>Carnes rojas (vacuno, cerdo, etc), Soy pescariana</t>
  </si>
  <si>
    <t>Ecald</t>
  </si>
  <si>
    <t>Carnes rojas (vacuno, cerdo, etc), Carnes blancas (aves, pescado), Huevos</t>
  </si>
  <si>
    <t>Hierro, Omega 3 y Supradyn Prenatal</t>
  </si>
  <si>
    <t xml:space="preserve">Alergia alimentaria </t>
  </si>
  <si>
    <t xml:space="preserve">Cheltin </t>
  </si>
  <si>
    <t xml:space="preserve">Cerdo y mariscos x alergia </t>
  </si>
  <si>
    <t>Integral marraqueta</t>
  </si>
  <si>
    <t>Alimentos crudos como sushi y crudos de carne</t>
  </si>
  <si>
    <t xml:space="preserve">Azucar refinada </t>
  </si>
  <si>
    <t>Hierro y vitamina E</t>
  </si>
  <si>
    <t xml:space="preserve">Carnes rojas (vacuno, cerdo, etc), Palta, aceite de oliva </t>
  </si>
  <si>
    <t>Carnes blancas (aves, pescado), No dejé de comer ningún tipo de alimento</t>
  </si>
  <si>
    <t>Embutidos, leche</t>
  </si>
  <si>
    <t>Calcio</t>
  </si>
  <si>
    <t>Carnes crudas, mayonesa casera</t>
  </si>
  <si>
    <t xml:space="preserve">Ictericia </t>
  </si>
  <si>
    <t>Panes de panaderias artesanales, idealmente integral o masa madre</t>
  </si>
  <si>
    <t>CHELTIN</t>
  </si>
  <si>
    <t>El suplemento más fovit 5</t>
  </si>
  <si>
    <t>Cal d</t>
  </si>
  <si>
    <t xml:space="preserve">Prenamin </t>
  </si>
  <si>
    <t>Comida no saludable</t>
  </si>
  <si>
    <t>Embutidos</t>
  </si>
  <si>
    <t xml:space="preserve">Re Genesis </t>
  </si>
  <si>
    <t>ElCaD</t>
  </si>
  <si>
    <t>Anemia crónica por incompatibilidad grupo rh</t>
  </si>
  <si>
    <t>Inmadurez pulmonar</t>
  </si>
  <si>
    <t xml:space="preserve">autismo </t>
  </si>
  <si>
    <t xml:space="preserve">Cafeína, bebidas </t>
  </si>
  <si>
    <t>Omega3</t>
  </si>
  <si>
    <t xml:space="preserve">Omega </t>
  </si>
  <si>
    <t>Ácido ferroso</t>
  </si>
  <si>
    <t>Pescado crudo y huevo semicrudo</t>
  </si>
  <si>
    <t xml:space="preserve">No me acuerdo el nombre es la que dan en el consultorio </t>
  </si>
  <si>
    <t>Autismo</t>
  </si>
  <si>
    <t>Embutidos y productos crudos</t>
  </si>
  <si>
    <t xml:space="preserve">Azúcar </t>
  </si>
  <si>
    <t>Dieta hipocalórica losPrimeros meses</t>
  </si>
  <si>
    <t xml:space="preserve">Infección desconocida y sindrome tembloroso </t>
  </si>
  <si>
    <t xml:space="preserve">Alimentos con azucar </t>
  </si>
  <si>
    <t>Cualquier pan integral</t>
  </si>
  <si>
    <t>Regenesis max, cheltin, ecald</t>
  </si>
  <si>
    <t xml:space="preserve">Artesanal </t>
  </si>
  <si>
    <t xml:space="preserve">Mayonesa cacera y pescados frescos </t>
  </si>
  <si>
    <t xml:space="preserve">Cerdo, pescado crudo y mariscos </t>
  </si>
  <si>
    <t>Doble circular y con heces</t>
  </si>
  <si>
    <t xml:space="preserve">Testículos no descendidos. Tardaron 1 mes en bajar </t>
  </si>
  <si>
    <t>Ecal d</t>
  </si>
  <si>
    <t xml:space="preserve">Naticare </t>
  </si>
  <si>
    <t xml:space="preserve">Estenosis ramas pulmonares y foramen oval permeable </t>
  </si>
  <si>
    <t>Ecalde</t>
  </si>
  <si>
    <t>Ventriculomegalia supratentorial y displasia septo-optica</t>
  </si>
  <si>
    <t>Lácteos (leche, yogurt y quesos), Condimentos irritantes, mariscos</t>
  </si>
  <si>
    <t>Alimentos crudos</t>
  </si>
  <si>
    <t>ferramin</t>
  </si>
  <si>
    <t>No dejé de comer ningún tipo de alimento, mariscos</t>
  </si>
  <si>
    <t>Ceviche, sushi, irritantes por la acidez</t>
  </si>
  <si>
    <t>B12- omega3- vitamina D</t>
  </si>
  <si>
    <t>Código</t>
  </si>
  <si>
    <t>Heliofol 5 miligramos (mg)</t>
  </si>
  <si>
    <t xml:space="preserve">Ferranim </t>
  </si>
  <si>
    <t>Floradix cápsulas</t>
  </si>
  <si>
    <t>La receta dice 1mg c/24hrs, ni idea cuál compre en la farmacia</t>
  </si>
  <si>
    <t xml:space="preserve"> No recuerdo</t>
  </si>
  <si>
    <t>Floradix dos cápsulas diarias</t>
  </si>
  <si>
    <t>Folisanin no recuerdo los mg</t>
  </si>
  <si>
    <t xml:space="preserve">Genérico </t>
  </si>
  <si>
    <t>Iofi</t>
  </si>
  <si>
    <t>Chilena</t>
  </si>
  <si>
    <t>Venezolana</t>
  </si>
  <si>
    <t xml:space="preserve">Venezolana </t>
  </si>
  <si>
    <t>PARAGUAYA</t>
  </si>
  <si>
    <t>Ecuatoriana</t>
  </si>
  <si>
    <t>Colombiana</t>
  </si>
  <si>
    <t xml:space="preserve">Colombiana </t>
  </si>
  <si>
    <t xml:space="preserve">Chilena, Colombiana </t>
  </si>
  <si>
    <t xml:space="preserve">Argentina </t>
  </si>
  <si>
    <t>Costarricense</t>
  </si>
  <si>
    <t>Metropolitana</t>
  </si>
  <si>
    <t>Bío Bío</t>
  </si>
  <si>
    <t>Araucanía</t>
  </si>
  <si>
    <t>Maule</t>
  </si>
  <si>
    <t>Tarapacá</t>
  </si>
  <si>
    <t>Coquimbo</t>
  </si>
  <si>
    <t>Arica-Parinacota</t>
  </si>
  <si>
    <t>Antofagasta</t>
  </si>
  <si>
    <t>O'Higgins</t>
  </si>
  <si>
    <t>Valparaíso</t>
  </si>
  <si>
    <t>Ñuble</t>
  </si>
  <si>
    <t>Los Lagos</t>
  </si>
  <si>
    <t>Los Ríos</t>
  </si>
  <si>
    <t>Atacama</t>
  </si>
  <si>
    <t>Magallanes y Antártica Chilena</t>
  </si>
  <si>
    <t>Aysén</t>
  </si>
  <si>
    <t>Enseñanza Media incompleta</t>
  </si>
  <si>
    <t>Enseñanza Media completa</t>
  </si>
  <si>
    <t>Enseñanza Superior incompleta</t>
  </si>
  <si>
    <t>Enseñanza Superior completa (Títulada)</t>
  </si>
  <si>
    <t>Postgrado</t>
  </si>
  <si>
    <t>Hombre</t>
  </si>
  <si>
    <t>Mujer</t>
  </si>
  <si>
    <t>Bajo Peso</t>
  </si>
  <si>
    <t>Condiciones de salud directamente relacionadas con el embarazo</t>
  </si>
  <si>
    <t>Factores de riesgo ambientales o de comportamiento durante el embarazo</t>
  </si>
  <si>
    <t>Malformaciones Físicas Congénitas</t>
  </si>
  <si>
    <t>Condiciones del sistema circulatorio, renal y respiratorio</t>
  </si>
  <si>
    <t>Sin Problemas de salud</t>
  </si>
  <si>
    <t>CIV, hemorragia cerebral.</t>
  </si>
  <si>
    <t>Pielectasia</t>
  </si>
  <si>
    <t>Baja saturación al nacer, superada a las 12 hrs aprox</t>
  </si>
  <si>
    <t>Alimentos con harina de trigo</t>
  </si>
  <si>
    <t>Alimentos de origen animal</t>
  </si>
  <si>
    <t>Otros: bebidas</t>
  </si>
  <si>
    <t xml:space="preserve">No dejé de comer ningún tipo de alimento, Toleraba poco el fideo, arroz, carnes, pan , pantrucas (la porcion tenia que ser pequeña)  </t>
  </si>
  <si>
    <t>Alimentos azucarados y refinados, frituras</t>
  </si>
  <si>
    <t xml:space="preserve">Leche con lactosa, comidas flatulentas. </t>
  </si>
  <si>
    <t>Porotos</t>
  </si>
  <si>
    <t>Cafeina</t>
  </si>
  <si>
    <t>Bebidas</t>
  </si>
  <si>
    <t>Azucar</t>
  </si>
  <si>
    <t>Pan y carbohidratos, me daba acidez</t>
  </si>
  <si>
    <t xml:space="preserve">Pescado crudo y mayonesa casera </t>
  </si>
  <si>
    <t>Huevos, Quesos de cabra, sushi</t>
  </si>
  <si>
    <t>Alimentos dulces, masas, Queques, galletas, tortas, cremas</t>
  </si>
  <si>
    <t>Agua, tallarines, y al final casi de todo porque me hacía vomitar</t>
  </si>
  <si>
    <t>Queso amarillo, carnes crudas</t>
  </si>
  <si>
    <t>No dejé de comer ningún tipo de alimento, Azucar</t>
  </si>
  <si>
    <t>Ceviche, sushi</t>
  </si>
  <si>
    <t xml:space="preserve">Pescados y </t>
  </si>
  <si>
    <t>Aliementos crudos, durante 2 meses deje las azucares y cosas que la Contenian</t>
  </si>
  <si>
    <t>Fuera periodo de Pandemia</t>
  </si>
  <si>
    <t>Otra nacionalidad</t>
  </si>
  <si>
    <t>Codificación Nacionalidad #</t>
  </si>
  <si>
    <t>Codificación Región Residencia #</t>
  </si>
  <si>
    <t>Codificación Nivel Educacional #</t>
  </si>
  <si>
    <t>Codificación  Peso RN #</t>
  </si>
  <si>
    <t>Codificación Edad Gestacional al Nacer  #</t>
  </si>
  <si>
    <t>Codificación Condiciones  Materna #</t>
  </si>
  <si>
    <t>Codificación Problema Salud RN #</t>
  </si>
  <si>
    <t>Codificación Período Consumo Suplemento AF</t>
  </si>
  <si>
    <t>No consumió</t>
  </si>
  <si>
    <t>Sí consumió</t>
  </si>
  <si>
    <t>Bion 3</t>
  </si>
  <si>
    <t>Exelmyo</t>
  </si>
  <si>
    <t>Codificación Suplemento Multivitamínicos con AF</t>
  </si>
  <si>
    <t>Supradyn y Supradyn Prenatal</t>
  </si>
  <si>
    <t>Codificación Panes</t>
  </si>
  <si>
    <t xml:space="preserve">Pán amasado. </t>
  </si>
  <si>
    <t xml:space="preserve">Pan blanco 3no </t>
  </si>
  <si>
    <t xml:space="preserve">De leche </t>
  </si>
  <si>
    <t>Pan masa madre hecho en casa</t>
  </si>
  <si>
    <t>Pan de molde centeno integral</t>
  </si>
  <si>
    <t>Todos los anteriores</t>
  </si>
  <si>
    <t>Pan amasado de casa</t>
  </si>
  <si>
    <t>Pan de hamburguesa</t>
  </si>
  <si>
    <t>Masa madre hecho en casa</t>
  </si>
  <si>
    <t>Pan Pita Integral</t>
  </si>
  <si>
    <t>Pan Pita Blanco</t>
  </si>
  <si>
    <t>Ciabatta Blanco</t>
  </si>
  <si>
    <t>Ciabatta Integral</t>
  </si>
  <si>
    <t>Artesanal, amasado, hecho en casa</t>
  </si>
  <si>
    <t>Pan Frica</t>
  </si>
  <si>
    <t>Todas los anteriores</t>
  </si>
  <si>
    <t>Pan sin gluten o sin harinade trigo</t>
  </si>
  <si>
    <t>Pan Lengua</t>
  </si>
  <si>
    <t>caso 15,2 imc 18 outlayer</t>
  </si>
  <si>
    <t>Indique su edad</t>
  </si>
  <si>
    <t>Indique su nacionalidad</t>
  </si>
  <si>
    <t>Indique la región donde reside actualmente</t>
  </si>
  <si>
    <t>Indique su nivel educacional</t>
  </si>
  <si>
    <t xml:space="preserve">¿Qué número de embarazo fue el último? </t>
  </si>
  <si>
    <t>Indique sexo  de su último hijo/a</t>
  </si>
  <si>
    <t>Indique la edad gestacional con las que nació su último hijo/a</t>
  </si>
  <si>
    <t>38.4 semanas gestacionales</t>
  </si>
  <si>
    <t>39 semanas gestacionales</t>
  </si>
  <si>
    <t>Omega 3, Elcal-D</t>
  </si>
  <si>
    <t>38 semanas gestacionales</t>
  </si>
  <si>
    <t>38+2</t>
  </si>
  <si>
    <t>Consumí el del consultorio uno recuerdo el nombre</t>
  </si>
  <si>
    <t>Era uno que tenia omega y multivitaminico, no recuerdo nombre.</t>
  </si>
  <si>
    <t xml:space="preserve">37 semanas </t>
  </si>
  <si>
    <t xml:space="preserve">38 semanas gestacionales </t>
  </si>
  <si>
    <t>40 +3</t>
  </si>
  <si>
    <t>40+2</t>
  </si>
  <si>
    <t>Frenillo lingual corto</t>
  </si>
  <si>
    <t>39 semanas</t>
  </si>
  <si>
    <t>39 + 1</t>
  </si>
  <si>
    <t xml:space="preserve">41 semanas </t>
  </si>
  <si>
    <t>Multivitamin Israeli</t>
  </si>
  <si>
    <t>34 semanas</t>
  </si>
  <si>
    <t>No recuerdo el nombre</t>
  </si>
  <si>
    <t>39 + 2 semanas</t>
  </si>
  <si>
    <t>41 semanas gestacionales</t>
  </si>
  <si>
    <t>Multivitaminico CVS</t>
  </si>
  <si>
    <t xml:space="preserve">38 semanas </t>
  </si>
  <si>
    <t xml:space="preserve">38,1 semanas </t>
  </si>
  <si>
    <t xml:space="preserve">40 semanas </t>
  </si>
  <si>
    <t xml:space="preserve">31 semanas gestacionales </t>
  </si>
  <si>
    <t>39+3 semanas</t>
  </si>
  <si>
    <t xml:space="preserve">Arginina </t>
  </si>
  <si>
    <t>9 grs cada 12 hrs</t>
  </si>
  <si>
    <t>38+5</t>
  </si>
  <si>
    <t>41+1</t>
  </si>
  <si>
    <t xml:space="preserve">One a day </t>
  </si>
  <si>
    <t>39+4 semanas</t>
  </si>
  <si>
    <t>41 semanas</t>
  </si>
  <si>
    <t>41+2</t>
  </si>
  <si>
    <t>39+1</t>
  </si>
  <si>
    <t>40 semanas</t>
  </si>
  <si>
    <t>Calcio, no recuerdo el nombre de las vitaminas</t>
  </si>
  <si>
    <t>37 semanas</t>
  </si>
  <si>
    <t>37 + 4 semanas gestacionales</t>
  </si>
  <si>
    <t xml:space="preserve">40 semanas gestacionales </t>
  </si>
  <si>
    <t xml:space="preserve">No recuerdo </t>
  </si>
  <si>
    <t>37 + 6</t>
  </si>
  <si>
    <t>ND</t>
  </si>
  <si>
    <t>40+3</t>
  </si>
  <si>
    <t>39+1 semanas gestacionales</t>
  </si>
  <si>
    <t xml:space="preserve">39+1 </t>
  </si>
  <si>
    <t>38 semanas</t>
  </si>
  <si>
    <t>37 semanas gestacionales</t>
  </si>
  <si>
    <t>38,2</t>
  </si>
  <si>
    <t>Sí</t>
  </si>
  <si>
    <t xml:space="preserve">Multi vitamínicos gomas </t>
  </si>
  <si>
    <t>38 sem</t>
  </si>
  <si>
    <t>40+4</t>
  </si>
  <si>
    <t>40 + 5</t>
  </si>
  <si>
    <t>39 SG</t>
  </si>
  <si>
    <t xml:space="preserve">39 semanas de gestación </t>
  </si>
  <si>
    <t xml:space="preserve">39semanas gestación </t>
  </si>
  <si>
    <t xml:space="preserve">40 + 3 </t>
  </si>
  <si>
    <t>39+5</t>
  </si>
  <si>
    <t>40 sg</t>
  </si>
  <si>
    <t>37+5</t>
  </si>
  <si>
    <t>38+3</t>
  </si>
  <si>
    <t>Participante no especifica y no da frecuencia de consumo</t>
  </si>
  <si>
    <t xml:space="preserve">Ácido fólico </t>
  </si>
  <si>
    <t xml:space="preserve">41 semanas gestación </t>
  </si>
  <si>
    <t>35 semanas gestacionales</t>
  </si>
  <si>
    <t xml:space="preserve">41 semanas gestacionales </t>
  </si>
  <si>
    <t>39 + 3</t>
  </si>
  <si>
    <t>39+2</t>
  </si>
  <si>
    <t xml:space="preserve">No recuerdo el nombre </t>
  </si>
  <si>
    <t xml:space="preserve">40 +3 semanas de gestación </t>
  </si>
  <si>
    <t>39 semanas +5</t>
  </si>
  <si>
    <t>No me acuerdl</t>
  </si>
  <si>
    <t xml:space="preserve">36 semanas gestacionales </t>
  </si>
  <si>
    <t>Prenamin</t>
  </si>
  <si>
    <t>39 semanas y 5 dias</t>
  </si>
  <si>
    <t>36 semanas de gestacion</t>
  </si>
  <si>
    <t>40 +2</t>
  </si>
  <si>
    <t>37+3</t>
  </si>
  <si>
    <t>38 semanas mas 3 dias</t>
  </si>
  <si>
    <t>39 semana</t>
  </si>
  <si>
    <t>38 + 1 semanas gestacionales</t>
  </si>
  <si>
    <t xml:space="preserve">39 semanas </t>
  </si>
  <si>
    <t>36+3</t>
  </si>
  <si>
    <t>39 más 1</t>
  </si>
  <si>
    <t>39 +2</t>
  </si>
  <si>
    <t>41 +1 semanas gestacionales</t>
  </si>
  <si>
    <t xml:space="preserve">31 semanas de gestación </t>
  </si>
  <si>
    <t>40 semanas gestacionales.</t>
  </si>
  <si>
    <t>39+6</t>
  </si>
  <si>
    <t>40+1</t>
  </si>
  <si>
    <t>39 +2 sdg</t>
  </si>
  <si>
    <t xml:space="preserve">38 semanas de gestación </t>
  </si>
  <si>
    <t xml:space="preserve">37 semanas gestacionales </t>
  </si>
  <si>
    <t>38+4</t>
  </si>
  <si>
    <t>41 SEMANAS</t>
  </si>
  <si>
    <t>33 semanas</t>
  </si>
  <si>
    <t>39 semanas gestacionsles</t>
  </si>
  <si>
    <t>Dulces y bebidas</t>
  </si>
  <si>
    <t>37 + 6 semanas</t>
  </si>
  <si>
    <t xml:space="preserve">2 090 1 700  emela </t>
  </si>
  <si>
    <t xml:space="preserve">Carnes blancas (aves, pescado), Pescado crudo </t>
  </si>
  <si>
    <t xml:space="preserve">40 semanas + 5 dias </t>
  </si>
  <si>
    <t xml:space="preserve">37 semanas de gestación </t>
  </si>
  <si>
    <t>40 semanas gestacionales</t>
  </si>
  <si>
    <t>Multi vitamínico complejo B</t>
  </si>
  <si>
    <t>No recuerdo nombre</t>
  </si>
  <si>
    <t>38 sg</t>
  </si>
  <si>
    <t>40+5</t>
  </si>
  <si>
    <t>38 + 5</t>
  </si>
  <si>
    <t>42+1 dia</t>
  </si>
  <si>
    <t>Diabetes gestacional, Preeclampsia, Embarazo múltiple</t>
  </si>
  <si>
    <t xml:space="preserve">37+5 semanas </t>
  </si>
  <si>
    <t xml:space="preserve">Fisura labio Palatina bilateral completa </t>
  </si>
  <si>
    <t xml:space="preserve">37+3 Semanas Gestacionales </t>
  </si>
  <si>
    <t>38 + 2 semanas</t>
  </si>
  <si>
    <t>39 sdg</t>
  </si>
  <si>
    <t xml:space="preserve">38+3 semanas </t>
  </si>
  <si>
    <t xml:space="preserve">38 semanas y 5 dias gestacionales. </t>
  </si>
  <si>
    <t>38 + 6 semanas</t>
  </si>
  <si>
    <t>37+6</t>
  </si>
  <si>
    <t>38+6</t>
  </si>
  <si>
    <t>No recuerdo el nombre, era uno que no tiene vitamina c porque no puedo consumirla</t>
  </si>
  <si>
    <t>No recuerdo, pero no me atendí en consultorio</t>
  </si>
  <si>
    <t xml:space="preserve">40+5 semanas </t>
  </si>
  <si>
    <t>No recuerdo el nombre ni mg</t>
  </si>
  <si>
    <t>30 semanas gestacionales</t>
  </si>
  <si>
    <t>Diabetes gestacional, Exposición directa o indirecta a humo de cigarro, Embarazo múltiple</t>
  </si>
  <si>
    <t>Prematurez extrema</t>
  </si>
  <si>
    <t>31 semanas gestacionales</t>
  </si>
  <si>
    <t>Consumo de drogas/alcohol antes o durante el embarazo, Embarazo múltiple</t>
  </si>
  <si>
    <t xml:space="preserve">prematuro </t>
  </si>
  <si>
    <t xml:space="preserve">38 + 4 </t>
  </si>
  <si>
    <t>Extrasistoles ventricular</t>
  </si>
  <si>
    <t>Alimentos energizantes, te, chocolate</t>
  </si>
  <si>
    <t xml:space="preserve">Termino 39 semanas y 25 dias </t>
  </si>
  <si>
    <t>37, 6 semanas</t>
  </si>
  <si>
    <t>36 semanas</t>
  </si>
  <si>
    <t>Vitamina B</t>
  </si>
  <si>
    <t>39 semanas con 3 dias</t>
  </si>
  <si>
    <t>38 semanas gestcionales</t>
  </si>
  <si>
    <t>39 + 5</t>
  </si>
  <si>
    <t xml:space="preserve">39 semanas gestacionales </t>
  </si>
  <si>
    <t xml:space="preserve">37 + 6 semanas </t>
  </si>
  <si>
    <t>32 semanas gestacionales</t>
  </si>
  <si>
    <t>Re génesis forte</t>
  </si>
  <si>
    <t>36 + 6</t>
  </si>
  <si>
    <t>39  semanas</t>
  </si>
  <si>
    <t xml:space="preserve">38 más 2 </t>
  </si>
  <si>
    <t>40 +1 semanas</t>
  </si>
  <si>
    <t>39+4</t>
  </si>
  <si>
    <t>35+5</t>
  </si>
  <si>
    <t xml:space="preserve">37+2 semanas </t>
  </si>
  <si>
    <t>28 semanas  gestacionales</t>
  </si>
  <si>
    <t>38 semanas y 6 dias</t>
  </si>
  <si>
    <t>40 + 3 semanas de gestacion</t>
  </si>
  <si>
    <t xml:space="preserve">35 semanas de gestación </t>
  </si>
  <si>
    <t>36 + 4</t>
  </si>
  <si>
    <t>39 sem +3 dias</t>
  </si>
  <si>
    <t>35+4</t>
  </si>
  <si>
    <t>37+2</t>
  </si>
  <si>
    <t>37 semanas gestacionalws</t>
  </si>
  <si>
    <t>Omega 3 y vitamina d</t>
  </si>
  <si>
    <t xml:space="preserve">Hipertonia </t>
  </si>
  <si>
    <t>41 semanas de gestación</t>
  </si>
  <si>
    <t>38 semanas con 5 dias</t>
  </si>
  <si>
    <t>39 semanas gestacoionales</t>
  </si>
  <si>
    <t>No recuerdo el nombre exacto</t>
  </si>
  <si>
    <t>37 +5</t>
  </si>
  <si>
    <t>38 semanas más dos dias</t>
  </si>
  <si>
    <t>No recuerdo el nombre pero si consumi</t>
  </si>
  <si>
    <t>Diabetes gestacional, Embarazo múltiple</t>
  </si>
  <si>
    <t xml:space="preserve">Omega 3 de Newscience, Probiotix de Newscience y Floradix vitaminas más hierro de Salus </t>
  </si>
  <si>
    <t xml:space="preserve">2 de omega, 1 de probióticos y 2 de Floradix </t>
  </si>
  <si>
    <t>No dejé de comer ningún tipo de alimento, Frituras y comida chatarra</t>
  </si>
  <si>
    <t xml:space="preserve">37 semana </t>
  </si>
  <si>
    <t>39 + 6</t>
  </si>
  <si>
    <t>39 +3 semanas gestacionales</t>
  </si>
  <si>
    <t>38 semanas gestacionales +4</t>
  </si>
  <si>
    <t>40 +5</t>
  </si>
  <si>
    <t>39semsnas</t>
  </si>
  <si>
    <t>381/2</t>
  </si>
  <si>
    <t xml:space="preserve">Distres respiratorio </t>
  </si>
  <si>
    <t>34 + 4 semanas</t>
  </si>
  <si>
    <t>40 semanas + 1</t>
  </si>
  <si>
    <t>34 semanas gestacionales</t>
  </si>
  <si>
    <t xml:space="preserve">34 semanas </t>
  </si>
  <si>
    <t>38 semanas eg</t>
  </si>
  <si>
    <t>Omega 3 con dha</t>
  </si>
  <si>
    <t>35+2</t>
  </si>
  <si>
    <t>35 sdg</t>
  </si>
  <si>
    <t>40 + 1</t>
  </si>
  <si>
    <t>37+4</t>
  </si>
  <si>
    <t>39 +5</t>
  </si>
  <si>
    <t>Gomitas gringas, no recuerdo el nombre</t>
  </si>
  <si>
    <t xml:space="preserve">35 semanas </t>
  </si>
  <si>
    <t>39.5 semanas gestacionales</t>
  </si>
  <si>
    <t>38+6 sdg</t>
  </si>
  <si>
    <t>Suplemento krill</t>
  </si>
  <si>
    <t>39+3</t>
  </si>
  <si>
    <t>Paraguaya</t>
  </si>
  <si>
    <t>40 + 6</t>
  </si>
  <si>
    <t>Prenamin y elcald</t>
  </si>
  <si>
    <t>36 semanas gestacionales</t>
  </si>
  <si>
    <t>Defectos en el tubo neural</t>
  </si>
  <si>
    <t>39 sem</t>
  </si>
  <si>
    <t xml:space="preserve">DHA mathern </t>
  </si>
  <si>
    <t>30 semanas mas 4 dias. Mellizas</t>
  </si>
  <si>
    <t>37 semanas gestacionales.</t>
  </si>
  <si>
    <t>29 semanas</t>
  </si>
  <si>
    <t>40 semanas + 2 dias</t>
  </si>
  <si>
    <t xml:space="preserve">38+ 6 dias semanas </t>
  </si>
  <si>
    <t>39 semanas con 6 dias</t>
  </si>
  <si>
    <t xml:space="preserve">Maltofer </t>
  </si>
  <si>
    <t>37 más 3</t>
  </si>
  <si>
    <t>36+6</t>
  </si>
  <si>
    <t>38 +5</t>
  </si>
  <si>
    <t xml:space="preserve">40semanas gestacionales </t>
  </si>
  <si>
    <t>38 +3</t>
  </si>
  <si>
    <t xml:space="preserve">31 semanas </t>
  </si>
  <si>
    <t>37,5</t>
  </si>
  <si>
    <t>37 semanas grstacionales</t>
  </si>
  <si>
    <t>38+3 semanas gestacionales</t>
  </si>
  <si>
    <t>38 +5 semanas</t>
  </si>
  <si>
    <t>No lo recuerdo</t>
  </si>
  <si>
    <t>5 o más unidades</t>
  </si>
  <si>
    <t xml:space="preserve">39 semana </t>
  </si>
  <si>
    <t>38,5</t>
  </si>
  <si>
    <t>No recuerdo el nombre pero era abbott</t>
  </si>
  <si>
    <t>37 + 5</t>
  </si>
  <si>
    <t>38 senanas</t>
  </si>
  <si>
    <t>40 semanas +6d</t>
  </si>
  <si>
    <t>No recuerdo el nombre recetado</t>
  </si>
  <si>
    <t>Omega</t>
  </si>
  <si>
    <t>38sdg</t>
  </si>
  <si>
    <t>Herbalife</t>
  </si>
  <si>
    <t>38 semanas y 4 dias</t>
  </si>
  <si>
    <t>39 semanas con 4dias</t>
  </si>
  <si>
    <t xml:space="preserve">38 + 2 dias </t>
  </si>
  <si>
    <t>Suplemento</t>
  </si>
  <si>
    <t>Supradyn Prenatal</t>
  </si>
  <si>
    <t>Aporte</t>
  </si>
  <si>
    <t>11/12/1898</t>
  </si>
  <si>
    <t>Promedio centrum-centrum mojer</t>
  </si>
  <si>
    <t>promedionaticare</t>
  </si>
  <si>
    <t>https://ddb.com.co/catalogo-de-productos/medicamento/iofi-tabletas-cubiertas/</t>
  </si>
  <si>
    <t>Pan bocado de dama</t>
  </si>
  <si>
    <t>ifoi</t>
  </si>
  <si>
    <t>Embarazo Múltiple Exclusión</t>
  </si>
  <si>
    <t>FN RN</t>
  </si>
  <si>
    <t>SV</t>
  </si>
  <si>
    <t>SAF</t>
  </si>
  <si>
    <t>PM</t>
  </si>
  <si>
    <t>PRN</t>
  </si>
  <si>
    <t>OL</t>
  </si>
  <si>
    <t>GM</t>
  </si>
  <si>
    <t>DTN</t>
  </si>
  <si>
    <t>Motivo Eliminación</t>
  </si>
  <si>
    <t>Consumo SAF</t>
  </si>
  <si>
    <t>Consumo OSAF</t>
  </si>
  <si>
    <t>mg AF/ cápsula OSAF</t>
  </si>
  <si>
    <t xml:space="preserve">Supradin prenatal </t>
  </si>
  <si>
    <t>Naticare supra, regénesis ultra</t>
  </si>
  <si>
    <t xml:space="preserve">Datos faltantes </t>
  </si>
  <si>
    <t xml:space="preserve">Regodeo (2 cápsulas al día) en el último trimestre, primer y segundo trimestre omega 3 Up ( 2 cápsulas), primer trimestre naticare (caja celeste) </t>
  </si>
  <si>
    <t xml:space="preserve">Re genesis </t>
  </si>
  <si>
    <t>Centrum, naticare supra</t>
  </si>
  <si>
    <t>Supradin prenatal</t>
  </si>
  <si>
    <t>Supradin, Prenamin</t>
  </si>
  <si>
    <t>Supradin, NatiCare Supra</t>
  </si>
  <si>
    <t>Regenesis Max,supradin prenatal</t>
  </si>
  <si>
    <t>Centrum y supradin</t>
  </si>
  <si>
    <t>Bion - regenesis max</t>
  </si>
  <si>
    <t>Prenamin N, ultrapure OMG3 UP</t>
  </si>
  <si>
    <t xml:space="preserve">Elcal D </t>
  </si>
  <si>
    <t>Elcal D forte</t>
  </si>
  <si>
    <t xml:space="preserve">Supradin prenatal, Calcio </t>
  </si>
  <si>
    <t>omega 3</t>
  </si>
  <si>
    <t>omega 3, elcald</t>
  </si>
  <si>
    <t>Elcald omega 3</t>
  </si>
  <si>
    <t>Supradin prenatal, Ecal D</t>
  </si>
  <si>
    <t>Elcal d forte 1 diario</t>
  </si>
  <si>
    <t>Supradin prenatal, Fierro</t>
  </si>
  <si>
    <t>Supradin, omega</t>
  </si>
  <si>
    <t>Regenesis max, ecald</t>
  </si>
  <si>
    <t>MAF</t>
  </si>
  <si>
    <t>Consumo MAF</t>
  </si>
  <si>
    <t>Consumo SIN</t>
  </si>
  <si>
    <t>SAFPUEDE INCLUIRSE PRENAMIN</t>
  </si>
  <si>
    <t>Código MAF</t>
  </si>
  <si>
    <t>mg AF/ cápsula MAF</t>
  </si>
  <si>
    <t>Codigo SAF</t>
  </si>
  <si>
    <t>Aporte SAF mg AF/ cápsula</t>
  </si>
  <si>
    <t>Días a la semana SAF</t>
  </si>
  <si>
    <t>Nombre OSAF</t>
  </si>
  <si>
    <t>Días a la semana OSAF</t>
  </si>
  <si>
    <t>Prenamin pro se cambia a SIN</t>
  </si>
  <si>
    <t>No recuerdo, datos faltantes…</t>
  </si>
  <si>
    <t>Días a la semana SIN</t>
  </si>
  <si>
    <t>N</t>
  </si>
  <si>
    <t>Minimo</t>
  </si>
  <si>
    <t>Máximo</t>
  </si>
  <si>
    <t>Promedio</t>
  </si>
  <si>
    <t>Mediana</t>
  </si>
  <si>
    <t>DE</t>
  </si>
  <si>
    <t>Edad Madre</t>
  </si>
  <si>
    <t>Nacimiento Madre</t>
  </si>
  <si>
    <t>Número Embarazo</t>
  </si>
  <si>
    <t>Primípara</t>
  </si>
  <si>
    <t>Codificación  Sexo RN #</t>
  </si>
  <si>
    <t>Nacimiento RN</t>
  </si>
  <si>
    <t>Peso RN</t>
  </si>
  <si>
    <t>Primipara C</t>
  </si>
  <si>
    <t>Nacionalidad C</t>
  </si>
  <si>
    <t>Region C</t>
  </si>
  <si>
    <t>Nivel Educacional C</t>
  </si>
  <si>
    <t>Sexo RN C</t>
  </si>
  <si>
    <t>Identificador C</t>
  </si>
  <si>
    <t>Peso RN C</t>
  </si>
  <si>
    <t>Pandemia C</t>
  </si>
  <si>
    <t>EG RN</t>
  </si>
  <si>
    <t>EG RN C</t>
  </si>
  <si>
    <t>Postérmino (42 semanas o más) </t>
  </si>
  <si>
    <t>Término (37 a menos de 42 semanas) </t>
  </si>
  <si>
    <t>Pretérmino Prematuro Tardío (32 a 37 semanas) </t>
  </si>
  <si>
    <t>Pretérmino Muy Prematuro (28 a 32 semanas) </t>
  </si>
  <si>
    <t>Pretérmino Prematuro Extremo (menos de 28 semanas)</t>
  </si>
  <si>
    <t>Peso Pregestacional</t>
  </si>
  <si>
    <t>Peso Postparto</t>
  </si>
  <si>
    <t>Delta Peso Gestacional</t>
  </si>
  <si>
    <t>Talla Materna</t>
  </si>
  <si>
    <t>Delta Peso Gestacional C</t>
  </si>
  <si>
    <t>Recomendado</t>
  </si>
  <si>
    <t>Superior</t>
  </si>
  <si>
    <t>Macrosomico (&gt;4000 gr)</t>
  </si>
  <si>
    <t>Bajo Peso (&lt; 2500 gr)</t>
  </si>
  <si>
    <t>Gestación en periodo de Pandemia (18-03-20 hasta 30-09-2021)</t>
  </si>
  <si>
    <t>IMC Postparto</t>
  </si>
  <si>
    <t>IMC Pregestacional C</t>
  </si>
  <si>
    <t>IMC Termino C</t>
  </si>
  <si>
    <t>Condicion Materna C</t>
  </si>
  <si>
    <t>Condición o Exposisción Materna</t>
  </si>
  <si>
    <t>Problema Salud RN C</t>
  </si>
  <si>
    <t>Problema Salud C</t>
  </si>
  <si>
    <t>Códificación  SAF y OSAF</t>
  </si>
  <si>
    <t>Codificación SAF</t>
  </si>
  <si>
    <t>Codificación Consumo Suplemento Ácido Fólico  SAF</t>
  </si>
  <si>
    <t>Codificación Consumo Otros  Suplemento Ácido Fólico  OSAF</t>
  </si>
  <si>
    <t>Codificación OSAF</t>
  </si>
  <si>
    <t>Codificación Consumo Suplemento Vitaminico con Ácido Fólico  MAF</t>
  </si>
  <si>
    <t>Cápsulas SAF</t>
  </si>
  <si>
    <t xml:space="preserve">SAF mg AF/día </t>
  </si>
  <si>
    <t>Código OSAF</t>
  </si>
  <si>
    <t>Cápsulas OSAF</t>
  </si>
  <si>
    <t>OSAF mg AF/día</t>
  </si>
  <si>
    <t>SAF+OSAF mg AF/día</t>
  </si>
  <si>
    <t xml:space="preserve">Cuál MAF </t>
  </si>
  <si>
    <t>Días a la semana MAF</t>
  </si>
  <si>
    <t>Cápsulas MAF</t>
  </si>
  <si>
    <t>MAF mg AF/día</t>
  </si>
  <si>
    <t xml:space="preserve">SAF+OSAF+MAF mg AF/ día </t>
  </si>
  <si>
    <t>Nombre SAF</t>
  </si>
  <si>
    <t>Nombre MAF</t>
  </si>
  <si>
    <t>Nombre SIN</t>
  </si>
  <si>
    <t>Cápsulas SIN</t>
  </si>
  <si>
    <t>Periodo Consumo SAF C</t>
  </si>
  <si>
    <t>Periodo Consumo SAF</t>
  </si>
  <si>
    <t>Codificación Consumo Suplemento Vitaminico sin Ácido Fólico  SIN</t>
  </si>
  <si>
    <t>Evito Consumo Alimentos C</t>
  </si>
  <si>
    <t>Consumo Pan C</t>
  </si>
  <si>
    <t>Codificación Consumo Pan con AF</t>
  </si>
  <si>
    <t>Nombre Pan</t>
  </si>
  <si>
    <t>Codigo Pan</t>
  </si>
  <si>
    <t>Aporte mg AF/ unidad Pan</t>
  </si>
  <si>
    <t>Unidad Pan día</t>
  </si>
  <si>
    <t>Pan mg AF  día</t>
  </si>
  <si>
    <t>Total AF Aporte  SAF+OSAF+MAF+PAN</t>
  </si>
  <si>
    <t>Consumo Pastas con AF</t>
  </si>
  <si>
    <t>Taza Pasta con AF</t>
  </si>
  <si>
    <t>Gramos Pasta día</t>
  </si>
  <si>
    <t>Gramos Pasta Semanal</t>
  </si>
  <si>
    <t>Total AF Aporte  PASTA+PAN+SAF+OSAF+MAF</t>
  </si>
  <si>
    <t>Pasta ug AF día</t>
  </si>
  <si>
    <t>PASTA</t>
  </si>
  <si>
    <t>0,077 mg AF en 100 gr de pasta cocida fortificada</t>
  </si>
  <si>
    <t>77 ug por 100 gr de pasta cocida</t>
  </si>
  <si>
    <t>&gt;= 42</t>
  </si>
  <si>
    <t xml:space="preserve">37 - 41,999 </t>
  </si>
  <si>
    <t>32 - 36,999</t>
  </si>
  <si>
    <t>28- 31,999</t>
  </si>
  <si>
    <t>&lt;=27,999</t>
  </si>
  <si>
    <t>12,5 - 18</t>
  </si>
  <si>
    <t>11,5 - 16</t>
  </si>
  <si>
    <t>7 - 11,5</t>
  </si>
  <si>
    <t xml:space="preserve">Inferior </t>
  </si>
  <si>
    <t>0,00077 mg Af por 1 gr de pasta</t>
  </si>
  <si>
    <t>SP y O</t>
  </si>
  <si>
    <t>Delta Peso Gestacional (Incremento de peso durante la gestación según estado nutricional pre-embarazo, según Guía Prenatal 2015, hoja 461)</t>
  </si>
  <si>
    <t>&gt;18</t>
  </si>
  <si>
    <t>&lt;12,5</t>
  </si>
  <si>
    <t/>
  </si>
  <si>
    <t>PC</t>
  </si>
  <si>
    <t>Gr Pan Día</t>
  </si>
  <si>
    <t xml:space="preserve">Si usted esta de acuerdo con participar de este estudio por favor haga clic en aceptar para comenzar a responder la encuesta. </t>
  </si>
  <si>
    <t>Indique el peso al nacer de su último hijo/a en gramos</t>
  </si>
  <si>
    <t>¿Cuál fue su peso en kilos al inicio de su último embarazo?</t>
  </si>
  <si>
    <t>¿Cuál fue su peso en kilos al término de su último embarazo?</t>
  </si>
  <si>
    <t>¿Cuántos días a la semana consumió el suplemento de ácido fólico?</t>
  </si>
  <si>
    <t>¿Cuántos días a la semana consumió el suplemento vitamínico?</t>
  </si>
  <si>
    <t>Acepto participar</t>
  </si>
  <si>
    <t>40 años</t>
  </si>
  <si>
    <t>2560 gr</t>
  </si>
  <si>
    <t>62 kg</t>
  </si>
  <si>
    <t>67 kg</t>
  </si>
  <si>
    <t xml:space="preserve">168 cm </t>
  </si>
  <si>
    <t>3190 g</t>
  </si>
  <si>
    <t>68 k</t>
  </si>
  <si>
    <t>76 k</t>
  </si>
  <si>
    <t>3600 gr</t>
  </si>
  <si>
    <t>2950 g</t>
  </si>
  <si>
    <t>4050 g</t>
  </si>
  <si>
    <t>4300 g</t>
  </si>
  <si>
    <t>3900 g</t>
  </si>
  <si>
    <t>3211 g</t>
  </si>
  <si>
    <t xml:space="preserve">39 semanas y 6 días </t>
  </si>
  <si>
    <t>3330g</t>
  </si>
  <si>
    <t xml:space="preserve">40 semanas y un día </t>
  </si>
  <si>
    <t>69 kilos</t>
  </si>
  <si>
    <t>80 kilos</t>
  </si>
  <si>
    <t>3326 g</t>
  </si>
  <si>
    <t>72 k</t>
  </si>
  <si>
    <t>84 k</t>
  </si>
  <si>
    <t>3750 g</t>
  </si>
  <si>
    <t>2245 gramos</t>
  </si>
  <si>
    <t>1,67</t>
  </si>
  <si>
    <t>3560 gr</t>
  </si>
  <si>
    <t>84,5</t>
  </si>
  <si>
    <t>3330 g</t>
  </si>
  <si>
    <t>6/28/0021</t>
  </si>
  <si>
    <t>3480 gr</t>
  </si>
  <si>
    <t>3.105 g</t>
  </si>
  <si>
    <t>1,61</t>
  </si>
  <si>
    <t>2730 g</t>
  </si>
  <si>
    <t>2300g</t>
  </si>
  <si>
    <t>3500 g</t>
  </si>
  <si>
    <t>3160 g</t>
  </si>
  <si>
    <t>72,5</t>
  </si>
  <si>
    <t xml:space="preserve">50 kilos </t>
  </si>
  <si>
    <t>1,54</t>
  </si>
  <si>
    <t>3320 g</t>
  </si>
  <si>
    <t>3030 gr</t>
  </si>
  <si>
    <t>1,72</t>
  </si>
  <si>
    <t>3150 g</t>
  </si>
  <si>
    <t>124,5</t>
  </si>
  <si>
    <t xml:space="preserve">Colombia </t>
  </si>
  <si>
    <t>3400grs</t>
  </si>
  <si>
    <t>2225 g</t>
  </si>
  <si>
    <t>1 cápsula gintol</t>
  </si>
  <si>
    <t>1,66</t>
  </si>
  <si>
    <t>3440grs</t>
  </si>
  <si>
    <t>32 años</t>
  </si>
  <si>
    <t>3800 g</t>
  </si>
  <si>
    <t>73 kg</t>
  </si>
  <si>
    <t>98 kg</t>
  </si>
  <si>
    <t>3650 g</t>
  </si>
  <si>
    <t>1,60</t>
  </si>
  <si>
    <t>4075g</t>
  </si>
  <si>
    <t>99,0</t>
  </si>
  <si>
    <t>3219 g</t>
  </si>
  <si>
    <t>50,5 kg</t>
  </si>
  <si>
    <t>56,5</t>
  </si>
  <si>
    <t>3100 grs</t>
  </si>
  <si>
    <t>3100 g</t>
  </si>
  <si>
    <t>93,5</t>
  </si>
  <si>
    <t>3.250 g</t>
  </si>
  <si>
    <t>60,5</t>
  </si>
  <si>
    <t>58kg</t>
  </si>
  <si>
    <t>3600 g</t>
  </si>
  <si>
    <t>55.,5</t>
  </si>
  <si>
    <t>3450 g</t>
  </si>
  <si>
    <t>33 años</t>
  </si>
  <si>
    <t>2650 g</t>
  </si>
  <si>
    <t>52 kilos</t>
  </si>
  <si>
    <t xml:space="preserve">68 kilos aprox </t>
  </si>
  <si>
    <t>3690gr</t>
  </si>
  <si>
    <t>50kg</t>
  </si>
  <si>
    <t>60kg</t>
  </si>
  <si>
    <t>150cms</t>
  </si>
  <si>
    <t>2725 g</t>
  </si>
  <si>
    <t>58 kilos</t>
  </si>
  <si>
    <t>73,5 kilos</t>
  </si>
  <si>
    <t>2390g</t>
  </si>
  <si>
    <t>78 kilos</t>
  </si>
  <si>
    <t>112 kilos</t>
  </si>
  <si>
    <t>99,6</t>
  </si>
  <si>
    <t>Media</t>
  </si>
  <si>
    <t>4/30/0086</t>
  </si>
  <si>
    <t>31 años</t>
  </si>
  <si>
    <t>92 kg</t>
  </si>
  <si>
    <t>3225 g</t>
  </si>
  <si>
    <t>3249 g</t>
  </si>
  <si>
    <t>3627 g</t>
  </si>
  <si>
    <t>3120g</t>
  </si>
  <si>
    <t>2200g</t>
  </si>
  <si>
    <t>3563 g</t>
  </si>
  <si>
    <t>3470 g</t>
  </si>
  <si>
    <t>3115 g</t>
  </si>
  <si>
    <t>3315gr</t>
  </si>
  <si>
    <t>2484 g</t>
  </si>
  <si>
    <t>3420 g</t>
  </si>
  <si>
    <t xml:space="preserve">25 años </t>
  </si>
  <si>
    <t>3640 g</t>
  </si>
  <si>
    <t xml:space="preserve">38 semanas, 2 días </t>
  </si>
  <si>
    <t>65 kilos</t>
  </si>
  <si>
    <t>72 kilos</t>
  </si>
  <si>
    <t>3490 g</t>
  </si>
  <si>
    <t>3235 gr</t>
  </si>
  <si>
    <t>2510g</t>
  </si>
  <si>
    <t>3380 gr.</t>
  </si>
  <si>
    <t xml:space="preserve">39 semanas más 3 días </t>
  </si>
  <si>
    <t>1,73</t>
  </si>
  <si>
    <t>3540 g</t>
  </si>
  <si>
    <t>3880 g</t>
  </si>
  <si>
    <t>3890 g</t>
  </si>
  <si>
    <t>3425 g</t>
  </si>
  <si>
    <t xml:space="preserve">Una vez a la semana b12, omega 3 1 capsula diaria, D2 y calcio polvito todos los días </t>
  </si>
  <si>
    <t>3220 g</t>
  </si>
  <si>
    <t>2670g</t>
  </si>
  <si>
    <t>75 kg</t>
  </si>
  <si>
    <t>3700 G</t>
  </si>
  <si>
    <t>2130g</t>
  </si>
  <si>
    <t>2795 g</t>
  </si>
  <si>
    <t>3030 g</t>
  </si>
  <si>
    <t>85,0</t>
  </si>
  <si>
    <t>20kg.</t>
  </si>
  <si>
    <t>76 kg.</t>
  </si>
  <si>
    <t>89kg</t>
  </si>
  <si>
    <t>3470g</t>
  </si>
  <si>
    <t>3220g</t>
  </si>
  <si>
    <t>58 kg</t>
  </si>
  <si>
    <t>80 kg</t>
  </si>
  <si>
    <t>3060 g</t>
  </si>
  <si>
    <t xml:space="preserve">Chilena, </t>
  </si>
  <si>
    <t xml:space="preserve">2.090 1.700 gemela </t>
  </si>
  <si>
    <t xml:space="preserve">39 semanas y 5 días </t>
  </si>
  <si>
    <t>3340 g</t>
  </si>
  <si>
    <t>25 años</t>
  </si>
  <si>
    <t>1690 gr</t>
  </si>
  <si>
    <t>52 kg</t>
  </si>
  <si>
    <t>78 kg</t>
  </si>
  <si>
    <t>3430 G</t>
  </si>
  <si>
    <t>3505g</t>
  </si>
  <si>
    <t>2834g</t>
  </si>
  <si>
    <t xml:space="preserve">38 semanas de gestación y 6 días </t>
  </si>
  <si>
    <t>3250 grs</t>
  </si>
  <si>
    <t>63 kg</t>
  </si>
  <si>
    <t>69 kg</t>
  </si>
  <si>
    <t>3400 g</t>
  </si>
  <si>
    <t>3460 g</t>
  </si>
  <si>
    <t>59,5</t>
  </si>
  <si>
    <t>67,5</t>
  </si>
  <si>
    <t>85,5</t>
  </si>
  <si>
    <t>1,62</t>
  </si>
  <si>
    <t>2750 g</t>
  </si>
  <si>
    <t>3750g</t>
  </si>
  <si>
    <t>3500g</t>
  </si>
  <si>
    <t>3845g</t>
  </si>
  <si>
    <t>3200 g</t>
  </si>
  <si>
    <t>3310 g</t>
  </si>
  <si>
    <t>1,65</t>
  </si>
  <si>
    <t>3710 g</t>
  </si>
  <si>
    <t>3550 g</t>
  </si>
  <si>
    <t>2925 g</t>
  </si>
  <si>
    <t>53 kg</t>
  </si>
  <si>
    <t>65 kg</t>
  </si>
  <si>
    <t>158 cm</t>
  </si>
  <si>
    <t>3275 gr</t>
  </si>
  <si>
    <t>3715 g</t>
  </si>
  <si>
    <t>3170 g</t>
  </si>
  <si>
    <t>3850 g</t>
  </si>
  <si>
    <t>4250g</t>
  </si>
  <si>
    <t>3690 g</t>
  </si>
  <si>
    <t>2490 g</t>
  </si>
  <si>
    <t>62,5</t>
  </si>
  <si>
    <t>2760 g</t>
  </si>
  <si>
    <t>38 semanas mas un día</t>
  </si>
  <si>
    <t>27 años</t>
  </si>
  <si>
    <t>2900 g</t>
  </si>
  <si>
    <t xml:space="preserve">57 kilos </t>
  </si>
  <si>
    <t>2780g</t>
  </si>
  <si>
    <t>1810 g</t>
  </si>
  <si>
    <t>3110 g</t>
  </si>
  <si>
    <t>68,3</t>
  </si>
  <si>
    <t>3455 g</t>
  </si>
  <si>
    <t>89,9</t>
  </si>
  <si>
    <t>86,4</t>
  </si>
  <si>
    <t>3.115 g</t>
  </si>
  <si>
    <t>3810 g</t>
  </si>
  <si>
    <t>3510 g</t>
  </si>
  <si>
    <t>4150 g</t>
  </si>
  <si>
    <t>3680 g</t>
  </si>
  <si>
    <t>3300 g</t>
  </si>
  <si>
    <t>3390g</t>
  </si>
  <si>
    <t>73,0</t>
  </si>
  <si>
    <t>2880g</t>
  </si>
  <si>
    <t>3305 g</t>
  </si>
  <si>
    <t>3555g</t>
  </si>
  <si>
    <t>85,2</t>
  </si>
  <si>
    <t>66,6</t>
  </si>
  <si>
    <t>2800 g</t>
  </si>
  <si>
    <t>4235 g</t>
  </si>
  <si>
    <t>167,5</t>
  </si>
  <si>
    <t>88,9</t>
  </si>
  <si>
    <t xml:space="preserve">3336 g </t>
  </si>
  <si>
    <t>59 kg</t>
  </si>
  <si>
    <t>154 cm</t>
  </si>
  <si>
    <t>3530 g</t>
  </si>
  <si>
    <t xml:space="preserve">36 semanas más 6 días </t>
  </si>
  <si>
    <t xml:space="preserve">38 semanas 5 días </t>
  </si>
  <si>
    <t>92,1</t>
  </si>
  <si>
    <t>3290g</t>
  </si>
  <si>
    <t>78,5</t>
  </si>
  <si>
    <t>38 años</t>
  </si>
  <si>
    <t>2600 g</t>
  </si>
  <si>
    <t>58,0</t>
  </si>
  <si>
    <t>60,0</t>
  </si>
  <si>
    <t>66,5</t>
  </si>
  <si>
    <t xml:space="preserve">159 cms </t>
  </si>
  <si>
    <t>3560 g</t>
  </si>
  <si>
    <t>73,5</t>
  </si>
  <si>
    <t xml:space="preserve">4125 kg </t>
  </si>
  <si>
    <t>100,7</t>
  </si>
  <si>
    <t xml:space="preserve">38 + 3 días </t>
  </si>
  <si>
    <t>3785 g</t>
  </si>
  <si>
    <t>2.498 g</t>
  </si>
  <si>
    <t>3135 g</t>
  </si>
  <si>
    <t>2/25/0022</t>
  </si>
  <si>
    <t xml:space="preserve">40 semanas y 3 días </t>
  </si>
  <si>
    <t>3335 d</t>
  </si>
  <si>
    <t>50 kilos</t>
  </si>
  <si>
    <t>63 kilos</t>
  </si>
  <si>
    <t>2765g</t>
  </si>
  <si>
    <t>4500 g</t>
  </si>
  <si>
    <t>2930 g</t>
  </si>
  <si>
    <t>37 años</t>
  </si>
  <si>
    <t>3280 g</t>
  </si>
  <si>
    <t>90,1</t>
  </si>
  <si>
    <t>4180 g</t>
  </si>
  <si>
    <t>72 kg</t>
  </si>
  <si>
    <t xml:space="preserve">91,5 </t>
  </si>
  <si>
    <t xml:space="preserve">3115 g </t>
  </si>
  <si>
    <t xml:space="preserve">74 kg </t>
  </si>
  <si>
    <t xml:space="preserve">84,5 </t>
  </si>
  <si>
    <t>3520 g</t>
  </si>
  <si>
    <t>56,1</t>
  </si>
  <si>
    <t>63,4</t>
  </si>
  <si>
    <t>3300gr</t>
  </si>
  <si>
    <t>2890 g</t>
  </si>
  <si>
    <t>78,8</t>
  </si>
  <si>
    <t>91,5</t>
  </si>
  <si>
    <t>61,5</t>
  </si>
  <si>
    <t>3790 g</t>
  </si>
  <si>
    <t>3194 g</t>
  </si>
  <si>
    <t>3415g</t>
  </si>
  <si>
    <t>62kg</t>
  </si>
  <si>
    <t>70kg</t>
  </si>
  <si>
    <t>36 años</t>
  </si>
  <si>
    <t>3139 g</t>
  </si>
  <si>
    <t xml:space="preserve">63 kg </t>
  </si>
  <si>
    <t xml:space="preserve">70 kg </t>
  </si>
  <si>
    <t>55 kg</t>
  </si>
  <si>
    <t>3355g</t>
  </si>
  <si>
    <t>1,63</t>
  </si>
  <si>
    <t>3390 g</t>
  </si>
  <si>
    <t>117,1</t>
  </si>
  <si>
    <t>80,5</t>
  </si>
  <si>
    <t>81,5</t>
  </si>
  <si>
    <t>2105 g</t>
  </si>
  <si>
    <t>6/1/0020</t>
  </si>
  <si>
    <t>2550 g</t>
  </si>
  <si>
    <t>3590 g</t>
  </si>
  <si>
    <t>3350 g</t>
  </si>
  <si>
    <t>3570gr</t>
  </si>
  <si>
    <t>74,6</t>
  </si>
  <si>
    <t>83,1</t>
  </si>
  <si>
    <t>48,0</t>
  </si>
  <si>
    <t>57,8</t>
  </si>
  <si>
    <t>3565 g</t>
  </si>
  <si>
    <t>101,5</t>
  </si>
  <si>
    <t>113,3</t>
  </si>
  <si>
    <t>1990 g</t>
  </si>
  <si>
    <t>3/11/0019</t>
  </si>
  <si>
    <t xml:space="preserve">39+2 días </t>
  </si>
  <si>
    <t>1,58</t>
  </si>
  <si>
    <t>3760g</t>
  </si>
  <si>
    <t>3,350 g</t>
  </si>
  <si>
    <t>3249g</t>
  </si>
  <si>
    <t>4910 g</t>
  </si>
  <si>
    <t>2970g</t>
  </si>
  <si>
    <t>3325g</t>
  </si>
  <si>
    <t>2265 g</t>
  </si>
  <si>
    <t>44 kg</t>
  </si>
  <si>
    <t>50,8 kg</t>
  </si>
  <si>
    <t>150 cm</t>
  </si>
  <si>
    <t>80,0</t>
  </si>
  <si>
    <t>96,0</t>
  </si>
  <si>
    <t>3395 g</t>
  </si>
  <si>
    <t>50,2</t>
  </si>
  <si>
    <t>70,0</t>
  </si>
  <si>
    <t>79,0</t>
  </si>
  <si>
    <t>2890g</t>
  </si>
  <si>
    <t>2850 g</t>
  </si>
  <si>
    <t>3565 grs</t>
  </si>
  <si>
    <t>163 cm</t>
  </si>
  <si>
    <t>2560g</t>
  </si>
  <si>
    <t>3960 g</t>
  </si>
  <si>
    <t>3950 grms</t>
  </si>
  <si>
    <t>4185g</t>
  </si>
  <si>
    <t>90 kg</t>
  </si>
  <si>
    <t>3130 g</t>
  </si>
  <si>
    <t>3320g</t>
  </si>
  <si>
    <t>39 semanas 3 días</t>
  </si>
  <si>
    <t>62 kilos</t>
  </si>
  <si>
    <t xml:space="preserve">70 Kg </t>
  </si>
  <si>
    <t>41 años</t>
  </si>
  <si>
    <t>4020 g</t>
  </si>
  <si>
    <t>56 kg</t>
  </si>
  <si>
    <t>64 kg</t>
  </si>
  <si>
    <t>3250 g</t>
  </si>
  <si>
    <t>61 kg</t>
  </si>
  <si>
    <t>3815 g</t>
  </si>
  <si>
    <t>3180 g</t>
  </si>
  <si>
    <t>4000 g</t>
  </si>
  <si>
    <t>3181 g</t>
  </si>
  <si>
    <t>82,5</t>
  </si>
  <si>
    <t>4240 g</t>
  </si>
  <si>
    <t>76,3</t>
  </si>
  <si>
    <t>1,64</t>
  </si>
  <si>
    <t>54,5</t>
  </si>
  <si>
    <t>1400 g</t>
  </si>
  <si>
    <t>3595 g</t>
  </si>
  <si>
    <t xml:space="preserve">39 semanas 4 días </t>
  </si>
  <si>
    <t>2250 g</t>
  </si>
  <si>
    <t>90,5</t>
  </si>
  <si>
    <t xml:space="preserve">59,5 </t>
  </si>
  <si>
    <t>3300g</t>
  </si>
  <si>
    <t>3050 g</t>
  </si>
  <si>
    <t>50 kg62</t>
  </si>
  <si>
    <t>3820 gr.</t>
  </si>
  <si>
    <t xml:space="preserve">40 años </t>
  </si>
  <si>
    <t>3615 g</t>
  </si>
  <si>
    <t>82,6</t>
  </si>
  <si>
    <t>1/26/0022</t>
  </si>
  <si>
    <t xml:space="preserve">54 kilos </t>
  </si>
  <si>
    <t>66 kilos</t>
  </si>
  <si>
    <t xml:space="preserve">3500 g </t>
  </si>
  <si>
    <t>52,5</t>
  </si>
  <si>
    <t>86, 400</t>
  </si>
  <si>
    <t>65,7</t>
  </si>
  <si>
    <t xml:space="preserve">24 años </t>
  </si>
  <si>
    <t>75,8</t>
  </si>
  <si>
    <t>79,6</t>
  </si>
  <si>
    <t>1,55</t>
  </si>
  <si>
    <t>80,2</t>
  </si>
  <si>
    <t>3360g</t>
  </si>
  <si>
    <t>1,50</t>
  </si>
  <si>
    <t xml:space="preserve">39 semanas 6 días </t>
  </si>
  <si>
    <t>68,0</t>
  </si>
  <si>
    <t>78,0</t>
  </si>
  <si>
    <t>98,0</t>
  </si>
  <si>
    <t>2670 g</t>
  </si>
  <si>
    <t>53 k</t>
  </si>
  <si>
    <t>62k</t>
  </si>
  <si>
    <t>2.750 g</t>
  </si>
  <si>
    <t>2255 g</t>
  </si>
  <si>
    <t>3740 g</t>
  </si>
  <si>
    <t>3575g</t>
  </si>
  <si>
    <t>110 kilos</t>
  </si>
  <si>
    <t xml:space="preserve">38 sem 2 días </t>
  </si>
  <si>
    <t>3230 g</t>
  </si>
  <si>
    <t>3345 g</t>
  </si>
  <si>
    <t>3700g</t>
  </si>
  <si>
    <t>3430 g</t>
  </si>
  <si>
    <t>75,5</t>
  </si>
  <si>
    <t>35 años</t>
  </si>
  <si>
    <t>3700 g</t>
  </si>
  <si>
    <t xml:space="preserve">3690 grs </t>
  </si>
  <si>
    <t>3405g</t>
  </si>
  <si>
    <t>3450g</t>
  </si>
  <si>
    <t xml:space="preserve">3040 gr </t>
  </si>
  <si>
    <t xml:space="preserve">75 kg </t>
  </si>
  <si>
    <t xml:space="preserve">86,5 kg </t>
  </si>
  <si>
    <t>1/18/0018</t>
  </si>
  <si>
    <t>3916 g</t>
  </si>
  <si>
    <t>3600 grs</t>
  </si>
  <si>
    <t>2695 g</t>
  </si>
  <si>
    <t>69,5</t>
  </si>
  <si>
    <t>3100g</t>
  </si>
  <si>
    <t>2850g</t>
  </si>
  <si>
    <t>2770 g</t>
  </si>
  <si>
    <t>69,0</t>
  </si>
  <si>
    <t>3265 g</t>
  </si>
  <si>
    <t>85 kg</t>
  </si>
  <si>
    <t>86,5</t>
  </si>
  <si>
    <t>3410 g</t>
  </si>
  <si>
    <t>2100g</t>
  </si>
  <si>
    <t>79,8</t>
  </si>
  <si>
    <t>Peso Insuficiente (2500- 3000)</t>
  </si>
  <si>
    <t>Normal (3000-4000)</t>
  </si>
  <si>
    <t xml:space="preserve">Condiciones de Salud Menores ( madre indica que sí más no detalla cuál, </t>
  </si>
  <si>
    <t>Alergía Alimentaria</t>
  </si>
  <si>
    <t>Peso y Edad Gestacional</t>
  </si>
  <si>
    <t>Condición neurologica del Desarrollo</t>
  </si>
  <si>
    <t>Eutrofico</t>
  </si>
  <si>
    <t>Bajo peso IMC &lt; 18,5 kg/ m²</t>
  </si>
  <si>
    <t>peso normal IMC entre 18,5 y 24,9 kg/ m</t>
  </si>
  <si>
    <t>sobrepeso IMC entre 25,0 y 29,9 kg/ m²</t>
  </si>
  <si>
    <t>obesidad IMC ≥ 30 kg/ m²</t>
  </si>
  <si>
    <t>Codificación IMC</t>
  </si>
  <si>
    <t>Incremento de Peso según IMC rangos y codificación</t>
  </si>
  <si>
    <t xml:space="preserve">      0 |          7        0.89        0.89</t>
  </si>
  <si>
    <t xml:space="preserve">          1 |        382       48.42       49.30</t>
  </si>
  <si>
    <t xml:space="preserve">          2 |        196       24.84       74.14</t>
  </si>
  <si>
    <t xml:space="preserve">          3 |         47        5.96       80.10</t>
  </si>
  <si>
    <t xml:space="preserve">          4 |        103       13.05       93.16</t>
  </si>
  <si>
    <t xml:space="preserve">          5 |         18        2.28       95.44</t>
  </si>
  <si>
    <t xml:space="preserve">          6 |          2        0.25       95.69</t>
  </si>
  <si>
    <t xml:space="preserve">          7 |          4        0.51       96.20</t>
  </si>
  <si>
    <t xml:space="preserve">          8 |          1        0.13       96.32</t>
  </si>
  <si>
    <t xml:space="preserve">          9 |         10        1.27       97.59</t>
  </si>
  <si>
    <t xml:space="preserve">         10 |          1        0.13       97.72</t>
  </si>
  <si>
    <t xml:space="preserve">         13 |          8        1.01       98.73</t>
  </si>
  <si>
    <t xml:space="preserve">         14 |          6        0.76       99.49</t>
  </si>
  <si>
    <t xml:space="preserve">         15 |          4        0.51      100.00</t>
  </si>
  <si>
    <t>Aporte de AF (Frecuencia Consumo</t>
  </si>
  <si>
    <t>6% (n=47)</t>
  </si>
  <si>
    <t>13% (n=103)</t>
  </si>
  <si>
    <t>0,3% (n=2)</t>
  </si>
  <si>
    <t>0,5% (n=4)</t>
  </si>
  <si>
    <t>0,1% (n=1)</t>
  </si>
  <si>
    <t>1,3% (n=10)</t>
  </si>
  <si>
    <t>0,9% (n=7)</t>
  </si>
  <si>
    <t>48,4 % (n=382)</t>
  </si>
  <si>
    <t>24,8% (n=196)</t>
  </si>
  <si>
    <t>2,3% (n=18)</t>
  </si>
  <si>
    <t>0,1%(n=1)</t>
  </si>
  <si>
    <t>1% (n=8)</t>
  </si>
  <si>
    <t>0,8 %(n=6)</t>
  </si>
  <si>
    <t>OSAF</t>
  </si>
  <si>
    <t xml:space="preserve">Aporte de AF </t>
  </si>
  <si>
    <t>Folacid 1 miligramo</t>
  </si>
  <si>
    <t>Folacid 5 miligramos</t>
  </si>
  <si>
    <t>Folifeminaf 5 miligramos</t>
  </si>
  <si>
    <t>Folisanin 1 miligramo</t>
  </si>
  <si>
    <t>Folvit 1 miligramo</t>
  </si>
  <si>
    <t>Fovit 5 miligramos</t>
  </si>
  <si>
    <t>Heliofol 1 miligramo</t>
  </si>
  <si>
    <t>Heliofol 5 miligramos</t>
  </si>
  <si>
    <t>Miliser 1 miligramo</t>
  </si>
  <si>
    <t>Miliser 5 miligramos</t>
  </si>
  <si>
    <t>8,7% (n=58)</t>
  </si>
  <si>
    <t>13,6% (n=91)</t>
  </si>
  <si>
    <t>0,2% (n=1)</t>
  </si>
  <si>
    <t>18,9% (n=126)</t>
  </si>
  <si>
    <t>0,5 (n=3)</t>
  </si>
  <si>
    <t>1,4 % (n=9)</t>
  </si>
  <si>
    <t>20,1%  (n=137)</t>
  </si>
  <si>
    <t>0,5 % (n=3)</t>
  </si>
  <si>
    <t>1,1%  (n=7)</t>
  </si>
  <si>
    <t>0,2 % (n=1)</t>
  </si>
  <si>
    <t>0,9% (n=6)</t>
  </si>
  <si>
    <t>0,5% (n=3)</t>
  </si>
  <si>
    <t>29,2% (n=195)</t>
  </si>
  <si>
    <t>2% (n=13)</t>
  </si>
  <si>
    <t>0,45% (n=3)</t>
  </si>
  <si>
    <t>34% (n=86)</t>
  </si>
  <si>
    <t>6,7% (n=17)</t>
  </si>
  <si>
    <t>0,4% (n=1)</t>
  </si>
  <si>
    <t>7,9% (n=20)</t>
  </si>
  <si>
    <t>15,8 % (n=40)</t>
  </si>
  <si>
    <t>2,4 % (n=6)</t>
  </si>
  <si>
    <t>0,8% (n=2)</t>
  </si>
  <si>
    <t>3,2% (n=8)</t>
  </si>
  <si>
    <t>4,7% (n=12)</t>
  </si>
  <si>
    <t>13,4% (n=34)</t>
  </si>
  <si>
    <t>defecto del tubo neural</t>
  </si>
  <si>
    <t>fecha de nacimiento del RN</t>
  </si>
  <si>
    <t>gestacion multiple</t>
  </si>
  <si>
    <t>falta dato de consumo de pan</t>
  </si>
  <si>
    <t>Falta dato peso materno</t>
  </si>
  <si>
    <t>Falta dato peso recien nacido</t>
  </si>
  <si>
    <t>Falta dato suplemento</t>
  </si>
  <si>
    <t>No especifica tipo de suplemento multivitaminico</t>
  </si>
  <si>
    <t>outlayer</t>
  </si>
  <si>
    <t>Peso pregestacional materno poco fiable</t>
  </si>
  <si>
    <t>Nomenclatura motivo 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</si>
</sst>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-* #,##0_-;\-* #,##0_-;_-* &quot;-&quot;_-;_-@_-"/>
    <numFmt numFmtId="166" formatCode="m/d/yyyy\ h:mm:ss"/>
    <numFmt numFmtId="167" formatCode="0.000"/>
  </numFmts>
  <fonts count="15">
    <font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ptos"/>
    </font>
    <font>
      <sz val="12"/>
      <color rgb="FF000000"/>
      <name val="Arial"/>
      <family val="2"/>
    </font>
    <font>
      <b/>
      <sz val="13"/>
      <color rgb="FF0060AD"/>
      <name val="GobCL"/>
    </font>
    <font>
      <b/>
      <sz val="10"/>
      <color rgb="FF565654"/>
      <name val="GobCL"/>
    </font>
    <font>
      <sz val="9"/>
      <color rgb="FF565654"/>
      <name val="GobCL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</cellStyleXfs>
  <cellXfs count="55">
    <xf numFmtId="0" fontId="0" fillId="0" borderId="0" xfId="0"/>
    <xf numFmtId="166" fontId="3" fillId="0" borderId="0" xfId="0" applyNumberFormat="1" applyFont="1"/>
    <xf numFmtId="14" fontId="3" fillId="0" borderId="0" xfId="0" applyNumberFormat="1" applyFont="1"/>
    <xf numFmtId="0" fontId="3" fillId="0" borderId="0" xfId="0" applyFont="1"/>
    <xf numFmtId="164" fontId="3" fillId="0" borderId="0" xfId="1" applyFont="1" applyFill="1"/>
    <xf numFmtId="165" fontId="1" fillId="0" borderId="0" xfId="2" applyFont="1" applyFill="1"/>
    <xf numFmtId="1" fontId="3" fillId="0" borderId="0" xfId="1" applyNumberFormat="1" applyFont="1" applyFill="1"/>
    <xf numFmtId="3" fontId="3" fillId="0" borderId="0" xfId="0" applyNumberFormat="1" applyFont="1"/>
    <xf numFmtId="0" fontId="12" fillId="0" borderId="0" xfId="0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11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2" fillId="0" borderId="0" xfId="3"/>
    <xf numFmtId="0" fontId="3" fillId="0" borderId="0" xfId="3" applyFont="1" applyAlignment="1">
      <alignment vertical="center" wrapText="1"/>
    </xf>
    <xf numFmtId="0" fontId="11" fillId="0" borderId="0" xfId="3" applyFont="1"/>
    <xf numFmtId="0" fontId="3" fillId="0" borderId="0" xfId="0" applyFont="1" applyAlignment="1">
      <alignment vertical="center" wrapText="1"/>
    </xf>
    <xf numFmtId="0" fontId="3" fillId="0" borderId="0" xfId="3" applyFont="1" applyAlignment="1">
      <alignment vertical="center"/>
    </xf>
    <xf numFmtId="0" fontId="2" fillId="0" borderId="0" xfId="3" applyAlignment="1">
      <alignment vertical="center"/>
    </xf>
    <xf numFmtId="0" fontId="10" fillId="0" borderId="0" xfId="3" applyFont="1" applyAlignment="1">
      <alignment vertical="center"/>
    </xf>
    <xf numFmtId="1" fontId="2" fillId="0" borderId="0" xfId="3" applyNumberFormat="1" applyAlignment="1">
      <alignment vertical="center"/>
    </xf>
    <xf numFmtId="14" fontId="2" fillId="0" borderId="0" xfId="3" applyNumberFormat="1"/>
    <xf numFmtId="0" fontId="4" fillId="0" borderId="0" xfId="0" applyFont="1"/>
    <xf numFmtId="14" fontId="11" fillId="0" borderId="0" xfId="3" applyNumberFormat="1" applyFont="1"/>
    <xf numFmtId="49" fontId="2" fillId="0" borderId="0" xfId="3" applyNumberFormat="1"/>
    <xf numFmtId="0" fontId="9" fillId="0" borderId="0" xfId="3" applyFont="1"/>
    <xf numFmtId="0" fontId="5" fillId="0" borderId="2" xfId="3" applyFont="1" applyBorder="1" applyAlignment="1">
      <alignment horizontal="justify" vertical="center" wrapText="1"/>
    </xf>
    <xf numFmtId="0" fontId="5" fillId="0" borderId="3" xfId="3" applyFont="1" applyBorder="1" applyAlignment="1">
      <alignment horizontal="justify" vertical="center" wrapText="1"/>
    </xf>
    <xf numFmtId="0" fontId="6" fillId="0" borderId="0" xfId="0" applyFont="1"/>
    <xf numFmtId="0" fontId="7" fillId="0" borderId="0" xfId="0" applyFont="1"/>
    <xf numFmtId="0" fontId="5" fillId="0" borderId="4" xfId="3" applyFont="1" applyBorder="1" applyAlignment="1">
      <alignment horizontal="justify" vertical="center" wrapText="1"/>
    </xf>
    <xf numFmtId="0" fontId="8" fillId="0" borderId="0" xfId="0" applyFont="1"/>
    <xf numFmtId="0" fontId="13" fillId="0" borderId="0" xfId="0" applyFont="1" applyAlignment="1">
      <alignment vertical="center" wrapText="1"/>
    </xf>
    <xf numFmtId="0" fontId="9" fillId="0" borderId="0" xfId="3" applyFont="1" applyAlignment="1">
      <alignment vertical="center"/>
    </xf>
    <xf numFmtId="0" fontId="11" fillId="0" borderId="0" xfId="0" applyFont="1"/>
    <xf numFmtId="0" fontId="10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4" fillId="2" borderId="0" xfId="0" applyFont="1" applyFill="1"/>
  </cellXfs>
  <cellStyles count="5">
    <cellStyle name="Comma [0]" xfId="1" builtinId="6"/>
    <cellStyle name="Millares [0] 2" xfId="2" xr:uid="{071AD6E8-759B-1443-ADD1-2427706A30BF}"/>
    <cellStyle name="Normal" xfId="0" builtinId="0"/>
    <cellStyle name="Normal 2" xfId="3" xr:uid="{63FFC842-2F6D-834F-BDEE-AC69F7F959B4}"/>
    <cellStyle name="Normal 3" xfId="4" xr:uid="{50F39D51-629F-F04C-9D82-F0D1F74E27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6054-279F-6643-94E6-5C2409B95CCE}">
  <dimension ref="A1:AG848"/>
  <sheetViews>
    <sheetView workbookViewId="0">
      <selection activeCell="A19" sqref="A19"/>
    </sheetView>
  </sheetViews>
  <sheetFormatPr baseColWidth="10" defaultRowHeight="14"/>
  <cols>
    <col min="1" max="1" width="19.59765625" customWidth="1"/>
    <col min="20" max="20" width="28.796875" customWidth="1"/>
    <col min="27" max="27" width="35" customWidth="1"/>
  </cols>
  <sheetData>
    <row r="1" spans="1:33" ht="15.75" customHeight="1">
      <c r="A1" s="3" t="s">
        <v>0</v>
      </c>
      <c r="B1" s="3" t="s">
        <v>1018</v>
      </c>
      <c r="C1" s="3" t="s">
        <v>1</v>
      </c>
      <c r="D1" s="3" t="s">
        <v>608</v>
      </c>
      <c r="E1" s="3" t="s">
        <v>609</v>
      </c>
      <c r="F1" s="3" t="s">
        <v>610</v>
      </c>
      <c r="G1" s="3" t="s">
        <v>611</v>
      </c>
      <c r="H1" s="3" t="s">
        <v>2</v>
      </c>
      <c r="I1" s="3" t="s">
        <v>612</v>
      </c>
      <c r="J1" s="3" t="s">
        <v>613</v>
      </c>
      <c r="K1" s="3" t="s">
        <v>1019</v>
      </c>
      <c r="L1" s="3" t="s">
        <v>614</v>
      </c>
      <c r="M1" s="3" t="s">
        <v>1020</v>
      </c>
      <c r="N1" s="3" t="s">
        <v>1021</v>
      </c>
      <c r="O1" s="3" t="s">
        <v>5</v>
      </c>
      <c r="P1" s="3" t="s">
        <v>8</v>
      </c>
      <c r="Q1" s="3" t="s">
        <v>9</v>
      </c>
      <c r="R1" s="3" t="s">
        <v>1015</v>
      </c>
      <c r="S1" s="3" t="s">
        <v>11</v>
      </c>
      <c r="T1" s="3" t="s">
        <v>12</v>
      </c>
      <c r="U1" s="3" t="s">
        <v>1022</v>
      </c>
      <c r="V1" s="3" t="s">
        <v>13</v>
      </c>
      <c r="W1" s="3" t="s">
        <v>14</v>
      </c>
      <c r="X1" s="3" t="s">
        <v>15</v>
      </c>
      <c r="Y1" s="3" t="s">
        <v>1023</v>
      </c>
      <c r="Z1" s="3" t="s">
        <v>16</v>
      </c>
      <c r="AA1" s="3" t="s">
        <v>17</v>
      </c>
      <c r="AB1" s="3" t="s">
        <v>18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</row>
    <row r="2" spans="1:33" ht="15.75" customHeight="1">
      <c r="A2" s="1">
        <v>45146.857127129631</v>
      </c>
      <c r="B2" s="3" t="s">
        <v>1024</v>
      </c>
      <c r="C2" s="2">
        <v>31767</v>
      </c>
      <c r="D2" s="3">
        <v>36</v>
      </c>
      <c r="E2" s="3" t="s">
        <v>510</v>
      </c>
      <c r="F2" s="3" t="s">
        <v>521</v>
      </c>
      <c r="G2" s="3" t="s">
        <v>540</v>
      </c>
      <c r="H2" s="2">
        <v>44606</v>
      </c>
      <c r="I2" s="3">
        <v>1</v>
      </c>
      <c r="J2" s="3" t="s">
        <v>542</v>
      </c>
      <c r="K2" s="3">
        <v>1880</v>
      </c>
      <c r="L2" s="3">
        <v>34</v>
      </c>
      <c r="M2" s="3">
        <v>52</v>
      </c>
      <c r="N2" s="3">
        <v>65</v>
      </c>
      <c r="O2" s="3">
        <v>155</v>
      </c>
      <c r="P2" s="3" t="s">
        <v>25</v>
      </c>
      <c r="Q2" s="3" t="s">
        <v>26</v>
      </c>
      <c r="S2" s="3" t="s">
        <v>664</v>
      </c>
      <c r="T2" s="3" t="s">
        <v>27</v>
      </c>
      <c r="U2" s="3">
        <v>7</v>
      </c>
      <c r="V2" s="3">
        <v>1</v>
      </c>
      <c r="W2" s="3" t="s">
        <v>26</v>
      </c>
      <c r="AA2" s="3" t="s">
        <v>28</v>
      </c>
      <c r="AB2" s="3" t="s">
        <v>29</v>
      </c>
      <c r="AC2" s="3" t="s">
        <v>664</v>
      </c>
      <c r="AD2" s="3" t="s">
        <v>30</v>
      </c>
      <c r="AE2" s="3" t="s">
        <v>31</v>
      </c>
      <c r="AF2" s="3" t="s">
        <v>664</v>
      </c>
      <c r="AG2" s="3" t="s">
        <v>32</v>
      </c>
    </row>
    <row r="3" spans="1:33" ht="15.75" customHeight="1">
      <c r="A3" s="1">
        <v>45147.348693136577</v>
      </c>
      <c r="B3" s="3" t="s">
        <v>1024</v>
      </c>
      <c r="C3" s="2">
        <v>30940</v>
      </c>
      <c r="D3" s="3">
        <v>38</v>
      </c>
      <c r="E3" s="3" t="s">
        <v>515</v>
      </c>
      <c r="F3" s="3" t="s">
        <v>520</v>
      </c>
      <c r="G3" s="3" t="s">
        <v>540</v>
      </c>
      <c r="H3" s="2">
        <v>45051</v>
      </c>
      <c r="I3" s="3">
        <v>3</v>
      </c>
      <c r="J3" s="3" t="s">
        <v>542</v>
      </c>
      <c r="K3" s="3">
        <v>3480</v>
      </c>
      <c r="L3" s="3" t="s">
        <v>615</v>
      </c>
      <c r="M3" s="3">
        <v>68</v>
      </c>
      <c r="N3" s="3">
        <v>79</v>
      </c>
      <c r="O3" s="3">
        <v>162</v>
      </c>
      <c r="P3" s="3" t="s">
        <v>33</v>
      </c>
      <c r="Q3" s="3" t="s">
        <v>26</v>
      </c>
      <c r="S3" s="3" t="s">
        <v>664</v>
      </c>
      <c r="T3" s="3" t="s">
        <v>27</v>
      </c>
      <c r="U3" s="3">
        <v>7</v>
      </c>
      <c r="V3" s="3">
        <v>1</v>
      </c>
      <c r="W3" s="3" t="s">
        <v>34</v>
      </c>
      <c r="X3" s="3" t="s">
        <v>35</v>
      </c>
      <c r="Y3" s="3">
        <v>7</v>
      </c>
      <c r="Z3" s="3">
        <v>1</v>
      </c>
      <c r="AA3" s="3" t="s">
        <v>36</v>
      </c>
      <c r="AB3" s="3" t="s">
        <v>29</v>
      </c>
      <c r="AC3" s="3" t="s">
        <v>664</v>
      </c>
      <c r="AD3" s="3" t="s">
        <v>37</v>
      </c>
      <c r="AE3" s="3" t="s">
        <v>38</v>
      </c>
      <c r="AF3" s="3" t="s">
        <v>664</v>
      </c>
      <c r="AG3" s="3" t="s">
        <v>39</v>
      </c>
    </row>
    <row r="4" spans="1:33" ht="15.75" customHeight="1">
      <c r="A4" s="1">
        <v>45147.416003124999</v>
      </c>
      <c r="B4" s="3" t="s">
        <v>1024</v>
      </c>
      <c r="C4" s="2">
        <v>30206</v>
      </c>
      <c r="D4" s="3" t="s">
        <v>1025</v>
      </c>
      <c r="E4" s="3" t="s">
        <v>510</v>
      </c>
      <c r="F4" s="3" t="s">
        <v>520</v>
      </c>
      <c r="G4" s="3" t="s">
        <v>540</v>
      </c>
      <c r="H4" s="2">
        <v>30201</v>
      </c>
      <c r="I4" s="3">
        <v>1</v>
      </c>
      <c r="J4" s="3" t="s">
        <v>541</v>
      </c>
      <c r="K4" s="3" t="s">
        <v>1026</v>
      </c>
      <c r="L4" s="3" t="s">
        <v>616</v>
      </c>
      <c r="M4" s="3" t="s">
        <v>1027</v>
      </c>
      <c r="N4" s="3" t="s">
        <v>1028</v>
      </c>
      <c r="O4" s="3" t="s">
        <v>1029</v>
      </c>
      <c r="P4" s="3" t="s">
        <v>33</v>
      </c>
      <c r="Q4" s="3" t="s">
        <v>26</v>
      </c>
      <c r="S4" s="3" t="s">
        <v>664</v>
      </c>
      <c r="T4" s="3" t="s">
        <v>43</v>
      </c>
      <c r="U4" s="3">
        <v>7</v>
      </c>
      <c r="V4" s="3">
        <v>1</v>
      </c>
      <c r="W4" s="3" t="s">
        <v>34</v>
      </c>
      <c r="X4" s="3" t="s">
        <v>617</v>
      </c>
      <c r="Y4" s="3">
        <v>7</v>
      </c>
      <c r="Z4" s="3">
        <v>1</v>
      </c>
      <c r="AA4" s="3" t="s">
        <v>28</v>
      </c>
      <c r="AB4" s="3" t="s">
        <v>29</v>
      </c>
      <c r="AC4" s="3" t="s">
        <v>26</v>
      </c>
      <c r="AE4" s="3" t="s">
        <v>159</v>
      </c>
      <c r="AF4" s="3" t="s">
        <v>26</v>
      </c>
    </row>
    <row r="5" spans="1:33" ht="15.75" customHeight="1">
      <c r="A5" s="1">
        <v>45147.467711226855</v>
      </c>
      <c r="B5" s="3" t="s">
        <v>1024</v>
      </c>
      <c r="C5" s="2">
        <v>30825</v>
      </c>
      <c r="D5" s="3">
        <v>39</v>
      </c>
      <c r="E5" s="3" t="s">
        <v>510</v>
      </c>
      <c r="F5" s="3" t="s">
        <v>520</v>
      </c>
      <c r="G5" s="3" t="s">
        <v>538</v>
      </c>
      <c r="H5" s="2">
        <v>44922</v>
      </c>
      <c r="I5" s="3">
        <v>3</v>
      </c>
      <c r="J5" s="3" t="s">
        <v>541</v>
      </c>
      <c r="K5" s="3" t="s">
        <v>1030</v>
      </c>
      <c r="L5" s="3" t="s">
        <v>618</v>
      </c>
      <c r="M5" s="3" t="s">
        <v>1031</v>
      </c>
      <c r="N5" s="3" t="s">
        <v>1032</v>
      </c>
      <c r="O5" s="3">
        <v>159</v>
      </c>
      <c r="P5" s="3" t="s">
        <v>40</v>
      </c>
      <c r="Q5" s="3" t="s">
        <v>26</v>
      </c>
      <c r="S5" s="3" t="s">
        <v>664</v>
      </c>
      <c r="T5" s="3" t="s">
        <v>41</v>
      </c>
      <c r="U5" s="3">
        <v>7</v>
      </c>
      <c r="V5" s="3">
        <v>1</v>
      </c>
      <c r="W5" s="3" t="s">
        <v>26</v>
      </c>
      <c r="AA5" s="3" t="s">
        <v>42</v>
      </c>
      <c r="AB5" s="3" t="s">
        <v>29</v>
      </c>
      <c r="AC5" s="3" t="s">
        <v>664</v>
      </c>
      <c r="AD5" s="3" t="s">
        <v>37</v>
      </c>
      <c r="AE5" s="3" t="s">
        <v>38</v>
      </c>
      <c r="AF5" s="3" t="s">
        <v>664</v>
      </c>
      <c r="AG5" s="3" t="s">
        <v>32</v>
      </c>
    </row>
    <row r="6" spans="1:33" ht="15.75" customHeight="1">
      <c r="A6" s="1">
        <v>45147.482076215281</v>
      </c>
      <c r="B6" s="3" t="s">
        <v>1024</v>
      </c>
      <c r="C6" s="2">
        <v>30215</v>
      </c>
      <c r="D6" s="3">
        <v>40</v>
      </c>
      <c r="E6" s="3" t="s">
        <v>510</v>
      </c>
      <c r="F6" s="3" t="s">
        <v>520</v>
      </c>
      <c r="G6" s="3" t="s">
        <v>539</v>
      </c>
      <c r="H6" s="2">
        <v>43911</v>
      </c>
      <c r="I6" s="3">
        <v>2</v>
      </c>
      <c r="J6" s="3" t="s">
        <v>541</v>
      </c>
      <c r="K6" s="3" t="s">
        <v>1033</v>
      </c>
      <c r="L6" s="3" t="s">
        <v>619</v>
      </c>
      <c r="M6" s="3">
        <v>55</v>
      </c>
      <c r="N6" s="3">
        <v>61</v>
      </c>
      <c r="O6" s="3">
        <v>155</v>
      </c>
      <c r="P6" s="3" t="s">
        <v>33</v>
      </c>
      <c r="Q6" s="3" t="s">
        <v>26</v>
      </c>
      <c r="S6" s="3" t="s">
        <v>664</v>
      </c>
      <c r="T6" s="3" t="s">
        <v>43</v>
      </c>
      <c r="U6" s="3">
        <v>7</v>
      </c>
      <c r="V6" s="3">
        <v>1</v>
      </c>
      <c r="W6" s="3" t="s">
        <v>26</v>
      </c>
      <c r="AA6" s="3" t="s">
        <v>28</v>
      </c>
      <c r="AB6" s="3" t="s">
        <v>29</v>
      </c>
      <c r="AC6" s="3" t="s">
        <v>664</v>
      </c>
      <c r="AD6" s="3" t="s">
        <v>30</v>
      </c>
      <c r="AE6" s="3" t="s">
        <v>38</v>
      </c>
      <c r="AF6" s="3" t="s">
        <v>664</v>
      </c>
      <c r="AG6" s="3" t="s">
        <v>39</v>
      </c>
    </row>
    <row r="7" spans="1:33" ht="15.75" customHeight="1">
      <c r="A7" s="1">
        <v>45147.491144085652</v>
      </c>
      <c r="B7" s="3" t="s">
        <v>1024</v>
      </c>
      <c r="C7" s="2">
        <v>33045</v>
      </c>
      <c r="D7" s="3">
        <v>33</v>
      </c>
      <c r="E7" s="3" t="s">
        <v>510</v>
      </c>
      <c r="F7" s="3" t="s">
        <v>520</v>
      </c>
      <c r="G7" s="3" t="s">
        <v>540</v>
      </c>
      <c r="H7" s="2">
        <v>45118</v>
      </c>
      <c r="I7" s="3">
        <v>2</v>
      </c>
      <c r="J7" s="3" t="s">
        <v>542</v>
      </c>
      <c r="K7" s="3">
        <v>3660</v>
      </c>
      <c r="L7" s="3" t="s">
        <v>618</v>
      </c>
      <c r="M7" s="3">
        <v>94</v>
      </c>
      <c r="N7" s="3">
        <v>102</v>
      </c>
      <c r="O7" s="3">
        <v>166</v>
      </c>
      <c r="P7" s="3" t="s">
        <v>44</v>
      </c>
      <c r="Q7" s="3" t="s">
        <v>26</v>
      </c>
      <c r="S7" s="3" t="s">
        <v>664</v>
      </c>
      <c r="T7" s="3" t="s">
        <v>27</v>
      </c>
      <c r="U7" s="3">
        <v>7</v>
      </c>
      <c r="V7" s="3">
        <v>1</v>
      </c>
      <c r="W7" s="3" t="s">
        <v>34</v>
      </c>
      <c r="X7" s="3" t="s">
        <v>45</v>
      </c>
      <c r="Y7" s="3">
        <v>7</v>
      </c>
      <c r="Z7" s="3">
        <v>1</v>
      </c>
      <c r="AA7" s="3" t="s">
        <v>28</v>
      </c>
      <c r="AB7" s="3" t="s">
        <v>46</v>
      </c>
      <c r="AC7" s="3" t="s">
        <v>664</v>
      </c>
      <c r="AD7" s="3" t="s">
        <v>47</v>
      </c>
      <c r="AE7" s="3" t="s">
        <v>38</v>
      </c>
      <c r="AF7" s="3" t="s">
        <v>664</v>
      </c>
      <c r="AG7" s="3" t="s">
        <v>48</v>
      </c>
    </row>
    <row r="8" spans="1:33" ht="15.75" customHeight="1">
      <c r="A8" s="1">
        <v>45147.493912962964</v>
      </c>
      <c r="B8" s="3" t="s">
        <v>1024</v>
      </c>
      <c r="C8" s="2">
        <v>32362</v>
      </c>
      <c r="D8" s="3">
        <v>35</v>
      </c>
      <c r="E8" s="3" t="s">
        <v>510</v>
      </c>
      <c r="F8" s="3" t="s">
        <v>520</v>
      </c>
      <c r="G8" s="3" t="s">
        <v>540</v>
      </c>
      <c r="H8" s="2">
        <v>44674</v>
      </c>
      <c r="I8" s="3">
        <v>2</v>
      </c>
      <c r="J8" s="3" t="s">
        <v>542</v>
      </c>
      <c r="K8" s="3">
        <v>4030</v>
      </c>
      <c r="L8" s="3" t="s">
        <v>616</v>
      </c>
      <c r="M8" s="3">
        <v>62</v>
      </c>
      <c r="N8" s="3">
        <v>82</v>
      </c>
      <c r="O8" s="3">
        <v>158</v>
      </c>
      <c r="P8" s="3" t="s">
        <v>33</v>
      </c>
      <c r="Q8" s="3" t="s">
        <v>26</v>
      </c>
      <c r="S8" s="3" t="s">
        <v>664</v>
      </c>
      <c r="T8" s="3" t="s">
        <v>43</v>
      </c>
      <c r="U8" s="3">
        <v>6</v>
      </c>
      <c r="V8" s="3">
        <v>1</v>
      </c>
      <c r="W8" s="3" t="s">
        <v>26</v>
      </c>
      <c r="AA8" s="3" t="s">
        <v>49</v>
      </c>
      <c r="AB8" s="3" t="s">
        <v>29</v>
      </c>
      <c r="AC8" s="3" t="s">
        <v>664</v>
      </c>
      <c r="AD8" s="3" t="s">
        <v>30</v>
      </c>
      <c r="AE8" s="3" t="s">
        <v>38</v>
      </c>
      <c r="AF8" s="3" t="s">
        <v>664</v>
      </c>
      <c r="AG8" s="3" t="s">
        <v>39</v>
      </c>
    </row>
    <row r="9" spans="1:33" ht="15.75" customHeight="1">
      <c r="A9" s="1">
        <v>45155.875914629629</v>
      </c>
      <c r="B9" s="3" t="s">
        <v>1024</v>
      </c>
      <c r="C9" s="2">
        <v>33900</v>
      </c>
      <c r="D9" s="3">
        <v>30</v>
      </c>
      <c r="E9" s="3" t="s">
        <v>510</v>
      </c>
      <c r="F9" s="3" t="s">
        <v>523</v>
      </c>
      <c r="G9" s="3" t="s">
        <v>540</v>
      </c>
      <c r="H9" s="2">
        <v>43304</v>
      </c>
      <c r="I9" s="3">
        <v>1</v>
      </c>
      <c r="J9" s="3" t="s">
        <v>541</v>
      </c>
      <c r="K9" s="3">
        <v>3520</v>
      </c>
      <c r="L9" s="3" t="s">
        <v>616</v>
      </c>
      <c r="M9" s="3">
        <v>71</v>
      </c>
      <c r="N9" s="3">
        <v>80</v>
      </c>
      <c r="O9" s="3">
        <v>170</v>
      </c>
      <c r="P9" s="3" t="s">
        <v>33</v>
      </c>
      <c r="Q9" s="3" t="s">
        <v>26</v>
      </c>
      <c r="S9" s="3" t="s">
        <v>664</v>
      </c>
      <c r="T9" s="3" t="s">
        <v>620</v>
      </c>
      <c r="U9" s="3">
        <v>1</v>
      </c>
      <c r="V9" s="3">
        <v>1</v>
      </c>
      <c r="W9" s="3" t="s">
        <v>34</v>
      </c>
      <c r="X9" s="3" t="s">
        <v>621</v>
      </c>
      <c r="Y9" s="3">
        <v>7</v>
      </c>
      <c r="Z9" s="3">
        <v>2</v>
      </c>
      <c r="AA9" s="3" t="s">
        <v>49</v>
      </c>
      <c r="AB9" s="3" t="s">
        <v>557</v>
      </c>
      <c r="AC9" s="3" t="s">
        <v>664</v>
      </c>
      <c r="AD9" s="3" t="s">
        <v>589</v>
      </c>
      <c r="AE9" s="3" t="s">
        <v>31</v>
      </c>
      <c r="AF9" s="3" t="s">
        <v>664</v>
      </c>
      <c r="AG9" s="3" t="s">
        <v>48</v>
      </c>
    </row>
    <row r="10" spans="1:33" ht="15.75" customHeight="1">
      <c r="A10" s="1">
        <v>45155.886183148148</v>
      </c>
      <c r="B10" s="3" t="s">
        <v>1024</v>
      </c>
      <c r="C10" s="2">
        <v>34347</v>
      </c>
      <c r="D10" s="3">
        <v>29</v>
      </c>
      <c r="E10" s="3" t="s">
        <v>510</v>
      </c>
      <c r="F10" s="3" t="s">
        <v>523</v>
      </c>
      <c r="G10" s="3" t="s">
        <v>539</v>
      </c>
      <c r="H10" s="2">
        <v>43347</v>
      </c>
      <c r="I10" s="3">
        <v>1</v>
      </c>
      <c r="J10" s="3" t="s">
        <v>541</v>
      </c>
      <c r="K10" s="3" t="s">
        <v>1034</v>
      </c>
      <c r="L10" s="3" t="s">
        <v>622</v>
      </c>
      <c r="M10" s="3">
        <v>68</v>
      </c>
      <c r="N10" s="3">
        <v>75</v>
      </c>
      <c r="O10" s="3">
        <v>168</v>
      </c>
      <c r="P10" s="3" t="s">
        <v>50</v>
      </c>
      <c r="Q10" s="3" t="s">
        <v>26</v>
      </c>
      <c r="S10" s="3" t="s">
        <v>26</v>
      </c>
      <c r="W10" s="3" t="s">
        <v>26</v>
      </c>
      <c r="AA10" s="3" t="s">
        <v>51</v>
      </c>
      <c r="AB10" s="3" t="s">
        <v>52</v>
      </c>
      <c r="AC10" s="3" t="s">
        <v>664</v>
      </c>
      <c r="AD10" s="3" t="s">
        <v>30</v>
      </c>
      <c r="AE10" s="3" t="s">
        <v>31</v>
      </c>
      <c r="AF10" s="3" t="s">
        <v>664</v>
      </c>
      <c r="AG10" s="3" t="s">
        <v>39</v>
      </c>
    </row>
    <row r="11" spans="1:33" ht="15.75" customHeight="1">
      <c r="A11" s="1">
        <v>45156.83887644676</v>
      </c>
      <c r="B11" s="3" t="s">
        <v>1024</v>
      </c>
      <c r="C11" s="2">
        <v>31377</v>
      </c>
      <c r="D11" s="3">
        <v>37</v>
      </c>
      <c r="E11" s="3" t="s">
        <v>510</v>
      </c>
      <c r="F11" s="3" t="s">
        <v>523</v>
      </c>
      <c r="G11" s="3" t="s">
        <v>540</v>
      </c>
      <c r="H11" s="2">
        <v>44938</v>
      </c>
      <c r="I11" s="3">
        <v>1</v>
      </c>
      <c r="J11" s="3" t="s">
        <v>541</v>
      </c>
      <c r="K11" s="3">
        <v>3720</v>
      </c>
      <c r="L11" s="3" t="s">
        <v>623</v>
      </c>
      <c r="M11" s="3">
        <v>88</v>
      </c>
      <c r="N11" s="3">
        <v>97</v>
      </c>
      <c r="O11" s="3">
        <v>166</v>
      </c>
      <c r="P11" s="3" t="s">
        <v>33</v>
      </c>
      <c r="Q11" s="3" t="s">
        <v>26</v>
      </c>
      <c r="S11" s="3" t="s">
        <v>664</v>
      </c>
      <c r="T11" s="3" t="s">
        <v>53</v>
      </c>
      <c r="U11" s="3">
        <v>7</v>
      </c>
      <c r="V11" s="3">
        <v>1</v>
      </c>
      <c r="W11" s="3" t="s">
        <v>34</v>
      </c>
      <c r="X11" s="3" t="s">
        <v>35</v>
      </c>
      <c r="Y11" s="3">
        <v>7</v>
      </c>
      <c r="Z11" s="3">
        <v>1</v>
      </c>
      <c r="AA11" s="3" t="s">
        <v>54</v>
      </c>
      <c r="AB11" s="3" t="s">
        <v>29</v>
      </c>
      <c r="AC11" s="3" t="s">
        <v>664</v>
      </c>
      <c r="AD11" s="3" t="s">
        <v>55</v>
      </c>
      <c r="AE11" s="3" t="s">
        <v>38</v>
      </c>
      <c r="AF11" s="3" t="s">
        <v>664</v>
      </c>
      <c r="AG11" s="3" t="s">
        <v>39</v>
      </c>
    </row>
    <row r="12" spans="1:33" ht="15.75" customHeight="1">
      <c r="A12" s="1">
        <v>45160.580439942132</v>
      </c>
      <c r="B12" s="3" t="s">
        <v>1024</v>
      </c>
      <c r="C12" s="2">
        <v>31577</v>
      </c>
      <c r="D12" s="3">
        <v>37</v>
      </c>
      <c r="E12" s="3" t="s">
        <v>510</v>
      </c>
      <c r="F12" s="3" t="s">
        <v>520</v>
      </c>
      <c r="G12" s="3" t="s">
        <v>540</v>
      </c>
      <c r="H12" s="2">
        <v>43044</v>
      </c>
      <c r="I12" s="3">
        <v>2</v>
      </c>
      <c r="J12" s="3" t="s">
        <v>541</v>
      </c>
      <c r="K12" s="3">
        <v>3410</v>
      </c>
      <c r="L12" s="3">
        <v>38</v>
      </c>
      <c r="M12" s="3">
        <v>55</v>
      </c>
      <c r="N12" s="3">
        <v>69</v>
      </c>
      <c r="O12" s="3">
        <v>162</v>
      </c>
      <c r="P12" s="3" t="s">
        <v>33</v>
      </c>
      <c r="Q12" s="3" t="s">
        <v>26</v>
      </c>
      <c r="S12" s="3" t="s">
        <v>664</v>
      </c>
      <c r="T12" s="3" t="s">
        <v>27</v>
      </c>
      <c r="U12" s="3">
        <v>7</v>
      </c>
      <c r="V12" s="3">
        <v>1</v>
      </c>
      <c r="W12" s="3" t="s">
        <v>34</v>
      </c>
      <c r="Y12" s="3">
        <v>7</v>
      </c>
      <c r="Z12" s="3">
        <v>1</v>
      </c>
      <c r="AA12" s="3" t="s">
        <v>54</v>
      </c>
      <c r="AB12" s="3" t="s">
        <v>29</v>
      </c>
      <c r="AC12" s="3" t="s">
        <v>664</v>
      </c>
      <c r="AD12" s="3" t="s">
        <v>59</v>
      </c>
      <c r="AE12" s="3" t="s">
        <v>31</v>
      </c>
      <c r="AF12" s="3" t="s">
        <v>664</v>
      </c>
      <c r="AG12" s="3" t="s">
        <v>48</v>
      </c>
    </row>
    <row r="13" spans="1:33" ht="15.75" customHeight="1">
      <c r="A13" s="1">
        <v>45160.584606203702</v>
      </c>
      <c r="B13" s="3" t="s">
        <v>1024</v>
      </c>
      <c r="C13" s="2">
        <v>29403</v>
      </c>
      <c r="D13" s="3">
        <v>43</v>
      </c>
      <c r="E13" s="3" t="s">
        <v>510</v>
      </c>
      <c r="F13" s="3" t="s">
        <v>520</v>
      </c>
      <c r="G13" s="3" t="s">
        <v>540</v>
      </c>
      <c r="H13" s="2">
        <v>42884</v>
      </c>
      <c r="I13" s="3">
        <v>2</v>
      </c>
      <c r="J13" s="3" t="s">
        <v>541</v>
      </c>
      <c r="K13" s="3" t="s">
        <v>1035</v>
      </c>
      <c r="L13" s="3" t="s">
        <v>624</v>
      </c>
      <c r="M13" s="3">
        <v>67</v>
      </c>
      <c r="N13" s="3">
        <v>75</v>
      </c>
      <c r="O13" s="3">
        <v>158</v>
      </c>
      <c r="P13" s="3" t="s">
        <v>33</v>
      </c>
      <c r="Q13" s="3" t="s">
        <v>26</v>
      </c>
      <c r="S13" s="3" t="s">
        <v>664</v>
      </c>
      <c r="T13" s="3" t="s">
        <v>27</v>
      </c>
      <c r="U13" s="3">
        <v>7</v>
      </c>
      <c r="V13" s="3">
        <v>1</v>
      </c>
      <c r="W13" s="3" t="s">
        <v>26</v>
      </c>
      <c r="AA13" s="3" t="s">
        <v>49</v>
      </c>
      <c r="AB13" s="3" t="s">
        <v>29</v>
      </c>
      <c r="AC13" s="3" t="s">
        <v>664</v>
      </c>
      <c r="AD13" s="3" t="s">
        <v>30</v>
      </c>
      <c r="AE13" s="3" t="s">
        <v>31</v>
      </c>
      <c r="AF13" s="3" t="s">
        <v>664</v>
      </c>
      <c r="AG13" s="3" t="s">
        <v>39</v>
      </c>
    </row>
    <row r="14" spans="1:33" ht="15.75" customHeight="1">
      <c r="A14" s="1">
        <v>45160.588644502313</v>
      </c>
      <c r="B14" s="3" t="s">
        <v>1024</v>
      </c>
      <c r="C14" s="2">
        <v>33163</v>
      </c>
      <c r="D14" s="3">
        <v>32</v>
      </c>
      <c r="E14" s="3" t="s">
        <v>510</v>
      </c>
      <c r="F14" s="3" t="s">
        <v>520</v>
      </c>
      <c r="G14" s="3" t="s">
        <v>540</v>
      </c>
      <c r="H14" s="2">
        <v>44920</v>
      </c>
      <c r="I14" s="3">
        <v>1</v>
      </c>
      <c r="J14" s="3" t="s">
        <v>542</v>
      </c>
      <c r="K14" s="3">
        <v>3610</v>
      </c>
      <c r="L14" s="3" t="s">
        <v>625</v>
      </c>
      <c r="M14" s="3">
        <v>61</v>
      </c>
      <c r="N14" s="3">
        <v>79</v>
      </c>
      <c r="O14" s="3">
        <v>163</v>
      </c>
      <c r="P14" s="3" t="s">
        <v>33</v>
      </c>
      <c r="Q14" s="3" t="s">
        <v>26</v>
      </c>
      <c r="S14" s="3" t="s">
        <v>664</v>
      </c>
      <c r="U14" s="3">
        <v>7</v>
      </c>
      <c r="V14" s="3">
        <v>1</v>
      </c>
      <c r="W14" s="3" t="s">
        <v>26</v>
      </c>
      <c r="AA14" s="3" t="s">
        <v>28</v>
      </c>
      <c r="AB14" s="3" t="s">
        <v>29</v>
      </c>
      <c r="AC14" s="3" t="s">
        <v>664</v>
      </c>
      <c r="AD14" s="3" t="s">
        <v>37</v>
      </c>
      <c r="AE14" s="3" t="s">
        <v>38</v>
      </c>
      <c r="AF14" s="3" t="s">
        <v>664</v>
      </c>
      <c r="AG14" s="3" t="s">
        <v>39</v>
      </c>
    </row>
    <row r="15" spans="1:33" ht="15.75" customHeight="1">
      <c r="A15" s="1">
        <v>45160.5930090162</v>
      </c>
      <c r="B15" s="3" t="s">
        <v>1024</v>
      </c>
      <c r="C15" s="2">
        <v>29924</v>
      </c>
      <c r="D15" s="3">
        <v>42</v>
      </c>
      <c r="E15" s="3" t="s">
        <v>510</v>
      </c>
      <c r="F15" s="3" t="s">
        <v>527</v>
      </c>
      <c r="G15" s="3" t="s">
        <v>539</v>
      </c>
      <c r="H15" s="2">
        <v>43522</v>
      </c>
      <c r="I15" s="3">
        <v>1</v>
      </c>
      <c r="J15" s="3" t="s">
        <v>542</v>
      </c>
      <c r="K15" s="3">
        <v>3350</v>
      </c>
      <c r="L15" s="3">
        <v>37</v>
      </c>
      <c r="M15" s="3">
        <v>62</v>
      </c>
      <c r="N15" s="3">
        <v>85</v>
      </c>
      <c r="O15" s="3">
        <v>159</v>
      </c>
      <c r="P15" s="3" t="s">
        <v>25</v>
      </c>
      <c r="Q15" s="3" t="s">
        <v>26</v>
      </c>
      <c r="S15" s="3" t="s">
        <v>664</v>
      </c>
      <c r="T15" s="3" t="s">
        <v>56</v>
      </c>
      <c r="U15" s="3">
        <v>7</v>
      </c>
      <c r="V15" s="3">
        <v>1</v>
      </c>
      <c r="W15" s="3" t="s">
        <v>26</v>
      </c>
      <c r="AA15" s="3" t="s">
        <v>49</v>
      </c>
      <c r="AB15" s="3" t="s">
        <v>29</v>
      </c>
      <c r="AC15" s="3" t="s">
        <v>664</v>
      </c>
      <c r="AD15" s="3" t="s">
        <v>37</v>
      </c>
      <c r="AE15" s="3" t="s">
        <v>31</v>
      </c>
      <c r="AF15" s="3" t="s">
        <v>664</v>
      </c>
      <c r="AG15" s="3" t="s">
        <v>39</v>
      </c>
    </row>
    <row r="16" spans="1:33" ht="15.75" customHeight="1">
      <c r="A16" s="1">
        <v>45160.60805840278</v>
      </c>
      <c r="B16" s="3" t="s">
        <v>1024</v>
      </c>
      <c r="C16" s="2">
        <v>31112</v>
      </c>
      <c r="D16" s="3">
        <v>38</v>
      </c>
      <c r="E16" s="3" t="s">
        <v>511</v>
      </c>
      <c r="F16" s="3" t="s">
        <v>523</v>
      </c>
      <c r="G16" s="3" t="s">
        <v>540</v>
      </c>
      <c r="H16" s="2">
        <v>44750</v>
      </c>
      <c r="I16" s="3">
        <v>3</v>
      </c>
      <c r="J16" s="3" t="s">
        <v>542</v>
      </c>
      <c r="K16" s="3">
        <v>2860</v>
      </c>
      <c r="L16" s="3">
        <v>37</v>
      </c>
      <c r="M16" s="3">
        <v>75</v>
      </c>
      <c r="N16" s="3">
        <v>81</v>
      </c>
      <c r="O16" s="3">
        <v>164</v>
      </c>
      <c r="P16" s="3" t="s">
        <v>33</v>
      </c>
      <c r="Q16" s="3" t="s">
        <v>26</v>
      </c>
      <c r="S16" s="3" t="s">
        <v>664</v>
      </c>
      <c r="T16" s="3" t="s">
        <v>57</v>
      </c>
      <c r="U16" s="3">
        <v>7</v>
      </c>
      <c r="V16" s="3">
        <v>1</v>
      </c>
      <c r="W16" s="3" t="s">
        <v>34</v>
      </c>
      <c r="Y16" s="3">
        <v>7</v>
      </c>
      <c r="Z16" s="3">
        <v>1</v>
      </c>
      <c r="AA16" s="3" t="s">
        <v>49</v>
      </c>
      <c r="AB16" s="3" t="s">
        <v>113</v>
      </c>
      <c r="AC16" s="3" t="s">
        <v>664</v>
      </c>
      <c r="AD16" s="3" t="s">
        <v>37</v>
      </c>
      <c r="AE16" s="3" t="s">
        <v>31</v>
      </c>
      <c r="AF16" s="3" t="s">
        <v>664</v>
      </c>
      <c r="AG16" s="3" t="s">
        <v>32</v>
      </c>
    </row>
    <row r="17" spans="1:33" ht="15.75" customHeight="1">
      <c r="A17" s="1">
        <v>45160.622336655091</v>
      </c>
      <c r="B17" s="3" t="s">
        <v>1024</v>
      </c>
      <c r="C17" s="2">
        <v>34400</v>
      </c>
      <c r="D17" s="3">
        <v>29</v>
      </c>
      <c r="E17" s="3" t="s">
        <v>510</v>
      </c>
      <c r="F17" s="3" t="s">
        <v>520</v>
      </c>
      <c r="G17" s="3" t="s">
        <v>540</v>
      </c>
      <c r="H17" s="2">
        <v>34461</v>
      </c>
      <c r="I17" s="3">
        <v>1</v>
      </c>
      <c r="J17" s="3" t="s">
        <v>541</v>
      </c>
      <c r="K17" s="3">
        <v>2640</v>
      </c>
      <c r="L17" s="3">
        <v>37</v>
      </c>
      <c r="M17" s="3">
        <v>52</v>
      </c>
      <c r="N17" s="3">
        <v>58</v>
      </c>
      <c r="O17" s="3">
        <v>150</v>
      </c>
      <c r="P17" s="3" t="s">
        <v>33</v>
      </c>
      <c r="Q17" s="3" t="s">
        <v>34</v>
      </c>
      <c r="R17" s="3" t="s">
        <v>626</v>
      </c>
      <c r="S17" s="3" t="s">
        <v>664</v>
      </c>
      <c r="T17" s="3" t="s">
        <v>71</v>
      </c>
      <c r="U17" s="3">
        <v>5</v>
      </c>
      <c r="V17" s="3">
        <v>1</v>
      </c>
      <c r="W17" s="3" t="s">
        <v>34</v>
      </c>
      <c r="X17" s="3" t="s">
        <v>71</v>
      </c>
      <c r="Y17" s="3">
        <v>5</v>
      </c>
      <c r="Z17" s="3">
        <v>1</v>
      </c>
      <c r="AA17" s="3" t="s">
        <v>36</v>
      </c>
      <c r="AB17" s="3" t="s">
        <v>443</v>
      </c>
      <c r="AC17" s="3" t="s">
        <v>664</v>
      </c>
      <c r="AD17" s="3" t="s">
        <v>55</v>
      </c>
      <c r="AE17" s="3" t="s">
        <v>31</v>
      </c>
      <c r="AF17" s="3" t="s">
        <v>664</v>
      </c>
      <c r="AG17" s="3" t="s">
        <v>48</v>
      </c>
    </row>
    <row r="18" spans="1:33" ht="15.75" customHeight="1">
      <c r="A18" s="1">
        <v>45160.631214699075</v>
      </c>
      <c r="B18" s="3" t="s">
        <v>1024</v>
      </c>
      <c r="C18" s="2">
        <v>33857</v>
      </c>
      <c r="D18" s="3">
        <v>30</v>
      </c>
      <c r="E18" s="3" t="s">
        <v>510</v>
      </c>
      <c r="F18" s="3" t="s">
        <v>520</v>
      </c>
      <c r="G18" s="3" t="s">
        <v>539</v>
      </c>
      <c r="H18" s="2">
        <v>45079</v>
      </c>
      <c r="I18" s="3">
        <v>2</v>
      </c>
      <c r="J18" s="3" t="s">
        <v>541</v>
      </c>
      <c r="K18" s="3">
        <v>2610</v>
      </c>
      <c r="L18" s="3">
        <v>37</v>
      </c>
      <c r="M18" s="3">
        <v>50</v>
      </c>
      <c r="N18" s="3">
        <v>58</v>
      </c>
      <c r="O18" s="3">
        <v>159</v>
      </c>
      <c r="P18" s="3" t="s">
        <v>33</v>
      </c>
      <c r="Q18" s="3" t="s">
        <v>26</v>
      </c>
      <c r="S18" s="3" t="s">
        <v>664</v>
      </c>
      <c r="T18" s="3" t="s">
        <v>57</v>
      </c>
      <c r="U18" s="3">
        <v>7</v>
      </c>
      <c r="V18" s="3">
        <v>1</v>
      </c>
      <c r="W18" s="3" t="s">
        <v>34</v>
      </c>
      <c r="X18" s="3" t="s">
        <v>58</v>
      </c>
      <c r="Y18" s="3">
        <v>7</v>
      </c>
      <c r="Z18" s="3">
        <v>1</v>
      </c>
      <c r="AA18" s="3" t="s">
        <v>49</v>
      </c>
      <c r="AB18" s="3" t="s">
        <v>29</v>
      </c>
      <c r="AC18" s="3" t="s">
        <v>664</v>
      </c>
      <c r="AD18" s="3" t="s">
        <v>59</v>
      </c>
      <c r="AE18" s="3" t="s">
        <v>60</v>
      </c>
      <c r="AF18" s="3" t="s">
        <v>664</v>
      </c>
      <c r="AG18" s="3" t="s">
        <v>32</v>
      </c>
    </row>
    <row r="19" spans="1:33" ht="15.75" customHeight="1">
      <c r="A19" s="1">
        <v>45160.631515879628</v>
      </c>
      <c r="B19" s="3" t="s">
        <v>1024</v>
      </c>
      <c r="C19" s="2">
        <v>30750</v>
      </c>
      <c r="D19" s="3">
        <v>39</v>
      </c>
      <c r="E19" s="3" t="s">
        <v>510</v>
      </c>
      <c r="F19" s="3" t="s">
        <v>520</v>
      </c>
      <c r="G19" s="3" t="s">
        <v>539</v>
      </c>
      <c r="H19" s="2">
        <v>44841</v>
      </c>
      <c r="I19" s="3">
        <v>3</v>
      </c>
      <c r="J19" s="3" t="s">
        <v>542</v>
      </c>
      <c r="K19" s="3" t="s">
        <v>1036</v>
      </c>
      <c r="L19" s="3">
        <v>39</v>
      </c>
      <c r="M19" s="3">
        <v>65</v>
      </c>
      <c r="N19" s="3">
        <v>79</v>
      </c>
      <c r="O19" s="3">
        <v>170</v>
      </c>
      <c r="P19" s="3" t="s">
        <v>33</v>
      </c>
      <c r="Q19" s="3" t="s">
        <v>26</v>
      </c>
      <c r="S19" s="3" t="s">
        <v>664</v>
      </c>
      <c r="T19" s="3" t="s">
        <v>57</v>
      </c>
      <c r="U19" s="3">
        <v>7</v>
      </c>
      <c r="V19" s="3">
        <v>1</v>
      </c>
      <c r="W19" s="3" t="s">
        <v>34</v>
      </c>
      <c r="X19" s="3" t="s">
        <v>61</v>
      </c>
      <c r="Y19" s="3">
        <v>7</v>
      </c>
      <c r="Z19" s="3">
        <v>1</v>
      </c>
      <c r="AA19" s="3" t="s">
        <v>49</v>
      </c>
      <c r="AB19" s="3" t="s">
        <v>29</v>
      </c>
      <c r="AC19" s="3" t="s">
        <v>664</v>
      </c>
      <c r="AD19" s="3" t="s">
        <v>37</v>
      </c>
      <c r="AE19" s="3" t="s">
        <v>60</v>
      </c>
      <c r="AF19" s="3" t="s">
        <v>664</v>
      </c>
      <c r="AG19" s="3" t="s">
        <v>62</v>
      </c>
    </row>
    <row r="20" spans="1:33" ht="15.75" customHeight="1">
      <c r="A20" s="1">
        <v>45160.632025567131</v>
      </c>
      <c r="B20" s="3" t="s">
        <v>1024</v>
      </c>
      <c r="C20" s="2">
        <v>34664</v>
      </c>
      <c r="D20" s="3">
        <v>28</v>
      </c>
      <c r="E20" s="3" t="s">
        <v>510</v>
      </c>
      <c r="F20" s="3" t="s">
        <v>520</v>
      </c>
      <c r="G20" s="3" t="s">
        <v>539</v>
      </c>
      <c r="H20" s="2">
        <v>44292</v>
      </c>
      <c r="I20" s="3">
        <v>1</v>
      </c>
      <c r="J20" s="3" t="s">
        <v>542</v>
      </c>
      <c r="K20" s="3" t="s">
        <v>1037</v>
      </c>
      <c r="L20" s="3" t="s">
        <v>627</v>
      </c>
      <c r="M20" s="3">
        <v>79</v>
      </c>
      <c r="N20" s="3">
        <v>89</v>
      </c>
      <c r="O20" s="3">
        <v>167</v>
      </c>
      <c r="P20" s="3" t="s">
        <v>33</v>
      </c>
      <c r="Q20" s="3" t="s">
        <v>26</v>
      </c>
      <c r="S20" s="3" t="s">
        <v>664</v>
      </c>
      <c r="T20" s="3" t="s">
        <v>43</v>
      </c>
      <c r="U20" s="3">
        <v>7</v>
      </c>
      <c r="V20" s="3">
        <v>1</v>
      </c>
      <c r="W20" s="3" t="s">
        <v>34</v>
      </c>
      <c r="X20" s="3" t="s">
        <v>61</v>
      </c>
      <c r="Y20" s="3">
        <v>7</v>
      </c>
      <c r="Z20" s="3">
        <v>1</v>
      </c>
      <c r="AA20" s="3" t="s">
        <v>42</v>
      </c>
      <c r="AB20" s="3" t="s">
        <v>29</v>
      </c>
      <c r="AC20" s="3" t="s">
        <v>664</v>
      </c>
      <c r="AD20" s="3" t="s">
        <v>63</v>
      </c>
      <c r="AE20" s="3" t="s">
        <v>60</v>
      </c>
      <c r="AF20" s="3" t="s">
        <v>664</v>
      </c>
      <c r="AG20" s="3" t="s">
        <v>62</v>
      </c>
    </row>
    <row r="21" spans="1:33" ht="15.75" customHeight="1">
      <c r="A21" s="1">
        <v>45160.640350243055</v>
      </c>
      <c r="B21" s="3" t="s">
        <v>1024</v>
      </c>
      <c r="C21" s="2">
        <v>33206</v>
      </c>
      <c r="D21" s="3">
        <v>32</v>
      </c>
      <c r="E21" s="3" t="s">
        <v>510</v>
      </c>
      <c r="F21" s="3" t="s">
        <v>520</v>
      </c>
      <c r="G21" s="3" t="s">
        <v>539</v>
      </c>
      <c r="H21" s="2">
        <v>44778</v>
      </c>
      <c r="I21" s="3">
        <v>2</v>
      </c>
      <c r="J21" s="3" t="s">
        <v>542</v>
      </c>
      <c r="K21" s="3">
        <v>4040</v>
      </c>
      <c r="L21" s="3" t="s">
        <v>628</v>
      </c>
      <c r="M21" s="3">
        <v>82</v>
      </c>
      <c r="N21" s="3">
        <v>100</v>
      </c>
      <c r="O21" s="3">
        <v>165</v>
      </c>
      <c r="P21" s="3" t="s">
        <v>33</v>
      </c>
      <c r="Q21" s="3" t="s">
        <v>26</v>
      </c>
      <c r="S21" s="3" t="s">
        <v>664</v>
      </c>
      <c r="T21" s="3" t="s">
        <v>27</v>
      </c>
      <c r="U21" s="3">
        <v>7</v>
      </c>
      <c r="V21" s="3">
        <v>1</v>
      </c>
      <c r="W21" s="3" t="s">
        <v>34</v>
      </c>
      <c r="X21" s="3" t="s">
        <v>64</v>
      </c>
      <c r="Y21" s="3">
        <v>7</v>
      </c>
      <c r="Z21" s="3">
        <v>1</v>
      </c>
      <c r="AA21" s="3" t="s">
        <v>28</v>
      </c>
      <c r="AB21" s="3" t="s">
        <v>65</v>
      </c>
      <c r="AC21" s="3" t="s">
        <v>664</v>
      </c>
      <c r="AD21" s="3" t="s">
        <v>37</v>
      </c>
      <c r="AE21" s="3" t="s">
        <v>60</v>
      </c>
      <c r="AF21" s="3" t="s">
        <v>664</v>
      </c>
      <c r="AG21" s="3" t="s">
        <v>62</v>
      </c>
    </row>
    <row r="22" spans="1:33" ht="15.75" customHeight="1">
      <c r="A22" s="1">
        <v>45160.641957141204</v>
      </c>
      <c r="B22" s="3" t="s">
        <v>1024</v>
      </c>
      <c r="C22" s="2">
        <v>31908</v>
      </c>
      <c r="D22" s="3">
        <v>36</v>
      </c>
      <c r="E22" s="3" t="s">
        <v>510</v>
      </c>
      <c r="F22" s="3" t="s">
        <v>520</v>
      </c>
      <c r="G22" s="3" t="s">
        <v>539</v>
      </c>
      <c r="H22" s="2">
        <v>45132</v>
      </c>
      <c r="I22" s="3">
        <v>5</v>
      </c>
      <c r="J22" s="3" t="s">
        <v>542</v>
      </c>
      <c r="K22" s="3" t="s">
        <v>1038</v>
      </c>
      <c r="L22" s="3" t="s">
        <v>629</v>
      </c>
      <c r="M22" s="3">
        <v>71</v>
      </c>
      <c r="N22" s="3">
        <v>82</v>
      </c>
      <c r="O22" s="3">
        <v>160</v>
      </c>
      <c r="P22" s="3" t="s">
        <v>33</v>
      </c>
      <c r="Q22" s="3" t="s">
        <v>26</v>
      </c>
      <c r="S22" s="3" t="s">
        <v>664</v>
      </c>
      <c r="T22" s="3" t="s">
        <v>630</v>
      </c>
      <c r="U22" s="3">
        <v>7</v>
      </c>
      <c r="V22" s="3">
        <v>1</v>
      </c>
      <c r="W22" s="3" t="s">
        <v>34</v>
      </c>
      <c r="X22" s="3" t="s">
        <v>630</v>
      </c>
      <c r="Y22" s="3">
        <v>7</v>
      </c>
      <c r="Z22" s="3">
        <v>1</v>
      </c>
      <c r="AA22" s="3" t="s">
        <v>36</v>
      </c>
      <c r="AB22" s="3" t="s">
        <v>29</v>
      </c>
      <c r="AC22" s="3" t="s">
        <v>664</v>
      </c>
      <c r="AD22" s="3" t="s">
        <v>30</v>
      </c>
      <c r="AE22" s="3" t="s">
        <v>31</v>
      </c>
      <c r="AF22" s="3" t="s">
        <v>664</v>
      </c>
      <c r="AG22" s="3" t="s">
        <v>48</v>
      </c>
    </row>
    <row r="23" spans="1:33" ht="15.75" customHeight="1">
      <c r="A23" s="1">
        <v>45160.643566435188</v>
      </c>
      <c r="B23" s="3" t="s">
        <v>1024</v>
      </c>
      <c r="C23" s="2">
        <v>32307</v>
      </c>
      <c r="D23" s="3">
        <v>35</v>
      </c>
      <c r="E23" s="3" t="s">
        <v>510</v>
      </c>
      <c r="F23" s="3" t="s">
        <v>520</v>
      </c>
      <c r="G23" s="3" t="s">
        <v>539</v>
      </c>
      <c r="H23" s="2">
        <v>44363</v>
      </c>
      <c r="I23" s="3">
        <v>4</v>
      </c>
      <c r="J23" s="3" t="s">
        <v>541</v>
      </c>
      <c r="K23" s="3">
        <v>3325</v>
      </c>
      <c r="L23" s="3" t="s">
        <v>631</v>
      </c>
      <c r="M23" s="3">
        <v>43</v>
      </c>
      <c r="N23" s="3">
        <v>50</v>
      </c>
      <c r="O23" s="3">
        <v>150</v>
      </c>
      <c r="P23" s="3" t="s">
        <v>33</v>
      </c>
      <c r="Q23" s="3" t="s">
        <v>26</v>
      </c>
      <c r="S23" s="3" t="s">
        <v>664</v>
      </c>
      <c r="T23" s="3" t="s">
        <v>43</v>
      </c>
      <c r="U23" s="3">
        <v>7</v>
      </c>
      <c r="V23" s="3">
        <v>1</v>
      </c>
      <c r="W23" s="3" t="s">
        <v>34</v>
      </c>
      <c r="X23" s="3" t="s">
        <v>58</v>
      </c>
      <c r="Y23" s="3">
        <v>7</v>
      </c>
      <c r="Z23" s="3">
        <v>1</v>
      </c>
      <c r="AA23" s="3" t="s">
        <v>28</v>
      </c>
      <c r="AB23" s="3" t="s">
        <v>29</v>
      </c>
      <c r="AC23" s="3" t="s">
        <v>664</v>
      </c>
      <c r="AD23" s="3" t="s">
        <v>66</v>
      </c>
      <c r="AE23" s="3" t="s">
        <v>60</v>
      </c>
      <c r="AF23" s="3" t="s">
        <v>664</v>
      </c>
      <c r="AG23" s="3" t="s">
        <v>48</v>
      </c>
    </row>
    <row r="24" spans="1:33" ht="15.75" customHeight="1">
      <c r="A24" s="1">
        <v>45160.64364844907</v>
      </c>
      <c r="B24" s="3" t="s">
        <v>1024</v>
      </c>
      <c r="C24" s="2">
        <v>30709</v>
      </c>
      <c r="D24" s="3">
        <v>39</v>
      </c>
      <c r="E24" s="3" t="s">
        <v>510</v>
      </c>
      <c r="F24" s="3" t="s">
        <v>520</v>
      </c>
      <c r="G24" s="3" t="s">
        <v>540</v>
      </c>
      <c r="H24" s="2">
        <v>44270</v>
      </c>
      <c r="I24" s="3">
        <v>1</v>
      </c>
      <c r="J24" s="3" t="s">
        <v>541</v>
      </c>
      <c r="K24" s="3">
        <v>3714</v>
      </c>
      <c r="L24" s="3">
        <v>39</v>
      </c>
      <c r="M24" s="3">
        <v>77</v>
      </c>
      <c r="N24" s="3">
        <v>93</v>
      </c>
      <c r="O24" s="3">
        <v>171</v>
      </c>
      <c r="P24" s="3" t="s">
        <v>33</v>
      </c>
      <c r="Q24" s="3" t="s">
        <v>26</v>
      </c>
      <c r="S24" s="3" t="s">
        <v>664</v>
      </c>
      <c r="T24" s="3" t="s">
        <v>27</v>
      </c>
      <c r="U24" s="3">
        <v>7</v>
      </c>
      <c r="V24" s="3">
        <v>1</v>
      </c>
      <c r="W24" s="3" t="s">
        <v>34</v>
      </c>
      <c r="X24" s="3" t="s">
        <v>67</v>
      </c>
      <c r="Y24" s="3">
        <v>7</v>
      </c>
      <c r="Z24" s="3">
        <v>1</v>
      </c>
      <c r="AA24" s="3" t="s">
        <v>54</v>
      </c>
      <c r="AB24" s="3" t="s">
        <v>68</v>
      </c>
      <c r="AC24" s="3" t="s">
        <v>664</v>
      </c>
      <c r="AD24" s="3" t="s">
        <v>59</v>
      </c>
      <c r="AE24" s="3" t="s">
        <v>38</v>
      </c>
      <c r="AF24" s="3" t="s">
        <v>664</v>
      </c>
      <c r="AG24" s="3" t="s">
        <v>32</v>
      </c>
    </row>
    <row r="25" spans="1:33" ht="15.75" customHeight="1">
      <c r="A25" s="1">
        <v>45160.645669386577</v>
      </c>
      <c r="B25" s="3" t="s">
        <v>1024</v>
      </c>
      <c r="C25" s="2">
        <v>32412</v>
      </c>
      <c r="D25" s="3">
        <v>34</v>
      </c>
      <c r="E25" s="3" t="s">
        <v>510</v>
      </c>
      <c r="F25" s="3" t="s">
        <v>520</v>
      </c>
      <c r="G25" s="3" t="s">
        <v>539</v>
      </c>
      <c r="H25" s="2">
        <v>43837</v>
      </c>
      <c r="I25" s="3">
        <v>1</v>
      </c>
      <c r="J25" s="3" t="s">
        <v>542</v>
      </c>
      <c r="K25" s="3">
        <v>3045</v>
      </c>
      <c r="L25" s="3" t="s">
        <v>1039</v>
      </c>
      <c r="M25" s="3">
        <v>60</v>
      </c>
      <c r="N25" s="3">
        <v>70</v>
      </c>
      <c r="O25" s="3">
        <v>155</v>
      </c>
      <c r="P25" s="3" t="s">
        <v>33</v>
      </c>
      <c r="Q25" s="3" t="s">
        <v>26</v>
      </c>
      <c r="S25" s="3" t="s">
        <v>664</v>
      </c>
      <c r="T25" s="3" t="s">
        <v>632</v>
      </c>
      <c r="U25" s="3">
        <v>7</v>
      </c>
      <c r="V25" s="3">
        <v>1</v>
      </c>
      <c r="W25" s="3" t="s">
        <v>26</v>
      </c>
      <c r="AA25" s="3" t="s">
        <v>28</v>
      </c>
      <c r="AB25" s="3" t="s">
        <v>83</v>
      </c>
      <c r="AC25" s="3" t="s">
        <v>664</v>
      </c>
      <c r="AD25" s="3" t="s">
        <v>59</v>
      </c>
      <c r="AE25" s="3" t="s">
        <v>38</v>
      </c>
      <c r="AF25" s="3" t="s">
        <v>664</v>
      </c>
      <c r="AG25" s="3" t="s">
        <v>62</v>
      </c>
    </row>
    <row r="26" spans="1:33" ht="15.75" customHeight="1">
      <c r="A26" s="1">
        <v>45160.649511782409</v>
      </c>
      <c r="B26" s="3" t="s">
        <v>1024</v>
      </c>
      <c r="C26" s="2">
        <v>35383</v>
      </c>
      <c r="D26" s="3">
        <v>26</v>
      </c>
      <c r="E26" s="3" t="s">
        <v>510</v>
      </c>
      <c r="F26" s="3" t="s">
        <v>520</v>
      </c>
      <c r="G26" s="3" t="s">
        <v>539</v>
      </c>
      <c r="H26" s="2">
        <v>44491</v>
      </c>
      <c r="I26" s="3">
        <v>1</v>
      </c>
      <c r="J26" s="3" t="s">
        <v>541</v>
      </c>
      <c r="K26" s="3">
        <v>3450</v>
      </c>
      <c r="L26" s="3" t="s">
        <v>627</v>
      </c>
      <c r="M26" s="3">
        <v>54</v>
      </c>
      <c r="N26" s="3">
        <v>66</v>
      </c>
      <c r="O26" s="3">
        <v>160</v>
      </c>
      <c r="P26" s="3" t="s">
        <v>33</v>
      </c>
      <c r="Q26" s="3" t="s">
        <v>26</v>
      </c>
      <c r="S26" s="3" t="s">
        <v>664</v>
      </c>
      <c r="T26" s="3" t="s">
        <v>41</v>
      </c>
      <c r="U26" s="3">
        <v>7</v>
      </c>
      <c r="V26" s="3">
        <v>1</v>
      </c>
      <c r="W26" s="3" t="s">
        <v>34</v>
      </c>
      <c r="X26" s="3" t="s">
        <v>58</v>
      </c>
      <c r="Y26" s="3">
        <v>7</v>
      </c>
      <c r="Z26" s="3">
        <v>1</v>
      </c>
      <c r="AA26" s="3" t="s">
        <v>49</v>
      </c>
      <c r="AB26" s="3" t="s">
        <v>29</v>
      </c>
      <c r="AC26" s="3" t="s">
        <v>664</v>
      </c>
      <c r="AD26" s="3" t="s">
        <v>63</v>
      </c>
      <c r="AE26" s="3" t="s">
        <v>38</v>
      </c>
      <c r="AF26" s="3" t="s">
        <v>664</v>
      </c>
      <c r="AG26" s="3" t="s">
        <v>39</v>
      </c>
    </row>
    <row r="27" spans="1:33" ht="15.75" customHeight="1">
      <c r="A27" s="1">
        <v>45160.650529756946</v>
      </c>
      <c r="B27" s="3" t="s">
        <v>1024</v>
      </c>
      <c r="C27" s="2">
        <v>36392</v>
      </c>
      <c r="D27" s="3">
        <v>24</v>
      </c>
      <c r="E27" s="3" t="s">
        <v>512</v>
      </c>
      <c r="F27" s="3" t="s">
        <v>520</v>
      </c>
      <c r="G27" s="3" t="s">
        <v>539</v>
      </c>
      <c r="H27" s="2">
        <v>44510</v>
      </c>
      <c r="I27" s="3">
        <v>1</v>
      </c>
      <c r="J27" s="3" t="s">
        <v>542</v>
      </c>
      <c r="K27" s="3" t="s">
        <v>1040</v>
      </c>
      <c r="L27" s="3" t="s">
        <v>1041</v>
      </c>
      <c r="M27" s="3" t="s">
        <v>1042</v>
      </c>
      <c r="N27" s="3" t="s">
        <v>1043</v>
      </c>
      <c r="O27" s="3">
        <v>166</v>
      </c>
      <c r="P27" s="3" t="s">
        <v>33</v>
      </c>
      <c r="Q27" s="3" t="s">
        <v>26</v>
      </c>
      <c r="S27" s="3" t="s">
        <v>664</v>
      </c>
      <c r="T27" s="3" t="s">
        <v>27</v>
      </c>
      <c r="U27" s="3">
        <v>7</v>
      </c>
      <c r="V27" s="3">
        <v>1</v>
      </c>
      <c r="W27" s="3" t="s">
        <v>34</v>
      </c>
      <c r="X27" s="3" t="s">
        <v>58</v>
      </c>
      <c r="Y27" s="3">
        <v>7</v>
      </c>
      <c r="Z27" s="3">
        <v>1</v>
      </c>
      <c r="AA27" s="3" t="s">
        <v>28</v>
      </c>
      <c r="AB27" s="3" t="s">
        <v>29</v>
      </c>
      <c r="AC27" s="3" t="s">
        <v>664</v>
      </c>
      <c r="AD27" s="3" t="s">
        <v>59</v>
      </c>
      <c r="AE27" s="3" t="s">
        <v>31</v>
      </c>
      <c r="AF27" s="3" t="s">
        <v>664</v>
      </c>
      <c r="AG27" s="3" t="s">
        <v>32</v>
      </c>
    </row>
    <row r="28" spans="1:33" ht="15.75" customHeight="1">
      <c r="A28" s="1">
        <v>45160.65393325231</v>
      </c>
      <c r="B28" s="3" t="s">
        <v>1024</v>
      </c>
      <c r="C28" s="2">
        <v>35179</v>
      </c>
      <c r="D28" s="3">
        <v>27</v>
      </c>
      <c r="E28" s="3" t="s">
        <v>510</v>
      </c>
      <c r="F28" s="3" t="s">
        <v>520</v>
      </c>
      <c r="G28" s="3" t="s">
        <v>539</v>
      </c>
      <c r="H28" s="2">
        <v>44610</v>
      </c>
      <c r="I28" s="3">
        <v>2</v>
      </c>
      <c r="J28" s="3" t="s">
        <v>542</v>
      </c>
      <c r="K28" s="3" t="s">
        <v>1044</v>
      </c>
      <c r="L28" s="3" t="s">
        <v>633</v>
      </c>
      <c r="M28" s="3" t="s">
        <v>1045</v>
      </c>
      <c r="N28" s="3" t="s">
        <v>1046</v>
      </c>
      <c r="O28" s="3">
        <v>159</v>
      </c>
      <c r="P28" s="3" t="s">
        <v>33</v>
      </c>
      <c r="Q28" s="3" t="s">
        <v>26</v>
      </c>
      <c r="S28" s="3" t="s">
        <v>664</v>
      </c>
      <c r="T28" s="3" t="s">
        <v>41</v>
      </c>
      <c r="U28" s="3">
        <v>1</v>
      </c>
      <c r="V28" s="3">
        <v>1</v>
      </c>
      <c r="W28" s="3" t="s">
        <v>34</v>
      </c>
      <c r="X28" s="3" t="s">
        <v>58</v>
      </c>
      <c r="Y28" s="3">
        <v>1</v>
      </c>
      <c r="Z28" s="3">
        <v>1</v>
      </c>
      <c r="AA28" s="3" t="s">
        <v>42</v>
      </c>
      <c r="AB28" s="3" t="s">
        <v>29</v>
      </c>
      <c r="AC28" s="3" t="s">
        <v>664</v>
      </c>
      <c r="AD28" s="3" t="s">
        <v>55</v>
      </c>
      <c r="AE28" s="3" t="s">
        <v>38</v>
      </c>
      <c r="AF28" s="3" t="s">
        <v>664</v>
      </c>
      <c r="AG28" s="3" t="s">
        <v>62</v>
      </c>
    </row>
    <row r="29" spans="1:33" ht="15.75" customHeight="1">
      <c r="A29" s="1">
        <v>45160.653968692131</v>
      </c>
      <c r="B29" s="3" t="s">
        <v>1024</v>
      </c>
      <c r="C29" s="2">
        <v>32260</v>
      </c>
      <c r="D29" s="3">
        <v>35</v>
      </c>
      <c r="E29" s="3" t="s">
        <v>510</v>
      </c>
      <c r="F29" s="3" t="s">
        <v>520</v>
      </c>
      <c r="G29" s="3" t="s">
        <v>540</v>
      </c>
      <c r="H29" s="2">
        <v>45135</v>
      </c>
      <c r="I29" s="3">
        <v>2</v>
      </c>
      <c r="J29" s="3" t="s">
        <v>541</v>
      </c>
      <c r="K29" s="3">
        <v>3270</v>
      </c>
      <c r="L29" s="3">
        <v>39</v>
      </c>
      <c r="M29" s="3">
        <v>68</v>
      </c>
      <c r="N29" s="3">
        <v>83</v>
      </c>
      <c r="O29" s="3">
        <v>163</v>
      </c>
      <c r="P29" s="3" t="s">
        <v>33</v>
      </c>
      <c r="Q29" s="3" t="s">
        <v>26</v>
      </c>
      <c r="S29" s="3" t="s">
        <v>664</v>
      </c>
      <c r="T29" s="3" t="s">
        <v>43</v>
      </c>
      <c r="U29" s="3">
        <v>7</v>
      </c>
      <c r="V29" s="3">
        <v>1</v>
      </c>
      <c r="W29" s="3" t="s">
        <v>34</v>
      </c>
      <c r="X29" s="3" t="s">
        <v>69</v>
      </c>
      <c r="Y29" s="3">
        <v>7</v>
      </c>
      <c r="Z29" s="3">
        <v>1</v>
      </c>
      <c r="AA29" s="3" t="s">
        <v>49</v>
      </c>
      <c r="AB29" s="3" t="s">
        <v>70</v>
      </c>
      <c r="AC29" s="3" t="s">
        <v>664</v>
      </c>
      <c r="AD29" s="3" t="s">
        <v>55</v>
      </c>
      <c r="AE29" s="3" t="s">
        <v>38</v>
      </c>
      <c r="AF29" s="3" t="s">
        <v>664</v>
      </c>
      <c r="AG29" s="3" t="s">
        <v>32</v>
      </c>
    </row>
    <row r="30" spans="1:33" ht="15.75" customHeight="1">
      <c r="A30" s="1">
        <v>45160.657017812497</v>
      </c>
      <c r="B30" s="3" t="s">
        <v>1024</v>
      </c>
      <c r="C30" s="2">
        <v>32811</v>
      </c>
      <c r="D30" s="3">
        <v>33</v>
      </c>
      <c r="E30" s="3" t="s">
        <v>510</v>
      </c>
      <c r="F30" s="3" t="s">
        <v>523</v>
      </c>
      <c r="G30" s="3" t="s">
        <v>539</v>
      </c>
      <c r="H30" s="2">
        <v>44864</v>
      </c>
      <c r="I30" s="3">
        <v>1</v>
      </c>
      <c r="J30" s="3" t="s">
        <v>541</v>
      </c>
      <c r="K30" s="3">
        <v>4700</v>
      </c>
      <c r="L30" s="3" t="s">
        <v>634</v>
      </c>
      <c r="M30" s="3">
        <v>98</v>
      </c>
      <c r="N30" s="3">
        <v>107</v>
      </c>
      <c r="O30" s="3">
        <v>166</v>
      </c>
      <c r="P30" s="3" t="s">
        <v>33</v>
      </c>
      <c r="Q30" s="3" t="s">
        <v>26</v>
      </c>
      <c r="S30" s="3" t="s">
        <v>664</v>
      </c>
      <c r="T30" s="3" t="s">
        <v>57</v>
      </c>
      <c r="U30" s="3">
        <v>7</v>
      </c>
      <c r="V30" s="3">
        <v>1</v>
      </c>
      <c r="W30" s="3" t="s">
        <v>34</v>
      </c>
      <c r="X30" s="3" t="s">
        <v>71</v>
      </c>
      <c r="Y30" s="3">
        <v>7</v>
      </c>
      <c r="Z30" s="3">
        <v>1</v>
      </c>
      <c r="AA30" s="3" t="s">
        <v>28</v>
      </c>
      <c r="AB30" s="3" t="s">
        <v>29</v>
      </c>
      <c r="AC30" s="3" t="s">
        <v>664</v>
      </c>
      <c r="AD30" s="3" t="s">
        <v>55</v>
      </c>
      <c r="AE30" s="3" t="s">
        <v>72</v>
      </c>
      <c r="AF30" s="3" t="s">
        <v>664</v>
      </c>
      <c r="AG30" s="3" t="s">
        <v>39</v>
      </c>
    </row>
    <row r="31" spans="1:33" ht="15.75" customHeight="1">
      <c r="A31" s="1">
        <v>45160.657546597227</v>
      </c>
      <c r="B31" s="3" t="s">
        <v>1024</v>
      </c>
      <c r="C31" s="2">
        <v>32496</v>
      </c>
      <c r="D31" s="3">
        <v>34</v>
      </c>
      <c r="E31" s="3" t="s">
        <v>510</v>
      </c>
      <c r="F31" s="3" t="s">
        <v>521</v>
      </c>
      <c r="G31" s="3" t="s">
        <v>540</v>
      </c>
      <c r="H31" s="2">
        <v>44985</v>
      </c>
      <c r="I31" s="3">
        <v>1</v>
      </c>
      <c r="J31" s="3" t="s">
        <v>541</v>
      </c>
      <c r="K31" s="3">
        <v>2950</v>
      </c>
      <c r="L31" s="3">
        <v>38</v>
      </c>
      <c r="M31" s="3">
        <v>63</v>
      </c>
      <c r="N31" s="3">
        <v>75</v>
      </c>
      <c r="O31" s="3">
        <v>170</v>
      </c>
      <c r="P31" s="3" t="s">
        <v>33</v>
      </c>
      <c r="Q31" s="3" t="s">
        <v>26</v>
      </c>
      <c r="S31" s="3" t="s">
        <v>664</v>
      </c>
      <c r="T31" s="3" t="s">
        <v>43</v>
      </c>
      <c r="U31" s="3">
        <v>7</v>
      </c>
      <c r="V31" s="3">
        <v>1</v>
      </c>
      <c r="W31" s="3" t="s">
        <v>34</v>
      </c>
      <c r="X31" s="3" t="s">
        <v>73</v>
      </c>
      <c r="Y31" s="3">
        <v>7</v>
      </c>
      <c r="Z31" s="3">
        <v>2</v>
      </c>
      <c r="AA31" s="3" t="s">
        <v>28</v>
      </c>
      <c r="AB31" s="3" t="s">
        <v>29</v>
      </c>
      <c r="AC31" s="3" t="s">
        <v>664</v>
      </c>
      <c r="AD31" s="3" t="s">
        <v>37</v>
      </c>
      <c r="AE31" s="3" t="s">
        <v>38</v>
      </c>
      <c r="AF31" s="3" t="s">
        <v>664</v>
      </c>
      <c r="AG31" s="3" t="s">
        <v>39</v>
      </c>
    </row>
    <row r="32" spans="1:33" ht="15.75" customHeight="1">
      <c r="A32" s="1">
        <v>45160.663209999999</v>
      </c>
      <c r="B32" s="3" t="s">
        <v>1024</v>
      </c>
      <c r="C32" s="2">
        <v>32972</v>
      </c>
      <c r="D32" s="3">
        <v>33</v>
      </c>
      <c r="E32" s="3" t="s">
        <v>510</v>
      </c>
      <c r="F32" s="3" t="s">
        <v>520</v>
      </c>
      <c r="G32" s="3" t="s">
        <v>539</v>
      </c>
      <c r="H32" s="2">
        <v>44932</v>
      </c>
      <c r="I32" s="3">
        <v>2</v>
      </c>
      <c r="J32" s="3" t="s">
        <v>541</v>
      </c>
      <c r="K32" s="3">
        <v>3000</v>
      </c>
      <c r="L32" s="3">
        <v>37</v>
      </c>
      <c r="M32" s="3">
        <v>52</v>
      </c>
      <c r="N32" s="3">
        <v>67</v>
      </c>
      <c r="O32" s="3">
        <v>158</v>
      </c>
      <c r="P32" s="3" t="s">
        <v>33</v>
      </c>
      <c r="Q32" s="3" t="s">
        <v>26</v>
      </c>
      <c r="S32" s="3" t="s">
        <v>664</v>
      </c>
      <c r="T32" s="3" t="s">
        <v>316</v>
      </c>
      <c r="U32" s="3">
        <v>7</v>
      </c>
      <c r="V32" s="3">
        <v>1</v>
      </c>
      <c r="W32" s="3" t="s">
        <v>34</v>
      </c>
      <c r="X32" s="3" t="s">
        <v>635</v>
      </c>
      <c r="Y32" s="3">
        <v>7</v>
      </c>
      <c r="Z32" s="3">
        <v>1</v>
      </c>
      <c r="AA32" s="3" t="s">
        <v>28</v>
      </c>
      <c r="AB32" s="3" t="s">
        <v>559</v>
      </c>
      <c r="AC32" s="3" t="s">
        <v>664</v>
      </c>
      <c r="AD32" s="3" t="s">
        <v>59</v>
      </c>
      <c r="AE32" s="3" t="s">
        <v>31</v>
      </c>
      <c r="AF32" s="3" t="s">
        <v>664</v>
      </c>
      <c r="AG32" s="3" t="s">
        <v>39</v>
      </c>
    </row>
    <row r="33" spans="1:33" ht="15.75" customHeight="1">
      <c r="A33" s="1">
        <v>45160.664529386573</v>
      </c>
      <c r="B33" s="3" t="s">
        <v>1024</v>
      </c>
      <c r="C33" s="2">
        <v>33102</v>
      </c>
      <c r="D33" s="3">
        <v>33</v>
      </c>
      <c r="E33" s="3" t="s">
        <v>510</v>
      </c>
      <c r="F33" s="3" t="s">
        <v>520</v>
      </c>
      <c r="G33" s="3" t="s">
        <v>539</v>
      </c>
      <c r="H33" s="2">
        <v>44443</v>
      </c>
      <c r="I33" s="3">
        <v>1</v>
      </c>
      <c r="J33" s="3" t="s">
        <v>541</v>
      </c>
      <c r="K33" s="3">
        <v>2390</v>
      </c>
      <c r="L33" s="3">
        <v>39</v>
      </c>
      <c r="M33" s="3">
        <v>47</v>
      </c>
      <c r="N33" s="3">
        <v>55</v>
      </c>
      <c r="O33" s="3">
        <v>153</v>
      </c>
      <c r="P33" s="3" t="s">
        <v>33</v>
      </c>
      <c r="Q33" s="3" t="s">
        <v>26</v>
      </c>
      <c r="S33" s="3" t="s">
        <v>664</v>
      </c>
      <c r="T33" s="3" t="s">
        <v>43</v>
      </c>
      <c r="U33" s="3">
        <v>7</v>
      </c>
      <c r="V33" s="3">
        <v>1</v>
      </c>
      <c r="W33" s="3" t="s">
        <v>34</v>
      </c>
      <c r="X33" s="3" t="s">
        <v>74</v>
      </c>
      <c r="Y33" s="3">
        <v>7</v>
      </c>
      <c r="Z33" s="3">
        <v>1</v>
      </c>
      <c r="AA33" s="3" t="s">
        <v>28</v>
      </c>
      <c r="AB33" s="3" t="s">
        <v>75</v>
      </c>
      <c r="AC33" s="3" t="s">
        <v>664</v>
      </c>
      <c r="AD33" s="3" t="s">
        <v>30</v>
      </c>
      <c r="AE33" s="3" t="s">
        <v>38</v>
      </c>
      <c r="AF33" s="3" t="s">
        <v>664</v>
      </c>
      <c r="AG33" s="3" t="s">
        <v>76</v>
      </c>
    </row>
    <row r="34" spans="1:33" ht="15.75" customHeight="1">
      <c r="A34" s="1">
        <v>45160.66930292824</v>
      </c>
      <c r="B34" s="3" t="s">
        <v>1024</v>
      </c>
      <c r="C34" s="2">
        <v>32578</v>
      </c>
      <c r="D34" s="3">
        <v>34</v>
      </c>
      <c r="E34" s="3" t="s">
        <v>510</v>
      </c>
      <c r="F34" s="3" t="s">
        <v>521</v>
      </c>
      <c r="G34" s="3" t="s">
        <v>539</v>
      </c>
      <c r="H34" s="2">
        <v>44988</v>
      </c>
      <c r="I34" s="3">
        <v>2</v>
      </c>
      <c r="J34" s="3" t="s">
        <v>541</v>
      </c>
      <c r="K34" s="3">
        <v>3000</v>
      </c>
      <c r="L34" s="3" t="s">
        <v>636</v>
      </c>
      <c r="M34" s="3">
        <v>58</v>
      </c>
      <c r="N34" s="3">
        <v>83</v>
      </c>
      <c r="O34" s="3">
        <v>164</v>
      </c>
      <c r="P34" s="3" t="s">
        <v>25</v>
      </c>
      <c r="Q34" s="3" t="s">
        <v>26</v>
      </c>
      <c r="S34" s="3" t="s">
        <v>664</v>
      </c>
      <c r="T34" s="3" t="s">
        <v>27</v>
      </c>
      <c r="U34" s="3">
        <v>7</v>
      </c>
      <c r="V34" s="3">
        <v>1</v>
      </c>
      <c r="W34" s="3" t="s">
        <v>34</v>
      </c>
      <c r="X34" s="3" t="s">
        <v>77</v>
      </c>
      <c r="Y34" s="3">
        <v>7</v>
      </c>
      <c r="Z34" s="3">
        <v>1</v>
      </c>
      <c r="AA34" s="3" t="s">
        <v>36</v>
      </c>
      <c r="AB34" s="3" t="s">
        <v>29</v>
      </c>
      <c r="AC34" s="3" t="s">
        <v>664</v>
      </c>
      <c r="AD34" s="3" t="s">
        <v>78</v>
      </c>
      <c r="AE34" s="3" t="s">
        <v>31</v>
      </c>
      <c r="AF34" s="3" t="s">
        <v>664</v>
      </c>
      <c r="AG34" s="3" t="s">
        <v>48</v>
      </c>
    </row>
    <row r="35" spans="1:33" ht="15.75" customHeight="1">
      <c r="A35" s="1">
        <v>45160.67100855324</v>
      </c>
      <c r="B35" s="3" t="s">
        <v>1024</v>
      </c>
      <c r="C35" s="2">
        <v>34053</v>
      </c>
      <c r="D35" s="3">
        <v>30</v>
      </c>
      <c r="E35" s="3" t="s">
        <v>510</v>
      </c>
      <c r="F35" s="3" t="s">
        <v>523</v>
      </c>
      <c r="G35" s="3" t="s">
        <v>539</v>
      </c>
      <c r="H35" s="2">
        <v>44578</v>
      </c>
      <c r="I35" s="3">
        <v>1</v>
      </c>
      <c r="J35" s="3" t="s">
        <v>541</v>
      </c>
      <c r="K35" s="3" t="s">
        <v>1047</v>
      </c>
      <c r="L35" s="3" t="s">
        <v>618</v>
      </c>
      <c r="M35" s="3">
        <v>68</v>
      </c>
      <c r="N35" s="3">
        <v>80</v>
      </c>
      <c r="O35" s="3">
        <v>164</v>
      </c>
      <c r="P35" s="3" t="s">
        <v>33</v>
      </c>
      <c r="Q35" s="3" t="s">
        <v>26</v>
      </c>
      <c r="S35" s="3" t="s">
        <v>664</v>
      </c>
      <c r="T35" s="3" t="s">
        <v>79</v>
      </c>
      <c r="U35" s="3">
        <v>7</v>
      </c>
      <c r="V35" s="3">
        <v>1</v>
      </c>
      <c r="W35" s="3" t="s">
        <v>34</v>
      </c>
      <c r="X35" s="3" t="s">
        <v>80</v>
      </c>
      <c r="Y35" s="3">
        <v>7</v>
      </c>
      <c r="Z35" s="3">
        <v>1</v>
      </c>
      <c r="AA35" s="3" t="s">
        <v>49</v>
      </c>
      <c r="AB35" s="3" t="s">
        <v>29</v>
      </c>
      <c r="AC35" s="3" t="s">
        <v>664</v>
      </c>
      <c r="AD35" s="3" t="s">
        <v>55</v>
      </c>
      <c r="AE35" s="3" t="s">
        <v>38</v>
      </c>
      <c r="AF35" s="3" t="s">
        <v>664</v>
      </c>
      <c r="AG35" s="3" t="s">
        <v>39</v>
      </c>
    </row>
    <row r="36" spans="1:33" ht="15.75" customHeight="1">
      <c r="A36" s="1">
        <v>45160.672496863423</v>
      </c>
      <c r="B36" s="3" t="s">
        <v>1024</v>
      </c>
      <c r="C36" s="2">
        <v>31388</v>
      </c>
      <c r="D36" s="3">
        <v>37</v>
      </c>
      <c r="E36" s="3" t="s">
        <v>510</v>
      </c>
      <c r="F36" s="3" t="s">
        <v>520</v>
      </c>
      <c r="G36" s="3" t="s">
        <v>539</v>
      </c>
      <c r="H36" s="2">
        <v>45101</v>
      </c>
      <c r="I36" s="3">
        <v>2</v>
      </c>
      <c r="J36" s="3" t="s">
        <v>542</v>
      </c>
      <c r="K36" s="3" t="s">
        <v>1048</v>
      </c>
      <c r="L36" s="3" t="s">
        <v>637</v>
      </c>
      <c r="M36" s="3">
        <v>83</v>
      </c>
      <c r="N36" s="3">
        <v>89</v>
      </c>
      <c r="O36" s="3" t="s">
        <v>1049</v>
      </c>
      <c r="P36" s="3" t="s">
        <v>33</v>
      </c>
      <c r="Q36" s="3" t="s">
        <v>26</v>
      </c>
      <c r="S36" s="3" t="s">
        <v>664</v>
      </c>
      <c r="T36" s="3" t="s">
        <v>41</v>
      </c>
      <c r="U36" s="3">
        <v>4</v>
      </c>
      <c r="V36" s="3">
        <v>1</v>
      </c>
      <c r="W36" s="3" t="s">
        <v>34</v>
      </c>
      <c r="X36" s="3" t="s">
        <v>58</v>
      </c>
      <c r="Y36" s="3">
        <v>4</v>
      </c>
      <c r="Z36" s="3">
        <v>1</v>
      </c>
      <c r="AA36" s="3" t="s">
        <v>36</v>
      </c>
      <c r="AB36" s="3" t="s">
        <v>29</v>
      </c>
      <c r="AC36" s="3" t="s">
        <v>664</v>
      </c>
      <c r="AD36" s="3" t="s">
        <v>63</v>
      </c>
      <c r="AE36" s="3" t="s">
        <v>60</v>
      </c>
      <c r="AF36" s="3" t="s">
        <v>664</v>
      </c>
      <c r="AG36" s="3" t="s">
        <v>39</v>
      </c>
    </row>
    <row r="37" spans="1:33" ht="15.75" customHeight="1">
      <c r="A37" s="1">
        <v>45160.672657418982</v>
      </c>
      <c r="B37" s="3" t="s">
        <v>1024</v>
      </c>
      <c r="C37" s="2">
        <v>31387</v>
      </c>
      <c r="D37" s="3">
        <v>37</v>
      </c>
      <c r="E37" s="3" t="s">
        <v>510</v>
      </c>
      <c r="F37" s="3" t="s">
        <v>528</v>
      </c>
      <c r="G37" s="3" t="s">
        <v>539</v>
      </c>
      <c r="H37" s="2">
        <v>44430</v>
      </c>
      <c r="I37" s="3">
        <v>1</v>
      </c>
      <c r="J37" s="3" t="s">
        <v>542</v>
      </c>
      <c r="K37" s="3">
        <v>3300</v>
      </c>
      <c r="L37" s="3">
        <v>38</v>
      </c>
      <c r="M37" s="3">
        <v>69</v>
      </c>
      <c r="N37" s="3">
        <v>80</v>
      </c>
      <c r="O37" s="3">
        <v>161</v>
      </c>
      <c r="P37" s="3" t="s">
        <v>50</v>
      </c>
      <c r="Q37" s="3" t="s">
        <v>26</v>
      </c>
      <c r="S37" s="3" t="s">
        <v>664</v>
      </c>
      <c r="T37" s="3" t="s">
        <v>81</v>
      </c>
      <c r="U37" s="3">
        <v>7</v>
      </c>
      <c r="V37" s="3">
        <v>1</v>
      </c>
      <c r="W37" s="3" t="s">
        <v>34</v>
      </c>
      <c r="X37" s="3" t="s">
        <v>82</v>
      </c>
      <c r="Y37" s="3">
        <v>7</v>
      </c>
      <c r="Z37" s="3">
        <v>1</v>
      </c>
      <c r="AA37" s="3" t="s">
        <v>49</v>
      </c>
      <c r="AB37" s="3" t="s">
        <v>83</v>
      </c>
      <c r="AC37" s="3" t="s">
        <v>664</v>
      </c>
      <c r="AD37" s="3" t="s">
        <v>30</v>
      </c>
      <c r="AE37" s="3" t="s">
        <v>31</v>
      </c>
      <c r="AF37" s="3" t="s">
        <v>664</v>
      </c>
      <c r="AG37" s="3" t="s">
        <v>62</v>
      </c>
    </row>
    <row r="38" spans="1:33" ht="15.75" customHeight="1">
      <c r="A38" s="1">
        <v>45160.689296296296</v>
      </c>
      <c r="B38" s="3" t="s">
        <v>1024</v>
      </c>
      <c r="C38" s="2">
        <v>29708</v>
      </c>
      <c r="D38" s="3">
        <v>42</v>
      </c>
      <c r="E38" s="3" t="s">
        <v>511</v>
      </c>
      <c r="F38" s="3" t="s">
        <v>520</v>
      </c>
      <c r="G38" s="3" t="s">
        <v>540</v>
      </c>
      <c r="H38" s="2">
        <v>43857</v>
      </c>
      <c r="I38" s="3">
        <v>2</v>
      </c>
      <c r="J38" s="3" t="s">
        <v>541</v>
      </c>
      <c r="K38" s="3" t="s">
        <v>1050</v>
      </c>
      <c r="L38" s="3" t="s">
        <v>638</v>
      </c>
      <c r="M38" s="3">
        <v>65</v>
      </c>
      <c r="N38" s="3">
        <v>70</v>
      </c>
      <c r="O38" s="3">
        <v>153</v>
      </c>
      <c r="P38" s="3" t="s">
        <v>33</v>
      </c>
      <c r="Q38" s="3" t="s">
        <v>34</v>
      </c>
      <c r="R38" s="3" t="s">
        <v>84</v>
      </c>
      <c r="S38" s="3" t="s">
        <v>664</v>
      </c>
      <c r="T38" s="3" t="s">
        <v>57</v>
      </c>
      <c r="U38" s="3">
        <v>7</v>
      </c>
      <c r="V38" s="3">
        <v>1</v>
      </c>
      <c r="W38" s="3" t="s">
        <v>26</v>
      </c>
      <c r="AA38" s="3" t="s">
        <v>36</v>
      </c>
      <c r="AB38" s="3" t="s">
        <v>29</v>
      </c>
      <c r="AC38" s="3" t="s">
        <v>664</v>
      </c>
      <c r="AD38" s="3" t="s">
        <v>37</v>
      </c>
      <c r="AE38" s="3" t="s">
        <v>31</v>
      </c>
      <c r="AF38" s="3" t="s">
        <v>664</v>
      </c>
      <c r="AG38" s="3" t="s">
        <v>32</v>
      </c>
    </row>
    <row r="39" spans="1:33" ht="15.75" customHeight="1">
      <c r="A39" s="1">
        <v>45160.703880162037</v>
      </c>
      <c r="B39" s="3" t="s">
        <v>1024</v>
      </c>
      <c r="C39" s="2">
        <v>30523</v>
      </c>
      <c r="D39" s="3">
        <v>40</v>
      </c>
      <c r="E39" s="3" t="s">
        <v>518</v>
      </c>
      <c r="F39" s="3" t="s">
        <v>520</v>
      </c>
      <c r="G39" s="3" t="s">
        <v>539</v>
      </c>
      <c r="H39" s="2">
        <v>45128</v>
      </c>
      <c r="I39" s="3">
        <v>2</v>
      </c>
      <c r="J39" s="3" t="s">
        <v>541</v>
      </c>
      <c r="K39" s="3">
        <v>1.43</v>
      </c>
      <c r="L39" s="3" t="s">
        <v>639</v>
      </c>
      <c r="M39" s="3">
        <v>53</v>
      </c>
      <c r="N39" s="3">
        <v>57</v>
      </c>
      <c r="O39" s="3" t="s">
        <v>1049</v>
      </c>
      <c r="P39" s="3" t="s">
        <v>33</v>
      </c>
      <c r="Q39" s="3" t="s">
        <v>26</v>
      </c>
      <c r="S39" s="3" t="s">
        <v>664</v>
      </c>
      <c r="T39" s="3" t="s">
        <v>43</v>
      </c>
      <c r="U39" s="3">
        <v>7</v>
      </c>
      <c r="V39" s="3">
        <v>1</v>
      </c>
      <c r="W39" s="3" t="s">
        <v>34</v>
      </c>
      <c r="X39" s="3" t="s">
        <v>85</v>
      </c>
      <c r="Y39" s="3">
        <v>7</v>
      </c>
      <c r="Z39" s="3">
        <v>1</v>
      </c>
      <c r="AA39" s="3" t="s">
        <v>28</v>
      </c>
      <c r="AB39" s="3" t="s">
        <v>86</v>
      </c>
      <c r="AC39" s="3" t="s">
        <v>664</v>
      </c>
      <c r="AD39" s="3" t="s">
        <v>59</v>
      </c>
      <c r="AE39" s="3" t="s">
        <v>87</v>
      </c>
      <c r="AF39" s="3" t="s">
        <v>664</v>
      </c>
      <c r="AG39" s="3" t="s">
        <v>32</v>
      </c>
    </row>
    <row r="40" spans="1:33" ht="15.75" customHeight="1">
      <c r="A40" s="1">
        <v>45160.716642685184</v>
      </c>
      <c r="B40" s="3" t="s">
        <v>1024</v>
      </c>
      <c r="C40" s="2">
        <v>33656</v>
      </c>
      <c r="D40" s="3">
        <v>31</v>
      </c>
      <c r="E40" s="3" t="s">
        <v>510</v>
      </c>
      <c r="F40" s="3" t="s">
        <v>521</v>
      </c>
      <c r="G40" s="3" t="s">
        <v>536</v>
      </c>
      <c r="H40" s="2">
        <v>44747</v>
      </c>
      <c r="I40" s="3">
        <v>2</v>
      </c>
      <c r="J40" s="3" t="s">
        <v>542</v>
      </c>
      <c r="K40" s="3">
        <v>3150</v>
      </c>
      <c r="L40" s="3">
        <v>39</v>
      </c>
      <c r="M40" s="3">
        <v>52</v>
      </c>
      <c r="N40" s="3">
        <v>65</v>
      </c>
      <c r="O40" s="3">
        <v>150</v>
      </c>
      <c r="P40" s="3" t="s">
        <v>33</v>
      </c>
      <c r="Q40" s="3" t="s">
        <v>26</v>
      </c>
      <c r="S40" s="3" t="s">
        <v>664</v>
      </c>
      <c r="T40" s="3" t="s">
        <v>27</v>
      </c>
      <c r="U40" s="3">
        <v>7</v>
      </c>
      <c r="V40" s="3">
        <v>1</v>
      </c>
      <c r="W40" s="3" t="s">
        <v>26</v>
      </c>
      <c r="AA40" s="3" t="s">
        <v>49</v>
      </c>
      <c r="AB40" s="3" t="s">
        <v>29</v>
      </c>
      <c r="AC40" s="3" t="s">
        <v>664</v>
      </c>
      <c r="AD40" s="3" t="s">
        <v>88</v>
      </c>
      <c r="AE40" s="3" t="s">
        <v>31</v>
      </c>
      <c r="AF40" s="3" t="s">
        <v>664</v>
      </c>
      <c r="AG40" s="3" t="s">
        <v>39</v>
      </c>
    </row>
    <row r="41" spans="1:33" ht="15.75" customHeight="1">
      <c r="A41" s="1">
        <v>45160.72434375</v>
      </c>
      <c r="B41" s="3" t="s">
        <v>1024</v>
      </c>
      <c r="C41" s="2">
        <v>31590</v>
      </c>
      <c r="D41" s="3">
        <v>37</v>
      </c>
      <c r="E41" s="3" t="s">
        <v>510</v>
      </c>
      <c r="F41" s="3" t="s">
        <v>520</v>
      </c>
      <c r="G41" s="3" t="s">
        <v>540</v>
      </c>
      <c r="H41" s="2">
        <v>44447</v>
      </c>
      <c r="I41" s="3">
        <v>2</v>
      </c>
      <c r="J41" s="3" t="s">
        <v>542</v>
      </c>
      <c r="K41" s="3">
        <v>3720</v>
      </c>
      <c r="L41" s="3">
        <v>40</v>
      </c>
      <c r="M41" s="3">
        <v>70</v>
      </c>
      <c r="N41" s="3" t="s">
        <v>1051</v>
      </c>
      <c r="O41" s="3">
        <v>167</v>
      </c>
      <c r="P41" s="3" t="s">
        <v>89</v>
      </c>
      <c r="Q41" s="3" t="s">
        <v>26</v>
      </c>
      <c r="S41" s="3" t="s">
        <v>664</v>
      </c>
      <c r="T41" s="3" t="s">
        <v>27</v>
      </c>
      <c r="U41" s="3">
        <v>3</v>
      </c>
      <c r="V41" s="3">
        <v>1</v>
      </c>
      <c r="W41" s="3" t="s">
        <v>34</v>
      </c>
      <c r="X41" s="3" t="s">
        <v>61</v>
      </c>
      <c r="Y41" s="3">
        <v>3</v>
      </c>
      <c r="Z41" s="3">
        <v>1</v>
      </c>
      <c r="AA41" s="3" t="s">
        <v>49</v>
      </c>
      <c r="AB41" s="3" t="s">
        <v>29</v>
      </c>
      <c r="AC41" s="3" t="s">
        <v>664</v>
      </c>
      <c r="AD41" s="3" t="s">
        <v>59</v>
      </c>
      <c r="AE41" s="3" t="s">
        <v>31</v>
      </c>
      <c r="AF41" s="3" t="s">
        <v>664</v>
      </c>
      <c r="AG41" s="3" t="s">
        <v>39</v>
      </c>
    </row>
    <row r="42" spans="1:33" ht="15.75" customHeight="1">
      <c r="A42" s="1">
        <v>45160.797763668983</v>
      </c>
      <c r="B42" s="3" t="s">
        <v>1024</v>
      </c>
      <c r="C42" s="2">
        <v>30312</v>
      </c>
      <c r="D42" s="3">
        <v>40</v>
      </c>
      <c r="E42" s="3" t="s">
        <v>510</v>
      </c>
      <c r="F42" s="3" t="s">
        <v>520</v>
      </c>
      <c r="G42" s="3" t="s">
        <v>540</v>
      </c>
      <c r="H42" s="2">
        <v>42992</v>
      </c>
      <c r="I42" s="3">
        <v>1</v>
      </c>
      <c r="J42" s="3" t="s">
        <v>542</v>
      </c>
      <c r="K42" s="3">
        <v>2710</v>
      </c>
      <c r="L42" s="3" t="s">
        <v>636</v>
      </c>
      <c r="M42" s="3">
        <v>75</v>
      </c>
      <c r="N42" s="3">
        <v>82</v>
      </c>
      <c r="O42" s="3">
        <v>177</v>
      </c>
      <c r="P42" s="3" t="s">
        <v>90</v>
      </c>
      <c r="Q42" s="3" t="s">
        <v>26</v>
      </c>
      <c r="S42" s="3" t="s">
        <v>664</v>
      </c>
      <c r="T42" s="3" t="s">
        <v>57</v>
      </c>
      <c r="U42" s="3">
        <v>7</v>
      </c>
      <c r="V42" s="3">
        <v>1</v>
      </c>
      <c r="W42" s="3" t="s">
        <v>26</v>
      </c>
      <c r="AA42" s="3" t="s">
        <v>28</v>
      </c>
      <c r="AB42" s="3" t="s">
        <v>91</v>
      </c>
      <c r="AC42" s="3" t="s">
        <v>664</v>
      </c>
      <c r="AD42" s="3" t="s">
        <v>92</v>
      </c>
      <c r="AE42" s="3" t="s">
        <v>38</v>
      </c>
      <c r="AF42" s="3" t="s">
        <v>664</v>
      </c>
      <c r="AG42" s="3" t="s">
        <v>39</v>
      </c>
    </row>
    <row r="43" spans="1:33" ht="15.75" customHeight="1">
      <c r="A43" s="1">
        <v>45160.802268680556</v>
      </c>
      <c r="B43" s="3" t="s">
        <v>1024</v>
      </c>
      <c r="C43" s="2">
        <v>30371</v>
      </c>
      <c r="D43" s="3">
        <v>40</v>
      </c>
      <c r="E43" s="3" t="s">
        <v>510</v>
      </c>
      <c r="F43" s="3" t="s">
        <v>520</v>
      </c>
      <c r="G43" s="3" t="s">
        <v>540</v>
      </c>
      <c r="H43" s="2">
        <v>44804</v>
      </c>
      <c r="I43" s="3">
        <v>3</v>
      </c>
      <c r="J43" s="3" t="s">
        <v>542</v>
      </c>
      <c r="K43" s="3">
        <v>3375</v>
      </c>
      <c r="L43" s="3" t="s">
        <v>638</v>
      </c>
      <c r="M43" s="3">
        <v>87</v>
      </c>
      <c r="N43" s="3">
        <v>98</v>
      </c>
      <c r="O43" s="3">
        <v>160</v>
      </c>
      <c r="P43" s="3" t="s">
        <v>50</v>
      </c>
      <c r="Q43" s="3" t="s">
        <v>26</v>
      </c>
      <c r="S43" s="3" t="s">
        <v>664</v>
      </c>
      <c r="T43" s="3" t="s">
        <v>27</v>
      </c>
      <c r="U43" s="3">
        <v>7</v>
      </c>
      <c r="V43" s="3">
        <v>1</v>
      </c>
      <c r="W43" s="3" t="s">
        <v>34</v>
      </c>
      <c r="Y43" s="3">
        <v>7</v>
      </c>
      <c r="Z43" s="3">
        <v>1</v>
      </c>
      <c r="AA43" s="3" t="s">
        <v>49</v>
      </c>
      <c r="AB43" s="3" t="s">
        <v>569</v>
      </c>
      <c r="AC43" s="3" t="s">
        <v>664</v>
      </c>
      <c r="AD43" s="3" t="s">
        <v>55</v>
      </c>
      <c r="AE43" s="3" t="s">
        <v>38</v>
      </c>
      <c r="AF43" s="3" t="s">
        <v>664</v>
      </c>
      <c r="AG43" s="3" t="s">
        <v>39</v>
      </c>
    </row>
    <row r="44" spans="1:33" ht="15.75" customHeight="1">
      <c r="A44" s="1">
        <v>45160.809552152779</v>
      </c>
      <c r="B44" s="3" t="s">
        <v>1024</v>
      </c>
      <c r="C44" s="2">
        <v>29580</v>
      </c>
      <c r="D44" s="3">
        <v>42</v>
      </c>
      <c r="E44" s="3" t="s">
        <v>510</v>
      </c>
      <c r="F44" s="3" t="s">
        <v>520</v>
      </c>
      <c r="G44" s="3" t="s">
        <v>539</v>
      </c>
      <c r="H44" s="2">
        <v>43028</v>
      </c>
      <c r="I44" s="3">
        <v>1</v>
      </c>
      <c r="J44" s="3" t="s">
        <v>542</v>
      </c>
      <c r="K44" s="3">
        <v>2230</v>
      </c>
      <c r="L44" s="3">
        <v>36</v>
      </c>
      <c r="M44" s="3">
        <v>68</v>
      </c>
      <c r="N44" s="3">
        <v>75</v>
      </c>
      <c r="O44" s="3">
        <v>167</v>
      </c>
      <c r="P44" s="3" t="s">
        <v>50</v>
      </c>
      <c r="Q44" s="3" t="s">
        <v>34</v>
      </c>
      <c r="R44" s="3" t="s">
        <v>93</v>
      </c>
      <c r="S44" s="3" t="s">
        <v>664</v>
      </c>
      <c r="T44" s="3" t="s">
        <v>43</v>
      </c>
      <c r="U44" s="3">
        <v>7</v>
      </c>
      <c r="V44" s="3">
        <v>1</v>
      </c>
      <c r="W44" s="3" t="s">
        <v>34</v>
      </c>
      <c r="X44" s="3" t="s">
        <v>61</v>
      </c>
      <c r="Y44" s="3">
        <v>7</v>
      </c>
      <c r="Z44" s="3">
        <v>2</v>
      </c>
      <c r="AA44" s="3" t="s">
        <v>54</v>
      </c>
      <c r="AB44" s="3" t="s">
        <v>29</v>
      </c>
      <c r="AC44" s="3" t="s">
        <v>664</v>
      </c>
      <c r="AD44" s="3" t="s">
        <v>59</v>
      </c>
      <c r="AE44" s="3" t="s">
        <v>72</v>
      </c>
      <c r="AF44" s="3" t="s">
        <v>664</v>
      </c>
      <c r="AG44" s="3" t="s">
        <v>94</v>
      </c>
    </row>
    <row r="45" spans="1:33" ht="15.75" customHeight="1">
      <c r="A45" s="1">
        <v>45160.813649872682</v>
      </c>
      <c r="B45" s="3" t="s">
        <v>1024</v>
      </c>
      <c r="C45" s="2">
        <v>32220</v>
      </c>
      <c r="D45" s="3">
        <v>35</v>
      </c>
      <c r="E45" s="3" t="s">
        <v>510</v>
      </c>
      <c r="F45" s="3" t="s">
        <v>522</v>
      </c>
      <c r="G45" s="3" t="s">
        <v>540</v>
      </c>
      <c r="H45" s="2">
        <v>44925</v>
      </c>
      <c r="I45" s="3">
        <v>2</v>
      </c>
      <c r="J45" s="3" t="s">
        <v>542</v>
      </c>
      <c r="K45" s="3" t="s">
        <v>1052</v>
      </c>
      <c r="L45" s="3" t="s">
        <v>640</v>
      </c>
      <c r="M45" s="3">
        <v>59</v>
      </c>
      <c r="N45" s="3">
        <v>68</v>
      </c>
      <c r="O45" s="3">
        <v>178</v>
      </c>
      <c r="P45" s="3" t="s">
        <v>33</v>
      </c>
      <c r="Q45" s="3" t="s">
        <v>34</v>
      </c>
      <c r="S45" s="3" t="s">
        <v>664</v>
      </c>
      <c r="T45" s="3" t="s">
        <v>43</v>
      </c>
      <c r="U45" s="3">
        <v>7</v>
      </c>
      <c r="V45" s="3">
        <v>1</v>
      </c>
      <c r="W45" s="3" t="s">
        <v>34</v>
      </c>
      <c r="X45" s="3" t="s">
        <v>96</v>
      </c>
      <c r="Y45" s="3">
        <v>7</v>
      </c>
      <c r="Z45" s="3">
        <v>1</v>
      </c>
      <c r="AA45" s="3" t="s">
        <v>36</v>
      </c>
      <c r="AB45" s="3" t="s">
        <v>29</v>
      </c>
      <c r="AC45" s="3" t="s">
        <v>664</v>
      </c>
      <c r="AD45" s="3" t="s">
        <v>37</v>
      </c>
      <c r="AE45" s="3" t="s">
        <v>60</v>
      </c>
      <c r="AF45" s="3" t="s">
        <v>664</v>
      </c>
      <c r="AG45" s="3" t="s">
        <v>39</v>
      </c>
    </row>
    <row r="46" spans="1:33" ht="15.75" customHeight="1">
      <c r="A46" s="1">
        <v>45160.820986539351</v>
      </c>
      <c r="B46" s="3" t="s">
        <v>1024</v>
      </c>
      <c r="C46" s="2">
        <v>27975</v>
      </c>
      <c r="D46" s="3">
        <v>47</v>
      </c>
      <c r="E46" s="3" t="s">
        <v>510</v>
      </c>
      <c r="F46" s="3" t="s">
        <v>520</v>
      </c>
      <c r="G46" s="3" t="s">
        <v>540</v>
      </c>
      <c r="H46" s="2">
        <v>46530</v>
      </c>
      <c r="I46" s="3">
        <v>5</v>
      </c>
      <c r="J46" s="3" t="s">
        <v>542</v>
      </c>
      <c r="K46" s="3">
        <v>1880</v>
      </c>
      <c r="L46" s="3">
        <v>35</v>
      </c>
      <c r="M46" s="3">
        <v>82</v>
      </c>
      <c r="N46" s="3">
        <v>89</v>
      </c>
      <c r="O46" s="3">
        <v>168</v>
      </c>
      <c r="P46" s="3" t="s">
        <v>33</v>
      </c>
      <c r="Q46" s="3" t="s">
        <v>26</v>
      </c>
      <c r="S46" s="3" t="s">
        <v>664</v>
      </c>
      <c r="T46" s="3" t="s">
        <v>57</v>
      </c>
      <c r="U46" s="3">
        <v>7</v>
      </c>
      <c r="V46" s="3">
        <v>1</v>
      </c>
      <c r="W46" s="3" t="s">
        <v>34</v>
      </c>
      <c r="X46" s="3" t="s">
        <v>641</v>
      </c>
      <c r="Z46" s="3" t="s">
        <v>642</v>
      </c>
      <c r="AA46" s="3" t="s">
        <v>36</v>
      </c>
      <c r="AB46" s="3" t="s">
        <v>29</v>
      </c>
      <c r="AC46" s="3" t="s">
        <v>664</v>
      </c>
      <c r="AD46" s="3" t="s">
        <v>37</v>
      </c>
      <c r="AE46" s="3" t="s">
        <v>38</v>
      </c>
      <c r="AF46" s="3" t="s">
        <v>664</v>
      </c>
      <c r="AG46" s="3" t="s">
        <v>62</v>
      </c>
    </row>
    <row r="47" spans="1:33" ht="15.75" customHeight="1">
      <c r="A47" s="1">
        <v>45160.827900810182</v>
      </c>
      <c r="B47" s="3" t="s">
        <v>1024</v>
      </c>
      <c r="C47" s="2">
        <v>33050</v>
      </c>
      <c r="D47" s="3">
        <v>33</v>
      </c>
      <c r="E47" s="3" t="s">
        <v>510</v>
      </c>
      <c r="F47" s="3" t="s">
        <v>523</v>
      </c>
      <c r="G47" s="3" t="s">
        <v>540</v>
      </c>
      <c r="H47" s="2">
        <v>44184</v>
      </c>
      <c r="I47" s="3">
        <v>1</v>
      </c>
      <c r="J47" s="3" t="s">
        <v>541</v>
      </c>
      <c r="K47" s="3">
        <v>3130</v>
      </c>
      <c r="L47" s="3" t="s">
        <v>643</v>
      </c>
      <c r="M47" s="3">
        <v>64</v>
      </c>
      <c r="N47" s="3">
        <v>76</v>
      </c>
      <c r="O47" s="3">
        <v>165</v>
      </c>
      <c r="P47" s="3" t="s">
        <v>44</v>
      </c>
      <c r="Q47" s="3" t="s">
        <v>26</v>
      </c>
      <c r="S47" s="3" t="s">
        <v>664</v>
      </c>
      <c r="T47" s="3" t="s">
        <v>43</v>
      </c>
      <c r="U47" s="3">
        <v>7</v>
      </c>
      <c r="V47" s="3">
        <v>1</v>
      </c>
      <c r="W47" s="3" t="s">
        <v>34</v>
      </c>
      <c r="X47" s="3" t="s">
        <v>97</v>
      </c>
      <c r="Y47" s="3">
        <v>7</v>
      </c>
      <c r="Z47" s="3">
        <v>1</v>
      </c>
      <c r="AA47" s="3" t="s">
        <v>49</v>
      </c>
      <c r="AB47" s="3" t="s">
        <v>29</v>
      </c>
      <c r="AC47" s="3" t="s">
        <v>664</v>
      </c>
      <c r="AD47" s="3" t="s">
        <v>30</v>
      </c>
      <c r="AE47" s="3" t="s">
        <v>38</v>
      </c>
      <c r="AF47" s="3" t="s">
        <v>664</v>
      </c>
      <c r="AG47" s="3" t="s">
        <v>48</v>
      </c>
    </row>
    <row r="48" spans="1:33" ht="15.75" customHeight="1">
      <c r="A48" s="1">
        <v>45160.830757476855</v>
      </c>
      <c r="B48" s="3" t="s">
        <v>1024</v>
      </c>
      <c r="C48" s="2">
        <v>33576</v>
      </c>
      <c r="D48" s="3">
        <v>31</v>
      </c>
      <c r="E48" s="3" t="s">
        <v>510</v>
      </c>
      <c r="F48" s="3" t="s">
        <v>532</v>
      </c>
      <c r="G48" s="3" t="s">
        <v>539</v>
      </c>
      <c r="H48" s="2">
        <v>44025</v>
      </c>
      <c r="I48" s="3">
        <v>1</v>
      </c>
      <c r="J48" s="3" t="s">
        <v>541</v>
      </c>
      <c r="K48" s="3">
        <v>3170</v>
      </c>
      <c r="L48" s="3">
        <v>38</v>
      </c>
      <c r="M48" s="3">
        <v>54</v>
      </c>
      <c r="N48" s="3">
        <v>64</v>
      </c>
      <c r="O48" s="3">
        <v>160</v>
      </c>
      <c r="P48" s="3" t="s">
        <v>33</v>
      </c>
      <c r="Q48" s="3" t="s">
        <v>26</v>
      </c>
      <c r="S48" s="3" t="s">
        <v>664</v>
      </c>
      <c r="T48" s="3" t="s">
        <v>98</v>
      </c>
      <c r="U48" s="3">
        <v>7</v>
      </c>
      <c r="V48" s="3">
        <v>1</v>
      </c>
      <c r="W48" s="3" t="s">
        <v>34</v>
      </c>
      <c r="X48" s="3" t="s">
        <v>98</v>
      </c>
      <c r="Y48" s="3">
        <v>7</v>
      </c>
      <c r="Z48" s="3">
        <v>1</v>
      </c>
      <c r="AA48" s="3" t="s">
        <v>28</v>
      </c>
      <c r="AB48" s="3" t="s">
        <v>29</v>
      </c>
      <c r="AC48" s="3" t="s">
        <v>664</v>
      </c>
      <c r="AD48" s="3" t="s">
        <v>99</v>
      </c>
      <c r="AE48" s="3" t="s">
        <v>72</v>
      </c>
      <c r="AF48" s="3" t="s">
        <v>664</v>
      </c>
      <c r="AG48" s="3" t="s">
        <v>39</v>
      </c>
    </row>
    <row r="49" spans="1:33" ht="15.75" customHeight="1">
      <c r="A49" s="1">
        <v>45160.840114363426</v>
      </c>
      <c r="B49" s="3" t="s">
        <v>1024</v>
      </c>
      <c r="C49" s="2">
        <v>33010</v>
      </c>
      <c r="D49" s="3">
        <v>33</v>
      </c>
      <c r="E49" s="3" t="s">
        <v>516</v>
      </c>
      <c r="F49" s="3" t="s">
        <v>520</v>
      </c>
      <c r="G49" s="3" t="s">
        <v>540</v>
      </c>
      <c r="H49" s="2">
        <v>44512</v>
      </c>
      <c r="I49" s="3">
        <v>1</v>
      </c>
      <c r="J49" s="3" t="s">
        <v>541</v>
      </c>
      <c r="K49" s="3">
        <v>3060</v>
      </c>
      <c r="L49" s="3">
        <v>38</v>
      </c>
      <c r="M49" s="3">
        <v>58</v>
      </c>
      <c r="N49" s="3">
        <v>70</v>
      </c>
      <c r="O49" s="3">
        <v>162</v>
      </c>
      <c r="P49" s="3" t="s">
        <v>33</v>
      </c>
      <c r="Q49" s="3" t="s">
        <v>26</v>
      </c>
      <c r="S49" s="3" t="s">
        <v>664</v>
      </c>
      <c r="T49" s="3" t="s">
        <v>41</v>
      </c>
      <c r="U49" s="3">
        <v>7</v>
      </c>
      <c r="V49" s="3">
        <v>1</v>
      </c>
      <c r="W49" s="3" t="s">
        <v>34</v>
      </c>
      <c r="X49" s="3" t="s">
        <v>58</v>
      </c>
      <c r="Y49" s="3">
        <v>7</v>
      </c>
      <c r="Z49" s="3">
        <v>1</v>
      </c>
      <c r="AA49" s="3" t="s">
        <v>28</v>
      </c>
      <c r="AB49" s="3" t="s">
        <v>83</v>
      </c>
      <c r="AC49" s="3" t="s">
        <v>664</v>
      </c>
      <c r="AD49" s="3" t="s">
        <v>59</v>
      </c>
      <c r="AE49" s="3" t="s">
        <v>38</v>
      </c>
      <c r="AF49" s="3" t="s">
        <v>664</v>
      </c>
      <c r="AG49" s="3" t="s">
        <v>32</v>
      </c>
    </row>
    <row r="50" spans="1:33" ht="15.75" customHeight="1">
      <c r="A50" s="1">
        <v>45160.846793715275</v>
      </c>
      <c r="B50" s="3" t="s">
        <v>1024</v>
      </c>
      <c r="C50" s="2">
        <v>31303</v>
      </c>
      <c r="D50" s="3">
        <v>37</v>
      </c>
      <c r="E50" s="3" t="s">
        <v>510</v>
      </c>
      <c r="F50" s="3" t="s">
        <v>520</v>
      </c>
      <c r="G50" s="3" t="s">
        <v>539</v>
      </c>
      <c r="H50" s="2">
        <v>43321</v>
      </c>
      <c r="I50" s="3">
        <v>1</v>
      </c>
      <c r="J50" s="3" t="s">
        <v>542</v>
      </c>
      <c r="K50" s="3">
        <v>3460</v>
      </c>
      <c r="L50" s="3" t="s">
        <v>644</v>
      </c>
      <c r="M50" s="3">
        <v>69</v>
      </c>
      <c r="N50" s="3">
        <v>69</v>
      </c>
      <c r="O50" s="3">
        <v>159</v>
      </c>
      <c r="P50" s="3" t="s">
        <v>33</v>
      </c>
      <c r="Q50" s="3" t="s">
        <v>26</v>
      </c>
      <c r="S50" s="3" t="s">
        <v>664</v>
      </c>
      <c r="T50" s="3" t="s">
        <v>27</v>
      </c>
      <c r="U50" s="3">
        <v>7</v>
      </c>
      <c r="V50" s="3">
        <v>1</v>
      </c>
      <c r="W50" s="3" t="s">
        <v>26</v>
      </c>
      <c r="AA50" s="3" t="s">
        <v>49</v>
      </c>
      <c r="AB50" s="3" t="s">
        <v>100</v>
      </c>
      <c r="AC50" s="3" t="s">
        <v>664</v>
      </c>
      <c r="AD50" s="3" t="s">
        <v>30</v>
      </c>
      <c r="AE50" s="3" t="s">
        <v>38</v>
      </c>
      <c r="AF50" s="3" t="s">
        <v>664</v>
      </c>
      <c r="AG50" s="3" t="s">
        <v>32</v>
      </c>
    </row>
    <row r="51" spans="1:33" ht="15.75" customHeight="1">
      <c r="A51" s="1">
        <v>45160.862114143514</v>
      </c>
      <c r="B51" s="3" t="s">
        <v>1024</v>
      </c>
      <c r="C51" s="2">
        <v>32362</v>
      </c>
      <c r="D51" s="3">
        <v>35</v>
      </c>
      <c r="E51" s="3" t="s">
        <v>510</v>
      </c>
      <c r="F51" s="3" t="s">
        <v>520</v>
      </c>
      <c r="G51" s="3" t="s">
        <v>539</v>
      </c>
      <c r="H51" s="2">
        <v>45073</v>
      </c>
      <c r="I51" s="3">
        <v>1</v>
      </c>
      <c r="J51" s="3" t="s">
        <v>541</v>
      </c>
      <c r="K51" s="3">
        <v>2920</v>
      </c>
      <c r="L51" s="3">
        <v>39</v>
      </c>
      <c r="M51" s="3">
        <v>61</v>
      </c>
      <c r="N51" s="3">
        <v>69</v>
      </c>
      <c r="O51" s="3">
        <v>163</v>
      </c>
      <c r="P51" s="3" t="s">
        <v>44</v>
      </c>
      <c r="Q51" s="3" t="s">
        <v>34</v>
      </c>
      <c r="R51" s="3" t="s">
        <v>101</v>
      </c>
      <c r="S51" s="3" t="s">
        <v>664</v>
      </c>
      <c r="T51" s="3" t="s">
        <v>102</v>
      </c>
      <c r="U51" s="3">
        <v>7</v>
      </c>
      <c r="V51" s="3">
        <v>2</v>
      </c>
      <c r="W51" s="3" t="s">
        <v>34</v>
      </c>
      <c r="X51" s="3" t="s">
        <v>103</v>
      </c>
      <c r="Y51" s="3">
        <v>7</v>
      </c>
      <c r="Z51" s="3">
        <v>1</v>
      </c>
      <c r="AA51" s="3" t="s">
        <v>54</v>
      </c>
      <c r="AB51" s="3" t="s">
        <v>104</v>
      </c>
      <c r="AC51" s="3" t="s">
        <v>664</v>
      </c>
      <c r="AD51" s="3" t="s">
        <v>105</v>
      </c>
      <c r="AE51" s="3" t="s">
        <v>60</v>
      </c>
      <c r="AF51" s="3" t="s">
        <v>664</v>
      </c>
      <c r="AG51" s="3" t="s">
        <v>76</v>
      </c>
    </row>
    <row r="52" spans="1:33" ht="15.75" customHeight="1">
      <c r="A52" s="1">
        <v>45160.866647418981</v>
      </c>
      <c r="B52" s="3" t="s">
        <v>1024</v>
      </c>
      <c r="C52" s="2">
        <v>30718</v>
      </c>
      <c r="D52" s="3">
        <v>39</v>
      </c>
      <c r="E52" s="3" t="s">
        <v>510</v>
      </c>
      <c r="F52" s="3" t="s">
        <v>520</v>
      </c>
      <c r="G52" s="3" t="s">
        <v>540</v>
      </c>
      <c r="H52" s="2">
        <v>43113</v>
      </c>
      <c r="I52" s="3">
        <v>1</v>
      </c>
      <c r="J52" s="3" t="s">
        <v>542</v>
      </c>
      <c r="K52" s="3">
        <v>3930</v>
      </c>
      <c r="L52" s="3">
        <v>38</v>
      </c>
      <c r="M52" s="3">
        <v>75</v>
      </c>
      <c r="N52" s="3">
        <v>92</v>
      </c>
      <c r="O52" s="3">
        <v>154</v>
      </c>
      <c r="P52" s="3" t="s">
        <v>106</v>
      </c>
      <c r="Q52" s="3" t="s">
        <v>26</v>
      </c>
      <c r="S52" s="3" t="s">
        <v>664</v>
      </c>
      <c r="T52" s="3" t="s">
        <v>43</v>
      </c>
      <c r="U52" s="3">
        <v>6</v>
      </c>
      <c r="V52" s="3">
        <v>1</v>
      </c>
      <c r="W52" s="3" t="s">
        <v>26</v>
      </c>
      <c r="AA52" s="3" t="s">
        <v>49</v>
      </c>
      <c r="AB52" s="3" t="s">
        <v>29</v>
      </c>
      <c r="AC52" s="3" t="s">
        <v>664</v>
      </c>
      <c r="AD52" s="3" t="s">
        <v>30</v>
      </c>
      <c r="AE52" s="3" t="s">
        <v>38</v>
      </c>
      <c r="AF52" s="3" t="s">
        <v>664</v>
      </c>
      <c r="AG52" s="3" t="s">
        <v>32</v>
      </c>
    </row>
    <row r="53" spans="1:33" ht="15.75" customHeight="1">
      <c r="A53" s="1">
        <v>45160.872100960652</v>
      </c>
      <c r="B53" s="3" t="s">
        <v>1024</v>
      </c>
      <c r="C53" s="2">
        <v>34351</v>
      </c>
      <c r="D53" s="3">
        <v>29</v>
      </c>
      <c r="E53" s="3" t="s">
        <v>510</v>
      </c>
      <c r="F53" s="3" t="s">
        <v>520</v>
      </c>
      <c r="G53" s="3" t="s">
        <v>540</v>
      </c>
      <c r="H53" s="2">
        <v>44783</v>
      </c>
      <c r="I53" s="3">
        <v>1</v>
      </c>
      <c r="J53" s="3" t="s">
        <v>541</v>
      </c>
      <c r="K53" s="3">
        <v>3080</v>
      </c>
      <c r="L53" s="3">
        <v>39</v>
      </c>
      <c r="M53" s="3">
        <v>60</v>
      </c>
      <c r="N53" s="3">
        <v>77</v>
      </c>
      <c r="O53" s="3">
        <v>166</v>
      </c>
      <c r="P53" s="3" t="s">
        <v>33</v>
      </c>
      <c r="Q53" s="3" t="s">
        <v>26</v>
      </c>
      <c r="S53" s="3" t="s">
        <v>664</v>
      </c>
      <c r="T53" s="3" t="s">
        <v>57</v>
      </c>
      <c r="U53" s="3">
        <v>7</v>
      </c>
      <c r="V53" s="3">
        <v>1</v>
      </c>
      <c r="W53" s="3" t="s">
        <v>34</v>
      </c>
      <c r="X53" s="3" t="s">
        <v>645</v>
      </c>
      <c r="Y53" s="3">
        <v>7</v>
      </c>
      <c r="Z53" s="3">
        <v>1</v>
      </c>
      <c r="AA53" s="3" t="s">
        <v>42</v>
      </c>
      <c r="AB53" s="3" t="s">
        <v>29</v>
      </c>
      <c r="AC53" s="3" t="s">
        <v>664</v>
      </c>
      <c r="AD53" s="3" t="s">
        <v>37</v>
      </c>
      <c r="AE53" s="3" t="s">
        <v>31</v>
      </c>
      <c r="AF53" s="3" t="s">
        <v>664</v>
      </c>
      <c r="AG53" s="3" t="s">
        <v>39</v>
      </c>
    </row>
    <row r="54" spans="1:33" ht="15.75" customHeight="1">
      <c r="A54" s="1">
        <v>45160.877142986108</v>
      </c>
      <c r="B54" s="3" t="s">
        <v>1024</v>
      </c>
      <c r="C54" s="2">
        <v>29671</v>
      </c>
      <c r="D54" s="3">
        <v>42</v>
      </c>
      <c r="E54" s="3" t="s">
        <v>510</v>
      </c>
      <c r="F54" s="3" t="s">
        <v>520</v>
      </c>
      <c r="G54" s="3" t="s">
        <v>540</v>
      </c>
      <c r="H54" s="2">
        <v>44861</v>
      </c>
      <c r="I54" s="3">
        <v>2</v>
      </c>
      <c r="J54" s="3" t="s">
        <v>541</v>
      </c>
      <c r="K54" s="3">
        <v>3500</v>
      </c>
      <c r="L54" s="3">
        <v>37</v>
      </c>
      <c r="M54" s="3">
        <v>69</v>
      </c>
      <c r="N54" s="3">
        <v>72</v>
      </c>
      <c r="O54" s="3">
        <v>165</v>
      </c>
      <c r="P54" s="3" t="s">
        <v>33</v>
      </c>
      <c r="Q54" s="3" t="s">
        <v>26</v>
      </c>
      <c r="S54" s="3" t="s">
        <v>664</v>
      </c>
      <c r="T54" s="3" t="s">
        <v>27</v>
      </c>
      <c r="U54" s="3">
        <v>7</v>
      </c>
      <c r="V54" s="3">
        <v>1</v>
      </c>
      <c r="W54" s="3" t="s">
        <v>34</v>
      </c>
      <c r="X54" s="3" t="s">
        <v>107</v>
      </c>
      <c r="Y54" s="3">
        <v>7</v>
      </c>
      <c r="Z54" s="3">
        <v>1</v>
      </c>
      <c r="AA54" s="3" t="s">
        <v>49</v>
      </c>
      <c r="AB54" s="3" t="s">
        <v>29</v>
      </c>
      <c r="AC54" s="3" t="s">
        <v>664</v>
      </c>
      <c r="AD54" s="3" t="s">
        <v>37</v>
      </c>
      <c r="AE54" s="3" t="s">
        <v>38</v>
      </c>
      <c r="AF54" s="3" t="s">
        <v>26</v>
      </c>
    </row>
    <row r="55" spans="1:33" ht="15.75" customHeight="1">
      <c r="A55" s="1">
        <v>45160.88045571759</v>
      </c>
      <c r="B55" s="3" t="s">
        <v>1024</v>
      </c>
      <c r="C55" s="2">
        <v>31155</v>
      </c>
      <c r="D55" s="3">
        <v>38</v>
      </c>
      <c r="E55" s="3" t="s">
        <v>514</v>
      </c>
      <c r="F55" s="3" t="s">
        <v>520</v>
      </c>
      <c r="G55" s="3" t="s">
        <v>539</v>
      </c>
      <c r="H55" s="2">
        <v>44445</v>
      </c>
      <c r="I55" s="3">
        <v>1</v>
      </c>
      <c r="J55" s="3" t="s">
        <v>541</v>
      </c>
      <c r="K55" s="3">
        <v>3800</v>
      </c>
      <c r="L55" s="3">
        <v>38</v>
      </c>
      <c r="M55" s="3">
        <v>65</v>
      </c>
      <c r="N55" s="3">
        <v>72</v>
      </c>
      <c r="O55" s="3">
        <v>165</v>
      </c>
      <c r="P55" s="3" t="s">
        <v>44</v>
      </c>
      <c r="Q55" s="3" t="s">
        <v>34</v>
      </c>
      <c r="R55" s="3" t="s">
        <v>108</v>
      </c>
      <c r="S55" s="3" t="s">
        <v>664</v>
      </c>
      <c r="T55" s="3" t="s">
        <v>43</v>
      </c>
      <c r="U55" s="3">
        <v>5</v>
      </c>
      <c r="V55" s="3">
        <v>1</v>
      </c>
      <c r="W55" s="3" t="s">
        <v>34</v>
      </c>
      <c r="X55" s="3" t="s">
        <v>58</v>
      </c>
      <c r="Y55" s="3">
        <v>6</v>
      </c>
      <c r="Z55" s="3">
        <v>1</v>
      </c>
      <c r="AA55" s="3" t="s">
        <v>42</v>
      </c>
      <c r="AB55" s="3" t="s">
        <v>109</v>
      </c>
      <c r="AC55" s="3" t="s">
        <v>664</v>
      </c>
      <c r="AD55" s="3" t="s">
        <v>63</v>
      </c>
      <c r="AE55" s="3" t="s">
        <v>60</v>
      </c>
      <c r="AF55" s="3" t="s">
        <v>26</v>
      </c>
      <c r="AG55" s="3" t="s">
        <v>62</v>
      </c>
    </row>
    <row r="56" spans="1:33" ht="15.75" customHeight="1">
      <c r="A56" s="1">
        <v>45160.88992332176</v>
      </c>
      <c r="B56" s="3" t="s">
        <v>1024</v>
      </c>
      <c r="C56" s="2">
        <v>29897</v>
      </c>
      <c r="D56" s="3">
        <v>41</v>
      </c>
      <c r="E56" s="3" t="s">
        <v>510</v>
      </c>
      <c r="F56" s="3" t="s">
        <v>520</v>
      </c>
      <c r="G56" s="3" t="s">
        <v>540</v>
      </c>
      <c r="H56" s="2">
        <v>43103</v>
      </c>
      <c r="I56" s="3">
        <v>4</v>
      </c>
      <c r="J56" s="3" t="s">
        <v>541</v>
      </c>
      <c r="K56" s="3">
        <v>3200</v>
      </c>
      <c r="L56" s="3" t="s">
        <v>618</v>
      </c>
      <c r="M56" s="3">
        <v>56</v>
      </c>
      <c r="N56" s="3">
        <v>64</v>
      </c>
      <c r="O56" s="3">
        <v>162</v>
      </c>
      <c r="P56" s="3" t="s">
        <v>33</v>
      </c>
      <c r="Q56" s="3" t="s">
        <v>26</v>
      </c>
      <c r="S56" s="3" t="s">
        <v>664</v>
      </c>
      <c r="T56" s="3" t="s">
        <v>27</v>
      </c>
      <c r="U56" s="3">
        <v>7</v>
      </c>
      <c r="V56" s="3">
        <v>1</v>
      </c>
      <c r="W56" s="3" t="s">
        <v>26</v>
      </c>
      <c r="AA56" s="3" t="s">
        <v>28</v>
      </c>
      <c r="AB56" s="3" t="s">
        <v>29</v>
      </c>
      <c r="AC56" s="3" t="s">
        <v>664</v>
      </c>
      <c r="AD56" s="3" t="s">
        <v>30</v>
      </c>
      <c r="AE56" s="3" t="s">
        <v>60</v>
      </c>
      <c r="AF56" s="3" t="s">
        <v>664</v>
      </c>
      <c r="AG56" s="3" t="s">
        <v>32</v>
      </c>
    </row>
    <row r="57" spans="1:33" ht="15.75" customHeight="1">
      <c r="A57" s="1">
        <v>45160.892565254631</v>
      </c>
      <c r="B57" s="3" t="s">
        <v>1024</v>
      </c>
      <c r="C57" s="2">
        <v>30646</v>
      </c>
      <c r="D57" s="3">
        <v>39</v>
      </c>
      <c r="E57" s="3" t="s">
        <v>510</v>
      </c>
      <c r="F57" s="3" t="s">
        <v>520</v>
      </c>
      <c r="G57" s="3" t="s">
        <v>540</v>
      </c>
      <c r="H57" s="2" t="s">
        <v>1053</v>
      </c>
      <c r="I57" s="3">
        <v>2</v>
      </c>
      <c r="J57" s="3" t="s">
        <v>542</v>
      </c>
      <c r="K57" s="3">
        <v>3520</v>
      </c>
      <c r="L57" s="3">
        <v>39</v>
      </c>
      <c r="M57" s="3">
        <v>55</v>
      </c>
      <c r="N57" s="3">
        <v>64</v>
      </c>
      <c r="O57" s="3">
        <v>169</v>
      </c>
      <c r="P57" s="3" t="s">
        <v>33</v>
      </c>
      <c r="Q57" s="3" t="s">
        <v>26</v>
      </c>
      <c r="S57" s="3" t="s">
        <v>664</v>
      </c>
      <c r="T57" s="3" t="s">
        <v>27</v>
      </c>
      <c r="U57" s="3">
        <v>3</v>
      </c>
      <c r="V57" s="3">
        <v>1</v>
      </c>
      <c r="W57" s="3" t="s">
        <v>34</v>
      </c>
      <c r="X57" s="3" t="s">
        <v>58</v>
      </c>
      <c r="Y57" s="3">
        <v>7</v>
      </c>
      <c r="Z57" s="3">
        <v>1</v>
      </c>
      <c r="AA57" s="3" t="s">
        <v>49</v>
      </c>
      <c r="AB57" s="3" t="s">
        <v>29</v>
      </c>
      <c r="AC57" s="3" t="s">
        <v>664</v>
      </c>
      <c r="AD57" s="3" t="s">
        <v>30</v>
      </c>
      <c r="AE57" s="3" t="s">
        <v>38</v>
      </c>
      <c r="AF57" s="3" t="s">
        <v>664</v>
      </c>
      <c r="AG57" s="3" t="s">
        <v>39</v>
      </c>
    </row>
    <row r="58" spans="1:33" ht="15.75" customHeight="1">
      <c r="A58" s="1">
        <v>45160.904210034721</v>
      </c>
      <c r="B58" s="3" t="s">
        <v>1024</v>
      </c>
      <c r="C58" s="2">
        <v>33623</v>
      </c>
      <c r="D58" s="3">
        <v>31</v>
      </c>
      <c r="E58" s="3" t="s">
        <v>510</v>
      </c>
      <c r="F58" s="3" t="s">
        <v>520</v>
      </c>
      <c r="G58" s="3" t="s">
        <v>540</v>
      </c>
      <c r="H58" s="2">
        <v>44449</v>
      </c>
      <c r="I58" s="3">
        <v>1</v>
      </c>
      <c r="J58" s="3" t="s">
        <v>541</v>
      </c>
      <c r="K58" s="3">
        <v>3380</v>
      </c>
      <c r="L58" s="3" t="s">
        <v>646</v>
      </c>
      <c r="M58" s="3">
        <v>52</v>
      </c>
      <c r="N58" s="3">
        <v>69</v>
      </c>
      <c r="O58" s="3">
        <v>158</v>
      </c>
      <c r="P58" s="3" t="s">
        <v>33</v>
      </c>
      <c r="Q58" s="3" t="s">
        <v>26</v>
      </c>
      <c r="S58" s="3" t="s">
        <v>26</v>
      </c>
      <c r="W58" s="3" t="s">
        <v>34</v>
      </c>
      <c r="X58" s="3" t="s">
        <v>98</v>
      </c>
      <c r="Y58" s="3">
        <v>7</v>
      </c>
      <c r="Z58" s="3">
        <v>2</v>
      </c>
      <c r="AA58" s="3" t="s">
        <v>51</v>
      </c>
      <c r="AB58" s="3" t="s">
        <v>110</v>
      </c>
      <c r="AC58" s="3" t="s">
        <v>664</v>
      </c>
      <c r="AD58" s="3" t="s">
        <v>111</v>
      </c>
      <c r="AE58" s="3" t="s">
        <v>60</v>
      </c>
      <c r="AF58" s="3" t="s">
        <v>26</v>
      </c>
      <c r="AG58" s="3" t="s">
        <v>62</v>
      </c>
    </row>
    <row r="59" spans="1:33" ht="15.75" customHeight="1">
      <c r="A59" s="1">
        <v>45160.904291250001</v>
      </c>
      <c r="B59" s="3" t="s">
        <v>1024</v>
      </c>
      <c r="C59" s="2">
        <v>32063</v>
      </c>
      <c r="D59" s="3">
        <v>35</v>
      </c>
      <c r="E59" s="3" t="s">
        <v>510</v>
      </c>
      <c r="F59" s="3" t="s">
        <v>520</v>
      </c>
      <c r="G59" s="3" t="s">
        <v>540</v>
      </c>
      <c r="H59" s="2">
        <v>44648</v>
      </c>
      <c r="I59" s="3">
        <v>1</v>
      </c>
      <c r="J59" s="3" t="s">
        <v>541</v>
      </c>
      <c r="K59" s="3">
        <v>3165</v>
      </c>
      <c r="L59" s="3">
        <v>40</v>
      </c>
      <c r="M59" s="3">
        <v>62</v>
      </c>
      <c r="N59" s="3">
        <v>65</v>
      </c>
      <c r="O59" s="3">
        <v>153.5</v>
      </c>
      <c r="P59" s="3" t="s">
        <v>89</v>
      </c>
      <c r="Q59" s="3" t="s">
        <v>26</v>
      </c>
      <c r="S59" s="3" t="s">
        <v>664</v>
      </c>
      <c r="T59" s="3" t="s">
        <v>57</v>
      </c>
      <c r="U59" s="3">
        <v>7</v>
      </c>
      <c r="V59" s="3">
        <v>1</v>
      </c>
      <c r="W59" s="3" t="s">
        <v>34</v>
      </c>
      <c r="X59" s="3" t="s">
        <v>112</v>
      </c>
      <c r="Y59" s="3">
        <v>7</v>
      </c>
      <c r="Z59" s="3">
        <v>1</v>
      </c>
      <c r="AA59" s="3" t="s">
        <v>36</v>
      </c>
      <c r="AB59" s="3" t="s">
        <v>113</v>
      </c>
      <c r="AC59" s="3" t="s">
        <v>664</v>
      </c>
      <c r="AD59" s="3" t="s">
        <v>37</v>
      </c>
      <c r="AE59" s="3" t="s">
        <v>38</v>
      </c>
      <c r="AF59" s="3" t="s">
        <v>664</v>
      </c>
      <c r="AG59" s="3" t="s">
        <v>39</v>
      </c>
    </row>
    <row r="60" spans="1:33" ht="15.75" customHeight="1">
      <c r="A60" s="1">
        <v>45160.909080567129</v>
      </c>
      <c r="B60" s="3" t="s">
        <v>1024</v>
      </c>
      <c r="C60" s="2">
        <v>30157</v>
      </c>
      <c r="D60" s="3">
        <v>41</v>
      </c>
      <c r="E60" s="3" t="s">
        <v>510</v>
      </c>
      <c r="F60" s="3" t="s">
        <v>520</v>
      </c>
      <c r="G60" s="3" t="s">
        <v>540</v>
      </c>
      <c r="H60" s="2">
        <v>43784</v>
      </c>
      <c r="I60" s="3">
        <v>4</v>
      </c>
      <c r="J60" s="3" t="s">
        <v>541</v>
      </c>
      <c r="K60" s="3">
        <v>2850</v>
      </c>
      <c r="L60" s="3">
        <v>38</v>
      </c>
      <c r="M60" s="3">
        <v>76</v>
      </c>
      <c r="N60" s="3">
        <v>86</v>
      </c>
      <c r="O60" s="3">
        <v>169</v>
      </c>
      <c r="P60" s="3" t="s">
        <v>33</v>
      </c>
      <c r="Q60" s="3" t="s">
        <v>26</v>
      </c>
      <c r="S60" s="3" t="s">
        <v>26</v>
      </c>
      <c r="W60" s="3" t="s">
        <v>34</v>
      </c>
      <c r="X60" s="3" t="s">
        <v>58</v>
      </c>
      <c r="Y60" s="3">
        <v>4</v>
      </c>
      <c r="Z60" s="3">
        <v>1</v>
      </c>
      <c r="AA60" s="3" t="s">
        <v>114</v>
      </c>
      <c r="AB60" s="3" t="s">
        <v>115</v>
      </c>
      <c r="AC60" s="3" t="s">
        <v>26</v>
      </c>
      <c r="AD60" s="3" t="s">
        <v>30</v>
      </c>
      <c r="AE60" s="3" t="s">
        <v>31</v>
      </c>
      <c r="AF60" s="3" t="s">
        <v>664</v>
      </c>
      <c r="AG60" s="3" t="s">
        <v>32</v>
      </c>
    </row>
    <row r="61" spans="1:33" ht="15.75" customHeight="1">
      <c r="A61" s="1">
        <v>45161.296723101856</v>
      </c>
      <c r="B61" s="3" t="s">
        <v>1024</v>
      </c>
      <c r="C61" s="2">
        <v>29465</v>
      </c>
      <c r="D61" s="3">
        <v>42</v>
      </c>
      <c r="E61" s="3" t="s">
        <v>510</v>
      </c>
      <c r="F61" s="3" t="s">
        <v>529</v>
      </c>
      <c r="G61" s="3" t="s">
        <v>540</v>
      </c>
      <c r="H61" s="2">
        <v>44366</v>
      </c>
      <c r="I61" s="3">
        <v>1</v>
      </c>
      <c r="J61" s="3" t="s">
        <v>541</v>
      </c>
      <c r="K61" s="3" t="s">
        <v>1054</v>
      </c>
      <c r="L61" s="3" t="s">
        <v>647</v>
      </c>
      <c r="M61" s="3">
        <v>64</v>
      </c>
      <c r="N61" s="3">
        <v>76</v>
      </c>
      <c r="O61" s="3">
        <v>160</v>
      </c>
      <c r="P61" s="3" t="s">
        <v>33</v>
      </c>
      <c r="Q61" s="3" t="s">
        <v>26</v>
      </c>
      <c r="S61" s="3" t="s">
        <v>664</v>
      </c>
      <c r="T61" s="3" t="s">
        <v>43</v>
      </c>
      <c r="U61" s="3">
        <v>7</v>
      </c>
      <c r="V61" s="3">
        <v>1</v>
      </c>
      <c r="W61" s="3" t="s">
        <v>26</v>
      </c>
      <c r="AA61" s="3" t="s">
        <v>36</v>
      </c>
      <c r="AB61" s="3" t="s">
        <v>29</v>
      </c>
      <c r="AC61" s="3" t="s">
        <v>664</v>
      </c>
      <c r="AD61" s="3" t="s">
        <v>30</v>
      </c>
      <c r="AE61" s="3" t="s">
        <v>38</v>
      </c>
      <c r="AF61" s="3" t="s">
        <v>664</v>
      </c>
      <c r="AG61" s="3" t="s">
        <v>62</v>
      </c>
    </row>
    <row r="62" spans="1:33" ht="15.75" customHeight="1">
      <c r="A62" s="1">
        <v>45161.330186840278</v>
      </c>
      <c r="B62" s="3" t="s">
        <v>1024</v>
      </c>
      <c r="C62" s="2">
        <v>32008</v>
      </c>
      <c r="D62" s="3">
        <v>36</v>
      </c>
      <c r="E62" s="3" t="s">
        <v>510</v>
      </c>
      <c r="F62" s="3" t="s">
        <v>520</v>
      </c>
      <c r="G62" s="3" t="s">
        <v>539</v>
      </c>
      <c r="H62" s="2">
        <v>44018</v>
      </c>
      <c r="I62" s="3">
        <v>2</v>
      </c>
      <c r="J62" s="3" t="s">
        <v>542</v>
      </c>
      <c r="K62" s="3">
        <v>2790</v>
      </c>
      <c r="L62" s="3">
        <v>35</v>
      </c>
      <c r="M62" s="3">
        <v>80</v>
      </c>
      <c r="N62" s="3">
        <v>89</v>
      </c>
      <c r="O62" s="3">
        <v>175</v>
      </c>
      <c r="P62" s="3" t="s">
        <v>33</v>
      </c>
      <c r="Q62" s="3" t="s">
        <v>26</v>
      </c>
      <c r="S62" s="3" t="s">
        <v>664</v>
      </c>
      <c r="T62" s="3" t="s">
        <v>27</v>
      </c>
      <c r="U62" s="3">
        <v>7</v>
      </c>
      <c r="V62" s="3">
        <v>1</v>
      </c>
      <c r="W62" s="3" t="s">
        <v>34</v>
      </c>
      <c r="X62" s="3" t="s">
        <v>58</v>
      </c>
      <c r="Y62" s="3">
        <v>7</v>
      </c>
      <c r="Z62" s="3">
        <v>1</v>
      </c>
      <c r="AA62" s="3" t="s">
        <v>28</v>
      </c>
      <c r="AB62" s="3" t="s">
        <v>29</v>
      </c>
      <c r="AC62" s="3" t="s">
        <v>664</v>
      </c>
      <c r="AD62" s="3" t="s">
        <v>30</v>
      </c>
      <c r="AE62" s="3" t="s">
        <v>38</v>
      </c>
      <c r="AF62" s="3" t="s">
        <v>664</v>
      </c>
      <c r="AG62" s="3" t="s">
        <v>32</v>
      </c>
    </row>
    <row r="63" spans="1:33" ht="15.75" customHeight="1">
      <c r="A63" s="1">
        <v>45161.333619837962</v>
      </c>
      <c r="B63" s="3" t="s">
        <v>1024</v>
      </c>
      <c r="C63" s="2">
        <v>33161</v>
      </c>
      <c r="D63" s="3">
        <v>32</v>
      </c>
      <c r="E63" s="3" t="s">
        <v>514</v>
      </c>
      <c r="F63" s="3" t="s">
        <v>520</v>
      </c>
      <c r="G63" s="3" t="s">
        <v>539</v>
      </c>
      <c r="H63" s="2">
        <v>44519</v>
      </c>
      <c r="I63" s="3">
        <v>2</v>
      </c>
      <c r="J63" s="3" t="s">
        <v>541</v>
      </c>
      <c r="K63" s="3">
        <v>3540</v>
      </c>
      <c r="L63" s="3">
        <v>39</v>
      </c>
      <c r="M63" s="3">
        <v>60</v>
      </c>
      <c r="N63" s="3">
        <v>78</v>
      </c>
      <c r="O63" s="3">
        <v>156</v>
      </c>
      <c r="P63" s="3" t="s">
        <v>33</v>
      </c>
      <c r="Q63" s="3" t="s">
        <v>26</v>
      </c>
      <c r="S63" s="3" t="s">
        <v>664</v>
      </c>
      <c r="T63" s="3" t="s">
        <v>27</v>
      </c>
      <c r="U63" s="3">
        <v>7</v>
      </c>
      <c r="V63" s="3">
        <v>1</v>
      </c>
      <c r="W63" s="3" t="s">
        <v>34</v>
      </c>
      <c r="X63" s="3" t="s">
        <v>116</v>
      </c>
      <c r="Y63" s="3">
        <v>7</v>
      </c>
      <c r="Z63" s="3">
        <v>1</v>
      </c>
      <c r="AA63" s="3" t="s">
        <v>42</v>
      </c>
      <c r="AB63" s="3" t="s">
        <v>29</v>
      </c>
      <c r="AC63" s="3" t="s">
        <v>664</v>
      </c>
      <c r="AD63" s="3" t="s">
        <v>37</v>
      </c>
      <c r="AE63" s="3" t="s">
        <v>31</v>
      </c>
      <c r="AF63" s="3" t="s">
        <v>664</v>
      </c>
      <c r="AG63" s="3" t="s">
        <v>32</v>
      </c>
    </row>
    <row r="64" spans="1:33" ht="15.75" customHeight="1">
      <c r="A64" s="1">
        <v>45161.35321119213</v>
      </c>
      <c r="B64" s="3" t="s">
        <v>1024</v>
      </c>
      <c r="C64" s="2">
        <v>31897</v>
      </c>
      <c r="D64" s="3">
        <v>36</v>
      </c>
      <c r="E64" s="3" t="s">
        <v>511</v>
      </c>
      <c r="F64" s="3" t="s">
        <v>520</v>
      </c>
      <c r="G64" s="3" t="s">
        <v>540</v>
      </c>
      <c r="H64" s="2">
        <v>42966</v>
      </c>
      <c r="I64" s="3">
        <v>1</v>
      </c>
      <c r="J64" s="3" t="s">
        <v>541</v>
      </c>
      <c r="K64" s="3">
        <v>2990</v>
      </c>
      <c r="L64" s="3">
        <v>3847</v>
      </c>
      <c r="M64" s="3">
        <v>48</v>
      </c>
      <c r="N64" s="3">
        <v>54</v>
      </c>
      <c r="O64" s="3">
        <v>158</v>
      </c>
      <c r="P64" s="3" t="s">
        <v>33</v>
      </c>
      <c r="Q64" s="3" t="s">
        <v>26</v>
      </c>
      <c r="S64" s="3" t="s">
        <v>664</v>
      </c>
      <c r="T64" s="3" t="s">
        <v>117</v>
      </c>
      <c r="U64" s="3">
        <v>7</v>
      </c>
      <c r="V64" s="3">
        <v>1</v>
      </c>
      <c r="W64" s="3" t="s">
        <v>34</v>
      </c>
      <c r="X64" s="3" t="s">
        <v>61</v>
      </c>
      <c r="Y64" s="3">
        <v>7</v>
      </c>
      <c r="Z64" s="3">
        <v>1</v>
      </c>
      <c r="AA64" s="3" t="s">
        <v>42</v>
      </c>
      <c r="AB64" s="3" t="s">
        <v>29</v>
      </c>
      <c r="AC64" s="3" t="s">
        <v>664</v>
      </c>
      <c r="AD64" s="3" t="s">
        <v>118</v>
      </c>
      <c r="AE64" s="3" t="s">
        <v>60</v>
      </c>
      <c r="AF64" s="3" t="s">
        <v>664</v>
      </c>
      <c r="AG64" s="3" t="s">
        <v>39</v>
      </c>
    </row>
    <row r="65" spans="1:33" ht="15.75" customHeight="1">
      <c r="A65" s="1">
        <v>45161.362159814817</v>
      </c>
      <c r="B65" s="3" t="s">
        <v>1024</v>
      </c>
      <c r="C65" s="2">
        <v>34620</v>
      </c>
      <c r="D65" s="3">
        <v>28</v>
      </c>
      <c r="E65" s="3" t="s">
        <v>512</v>
      </c>
      <c r="F65" s="3" t="s">
        <v>520</v>
      </c>
      <c r="G65" s="3" t="s">
        <v>539</v>
      </c>
      <c r="H65" s="2">
        <v>44068</v>
      </c>
      <c r="I65" s="3">
        <v>1</v>
      </c>
      <c r="J65" s="3" t="s">
        <v>541</v>
      </c>
      <c r="K65" s="3">
        <v>3280</v>
      </c>
      <c r="L65" s="3" t="s">
        <v>648</v>
      </c>
      <c r="M65" s="3">
        <v>63</v>
      </c>
      <c r="N65" s="3">
        <v>74</v>
      </c>
      <c r="O65" s="3">
        <v>150</v>
      </c>
      <c r="P65" s="3" t="s">
        <v>33</v>
      </c>
      <c r="Q65" s="3" t="s">
        <v>26</v>
      </c>
      <c r="S65" s="3" t="s">
        <v>664</v>
      </c>
      <c r="T65" s="3" t="s">
        <v>79</v>
      </c>
      <c r="U65" s="3">
        <v>7</v>
      </c>
      <c r="V65" s="3">
        <v>1</v>
      </c>
      <c r="W65" s="3" t="s">
        <v>34</v>
      </c>
      <c r="X65" s="3" t="s">
        <v>58</v>
      </c>
      <c r="Y65" s="3">
        <v>7</v>
      </c>
      <c r="Z65" s="3">
        <v>1</v>
      </c>
      <c r="AA65" s="3" t="s">
        <v>42</v>
      </c>
      <c r="AB65" s="3" t="s">
        <v>29</v>
      </c>
      <c r="AC65" s="3" t="s">
        <v>664</v>
      </c>
      <c r="AD65" s="3" t="s">
        <v>30</v>
      </c>
      <c r="AE65" s="3" t="s">
        <v>31</v>
      </c>
      <c r="AF65" s="3" t="s">
        <v>664</v>
      </c>
      <c r="AG65" s="3" t="s">
        <v>32</v>
      </c>
    </row>
    <row r="66" spans="1:33" ht="15.75" customHeight="1">
      <c r="A66" s="1">
        <v>45161.454814166667</v>
      </c>
      <c r="B66" s="3" t="s">
        <v>1024</v>
      </c>
      <c r="C66" s="2">
        <v>32982</v>
      </c>
      <c r="D66" s="3">
        <v>33</v>
      </c>
      <c r="E66" s="3" t="s">
        <v>510</v>
      </c>
      <c r="F66" s="3" t="s">
        <v>520</v>
      </c>
      <c r="G66" s="3" t="s">
        <v>539</v>
      </c>
      <c r="H66" s="2">
        <v>45127</v>
      </c>
      <c r="I66" s="3">
        <v>2</v>
      </c>
      <c r="J66" s="3" t="s">
        <v>541</v>
      </c>
      <c r="K66" s="3" t="s">
        <v>1055</v>
      </c>
      <c r="L66" s="3" t="s">
        <v>649</v>
      </c>
      <c r="M66" s="3">
        <v>55</v>
      </c>
      <c r="N66" s="3">
        <v>65</v>
      </c>
      <c r="O66" s="3">
        <v>1.6</v>
      </c>
      <c r="P66" s="3" t="s">
        <v>33</v>
      </c>
      <c r="Q66" s="3" t="s">
        <v>26</v>
      </c>
      <c r="S66" s="3" t="s">
        <v>664</v>
      </c>
      <c r="T66" s="3" t="s">
        <v>27</v>
      </c>
      <c r="U66" s="3">
        <v>7</v>
      </c>
      <c r="V66" s="3">
        <v>1</v>
      </c>
      <c r="W66" s="3" t="s">
        <v>34</v>
      </c>
      <c r="X66" s="3" t="s">
        <v>119</v>
      </c>
      <c r="Y66" s="3">
        <v>7</v>
      </c>
      <c r="Z66" s="3">
        <v>1</v>
      </c>
      <c r="AA66" s="3" t="s">
        <v>28</v>
      </c>
      <c r="AB66" s="3" t="s">
        <v>120</v>
      </c>
      <c r="AC66" s="3" t="s">
        <v>664</v>
      </c>
      <c r="AD66" s="3" t="s">
        <v>55</v>
      </c>
      <c r="AE66" s="3" t="s">
        <v>159</v>
      </c>
      <c r="AF66" s="3" t="s">
        <v>664</v>
      </c>
      <c r="AG66" s="3" t="s">
        <v>32</v>
      </c>
    </row>
    <row r="67" spans="1:33" ht="15.75" customHeight="1">
      <c r="A67" s="1">
        <v>45161.480313993059</v>
      </c>
      <c r="B67" s="3" t="s">
        <v>1024</v>
      </c>
      <c r="C67" s="2">
        <v>31491</v>
      </c>
      <c r="D67" s="3">
        <v>37</v>
      </c>
      <c r="E67" s="3" t="s">
        <v>510</v>
      </c>
      <c r="F67" s="3" t="s">
        <v>520</v>
      </c>
      <c r="G67" s="3" t="s">
        <v>539</v>
      </c>
      <c r="H67" s="2">
        <v>43885</v>
      </c>
      <c r="I67" s="3">
        <v>4</v>
      </c>
      <c r="J67" s="3" t="s">
        <v>542</v>
      </c>
      <c r="K67" s="3">
        <v>2830</v>
      </c>
      <c r="L67" s="3">
        <v>39</v>
      </c>
      <c r="M67" s="3">
        <v>83</v>
      </c>
      <c r="N67" s="3">
        <v>90</v>
      </c>
      <c r="O67" s="3" t="s">
        <v>1056</v>
      </c>
      <c r="P67" s="3" t="s">
        <v>33</v>
      </c>
      <c r="Q67" s="3" t="s">
        <v>26</v>
      </c>
      <c r="S67" s="3" t="s">
        <v>664</v>
      </c>
      <c r="T67" s="3" t="s">
        <v>79</v>
      </c>
      <c r="U67" s="3">
        <v>1</v>
      </c>
      <c r="V67" s="3">
        <v>1</v>
      </c>
      <c r="W67" s="3" t="s">
        <v>26</v>
      </c>
      <c r="AA67" s="3" t="s">
        <v>49</v>
      </c>
      <c r="AB67" s="3" t="s">
        <v>29</v>
      </c>
      <c r="AC67" s="3" t="s">
        <v>664</v>
      </c>
      <c r="AD67" s="3" t="s">
        <v>30</v>
      </c>
      <c r="AE67" s="3" t="s">
        <v>38</v>
      </c>
      <c r="AF67" s="3" t="s">
        <v>664</v>
      </c>
      <c r="AG67" s="3" t="s">
        <v>39</v>
      </c>
    </row>
    <row r="68" spans="1:33" ht="15.75" customHeight="1">
      <c r="A68" s="1">
        <v>45161.495591435189</v>
      </c>
      <c r="B68" s="3" t="s">
        <v>1024</v>
      </c>
      <c r="C68" s="2">
        <v>35712</v>
      </c>
      <c r="D68" s="3">
        <v>25</v>
      </c>
      <c r="E68" s="3" t="s">
        <v>510</v>
      </c>
      <c r="F68" s="3" t="s">
        <v>520</v>
      </c>
      <c r="G68" s="3" t="s">
        <v>538</v>
      </c>
      <c r="H68" s="2">
        <v>44391</v>
      </c>
      <c r="I68" s="3">
        <v>2</v>
      </c>
      <c r="J68" s="3" t="s">
        <v>542</v>
      </c>
      <c r="K68" s="3">
        <v>3270</v>
      </c>
      <c r="L68" s="3" t="s">
        <v>649</v>
      </c>
      <c r="M68" s="3">
        <v>60</v>
      </c>
      <c r="N68" s="3">
        <v>72</v>
      </c>
      <c r="O68" s="3">
        <v>165</v>
      </c>
      <c r="P68" s="3" t="s">
        <v>33</v>
      </c>
      <c r="Q68" s="3" t="s">
        <v>26</v>
      </c>
      <c r="S68" s="3" t="s">
        <v>664</v>
      </c>
      <c r="T68" s="3" t="s">
        <v>79</v>
      </c>
      <c r="U68" s="3">
        <v>7</v>
      </c>
      <c r="V68" s="3">
        <v>1</v>
      </c>
      <c r="W68" s="3" t="s">
        <v>26</v>
      </c>
      <c r="AA68" s="3" t="s">
        <v>49</v>
      </c>
      <c r="AB68" s="3" t="s">
        <v>29</v>
      </c>
      <c r="AC68" s="3" t="s">
        <v>664</v>
      </c>
      <c r="AD68" s="3" t="s">
        <v>55</v>
      </c>
      <c r="AE68" s="3" t="s">
        <v>31</v>
      </c>
      <c r="AF68" s="3" t="s">
        <v>664</v>
      </c>
      <c r="AG68" s="3" t="s">
        <v>48</v>
      </c>
    </row>
    <row r="69" spans="1:33" ht="15.75" customHeight="1">
      <c r="A69" s="1">
        <v>45161.557995763884</v>
      </c>
      <c r="B69" s="3" t="s">
        <v>1024</v>
      </c>
      <c r="C69" s="2">
        <v>29289</v>
      </c>
      <c r="D69" s="3">
        <v>43</v>
      </c>
      <c r="E69" s="3" t="s">
        <v>510</v>
      </c>
      <c r="F69" s="3" t="s">
        <v>520</v>
      </c>
      <c r="G69" s="3" t="s">
        <v>540</v>
      </c>
      <c r="H69" s="2">
        <v>44107</v>
      </c>
      <c r="I69" s="3">
        <v>2</v>
      </c>
      <c r="J69" s="3" t="s">
        <v>541</v>
      </c>
      <c r="K69" s="3">
        <v>3.35</v>
      </c>
      <c r="L69" s="3">
        <v>39</v>
      </c>
      <c r="M69" s="3">
        <v>50</v>
      </c>
      <c r="N69" s="3">
        <v>62</v>
      </c>
      <c r="O69" s="3">
        <v>156</v>
      </c>
      <c r="P69" s="3" t="s">
        <v>33</v>
      </c>
      <c r="Q69" s="3" t="s">
        <v>26</v>
      </c>
      <c r="S69" s="3" t="s">
        <v>664</v>
      </c>
      <c r="T69" s="3" t="s">
        <v>41</v>
      </c>
      <c r="U69" s="3">
        <v>7</v>
      </c>
      <c r="V69" s="3">
        <v>1</v>
      </c>
      <c r="W69" s="3" t="s">
        <v>34</v>
      </c>
      <c r="X69" s="3" t="s">
        <v>58</v>
      </c>
      <c r="Y69" s="3">
        <v>7</v>
      </c>
      <c r="Z69" s="3">
        <v>1</v>
      </c>
      <c r="AA69" s="3" t="s">
        <v>28</v>
      </c>
      <c r="AB69" s="3" t="s">
        <v>29</v>
      </c>
      <c r="AC69" s="3" t="s">
        <v>664</v>
      </c>
      <c r="AD69" s="3" t="s">
        <v>30</v>
      </c>
      <c r="AE69" s="3" t="s">
        <v>31</v>
      </c>
      <c r="AF69" s="3" t="s">
        <v>664</v>
      </c>
      <c r="AG69" s="3" t="s">
        <v>32</v>
      </c>
    </row>
    <row r="70" spans="1:33" ht="15.75" customHeight="1">
      <c r="A70" s="1">
        <v>45161.578248935184</v>
      </c>
      <c r="B70" s="3" t="s">
        <v>1024</v>
      </c>
      <c r="C70" s="2">
        <v>31684</v>
      </c>
      <c r="D70" s="3">
        <v>36</v>
      </c>
      <c r="E70" s="3" t="s">
        <v>510</v>
      </c>
      <c r="F70" s="3" t="s">
        <v>520</v>
      </c>
      <c r="G70" s="3" t="s">
        <v>540</v>
      </c>
      <c r="H70" s="2">
        <v>42916</v>
      </c>
      <c r="I70" s="3">
        <v>2</v>
      </c>
      <c r="J70" s="3" t="s">
        <v>541</v>
      </c>
      <c r="K70" s="3">
        <v>4.05</v>
      </c>
      <c r="L70" s="3" t="s">
        <v>636</v>
      </c>
      <c r="M70" s="3">
        <v>56</v>
      </c>
      <c r="N70" s="3">
        <v>66</v>
      </c>
      <c r="O70" s="3">
        <v>154</v>
      </c>
      <c r="P70" s="3" t="s">
        <v>33</v>
      </c>
      <c r="Q70" s="3" t="s">
        <v>26</v>
      </c>
      <c r="S70" s="3" t="s">
        <v>26</v>
      </c>
      <c r="T70" s="3" t="s">
        <v>121</v>
      </c>
      <c r="W70" s="3" t="s">
        <v>26</v>
      </c>
      <c r="AA70" s="3" t="s">
        <v>51</v>
      </c>
      <c r="AB70" s="3" t="s">
        <v>29</v>
      </c>
      <c r="AC70" s="3" t="s">
        <v>664</v>
      </c>
      <c r="AD70" s="3" t="s">
        <v>30</v>
      </c>
      <c r="AE70" s="3" t="s">
        <v>38</v>
      </c>
      <c r="AF70" s="3" t="s">
        <v>664</v>
      </c>
      <c r="AG70" s="3" t="s">
        <v>39</v>
      </c>
    </row>
    <row r="71" spans="1:33" ht="15.75" customHeight="1">
      <c r="A71" s="1">
        <v>45161.589863703703</v>
      </c>
      <c r="B71" s="3" t="s">
        <v>1024</v>
      </c>
      <c r="C71" s="2">
        <v>32648</v>
      </c>
      <c r="D71" s="3">
        <v>34</v>
      </c>
      <c r="E71" s="3" t="s">
        <v>510</v>
      </c>
      <c r="F71" s="3" t="s">
        <v>520</v>
      </c>
      <c r="G71" s="3" t="s">
        <v>540</v>
      </c>
      <c r="H71" s="2">
        <v>43265</v>
      </c>
      <c r="I71" s="3">
        <v>3</v>
      </c>
      <c r="J71" s="3" t="s">
        <v>541</v>
      </c>
      <c r="K71" s="3">
        <v>3990</v>
      </c>
      <c r="L71" s="3">
        <v>40</v>
      </c>
      <c r="M71" s="3">
        <v>63</v>
      </c>
      <c r="N71" s="3">
        <v>78</v>
      </c>
      <c r="O71" s="3">
        <v>170</v>
      </c>
      <c r="P71" s="3" t="s">
        <v>44</v>
      </c>
      <c r="Q71" s="3" t="s">
        <v>26</v>
      </c>
      <c r="S71" s="3" t="s">
        <v>664</v>
      </c>
      <c r="T71" s="3" t="s">
        <v>57</v>
      </c>
      <c r="U71" s="3">
        <v>7</v>
      </c>
      <c r="V71" s="3">
        <v>1</v>
      </c>
      <c r="W71" s="3" t="s">
        <v>34</v>
      </c>
      <c r="X71" s="3" t="s">
        <v>58</v>
      </c>
      <c r="Y71" s="3">
        <v>7</v>
      </c>
      <c r="Z71" s="3">
        <v>1</v>
      </c>
      <c r="AA71" s="3" t="s">
        <v>28</v>
      </c>
      <c r="AB71" s="3" t="s">
        <v>29</v>
      </c>
      <c r="AC71" s="3" t="s">
        <v>664</v>
      </c>
      <c r="AD71" s="3" t="s">
        <v>37</v>
      </c>
      <c r="AE71" s="3" t="s">
        <v>60</v>
      </c>
      <c r="AF71" s="3" t="s">
        <v>664</v>
      </c>
      <c r="AG71" s="3" t="s">
        <v>39</v>
      </c>
    </row>
    <row r="72" spans="1:33" ht="15.75" customHeight="1">
      <c r="A72" s="1">
        <v>45161.590759479164</v>
      </c>
      <c r="B72" s="3" t="s">
        <v>1024</v>
      </c>
      <c r="C72" s="2">
        <v>31704</v>
      </c>
      <c r="D72" s="3">
        <v>37</v>
      </c>
      <c r="E72" s="3" t="s">
        <v>510</v>
      </c>
      <c r="F72" s="3" t="s">
        <v>533</v>
      </c>
      <c r="G72" s="3" t="s">
        <v>540</v>
      </c>
      <c r="H72" s="2">
        <v>44587</v>
      </c>
      <c r="I72" s="3">
        <v>3</v>
      </c>
      <c r="J72" s="3" t="s">
        <v>542</v>
      </c>
      <c r="K72" s="3">
        <v>4030</v>
      </c>
      <c r="L72" s="3" t="s">
        <v>650</v>
      </c>
      <c r="M72" s="3">
        <v>74</v>
      </c>
      <c r="N72" s="3">
        <v>95</v>
      </c>
      <c r="O72" s="3">
        <v>165</v>
      </c>
      <c r="P72" s="3" t="s">
        <v>33</v>
      </c>
      <c r="Q72" s="3" t="s">
        <v>26</v>
      </c>
      <c r="S72" s="3" t="s">
        <v>664</v>
      </c>
      <c r="T72" s="3" t="s">
        <v>41</v>
      </c>
      <c r="U72" s="3">
        <v>6</v>
      </c>
      <c r="V72" s="3">
        <v>1</v>
      </c>
      <c r="W72" s="3" t="s">
        <v>34</v>
      </c>
      <c r="X72" s="3" t="s">
        <v>58</v>
      </c>
      <c r="Y72" s="3">
        <v>6</v>
      </c>
      <c r="Z72" s="3">
        <v>1</v>
      </c>
      <c r="AA72" s="3" t="s">
        <v>49</v>
      </c>
      <c r="AB72" s="3" t="s">
        <v>29</v>
      </c>
      <c r="AC72" s="3" t="s">
        <v>664</v>
      </c>
      <c r="AD72" s="3" t="s">
        <v>55</v>
      </c>
      <c r="AE72" s="3" t="s">
        <v>31</v>
      </c>
      <c r="AF72" s="3" t="s">
        <v>664</v>
      </c>
      <c r="AG72" s="3" t="s">
        <v>32</v>
      </c>
    </row>
    <row r="73" spans="1:33" ht="15.75" customHeight="1">
      <c r="A73" s="1">
        <v>45161.592592094908</v>
      </c>
      <c r="B73" s="3" t="s">
        <v>1024</v>
      </c>
      <c r="C73" s="2">
        <v>28160</v>
      </c>
      <c r="D73" s="3">
        <v>46</v>
      </c>
      <c r="E73" s="3" t="s">
        <v>510</v>
      </c>
      <c r="F73" s="3" t="s">
        <v>520</v>
      </c>
      <c r="G73" s="3" t="s">
        <v>539</v>
      </c>
      <c r="H73" s="2">
        <v>44667</v>
      </c>
      <c r="I73" s="3">
        <v>1</v>
      </c>
      <c r="J73" s="3" t="s">
        <v>541</v>
      </c>
      <c r="K73" s="3" t="s">
        <v>1057</v>
      </c>
      <c r="L73" s="3" t="s">
        <v>627</v>
      </c>
      <c r="M73" s="3">
        <v>65</v>
      </c>
      <c r="N73" s="3">
        <v>75</v>
      </c>
      <c r="O73" s="3">
        <v>165</v>
      </c>
      <c r="P73" s="3" t="s">
        <v>33</v>
      </c>
      <c r="Q73" s="3" t="s">
        <v>26</v>
      </c>
      <c r="S73" s="3" t="s">
        <v>664</v>
      </c>
      <c r="T73" s="3" t="s">
        <v>206</v>
      </c>
      <c r="U73" s="3">
        <v>7</v>
      </c>
      <c r="V73" s="3">
        <v>1</v>
      </c>
      <c r="W73" s="3" t="s">
        <v>34</v>
      </c>
      <c r="X73" s="3" t="s">
        <v>651</v>
      </c>
      <c r="Y73" s="3">
        <v>7</v>
      </c>
      <c r="Z73" s="3">
        <v>2</v>
      </c>
      <c r="AA73" s="3" t="s">
        <v>54</v>
      </c>
      <c r="AB73" s="3" t="s">
        <v>571</v>
      </c>
      <c r="AC73" s="3" t="s">
        <v>664</v>
      </c>
      <c r="AD73" s="3" t="s">
        <v>30</v>
      </c>
      <c r="AE73" s="3" t="s">
        <v>31</v>
      </c>
      <c r="AF73" s="3" t="s">
        <v>664</v>
      </c>
      <c r="AG73" s="3" t="s">
        <v>32</v>
      </c>
    </row>
    <row r="74" spans="1:33" ht="15.75" customHeight="1">
      <c r="A74" s="1">
        <v>45161.601816620372</v>
      </c>
      <c r="B74" s="3" t="s">
        <v>1024</v>
      </c>
      <c r="C74" s="2">
        <v>30906</v>
      </c>
      <c r="D74" s="3">
        <v>39</v>
      </c>
      <c r="E74" s="3" t="s">
        <v>511</v>
      </c>
      <c r="F74" s="3" t="s">
        <v>520</v>
      </c>
      <c r="G74" s="3" t="s">
        <v>538</v>
      </c>
      <c r="H74" s="2">
        <v>42930</v>
      </c>
      <c r="I74" s="3">
        <v>2</v>
      </c>
      <c r="J74" s="3" t="s">
        <v>542</v>
      </c>
      <c r="K74" s="3" t="s">
        <v>1058</v>
      </c>
      <c r="L74" s="3" t="s">
        <v>652</v>
      </c>
      <c r="M74" s="3">
        <v>68</v>
      </c>
      <c r="N74" s="3">
        <v>85</v>
      </c>
      <c r="O74" s="3">
        <v>164</v>
      </c>
      <c r="P74" s="3" t="s">
        <v>33</v>
      </c>
      <c r="Q74" s="3" t="s">
        <v>26</v>
      </c>
      <c r="S74" s="3" t="s">
        <v>26</v>
      </c>
      <c r="W74" s="3" t="s">
        <v>26</v>
      </c>
      <c r="AA74" s="3" t="s">
        <v>51</v>
      </c>
      <c r="AB74" s="3" t="s">
        <v>29</v>
      </c>
      <c r="AC74" s="3" t="s">
        <v>664</v>
      </c>
      <c r="AD74" s="3" t="s">
        <v>30</v>
      </c>
      <c r="AE74" s="3" t="s">
        <v>87</v>
      </c>
      <c r="AF74" s="3" t="s">
        <v>664</v>
      </c>
      <c r="AG74" s="3" t="s">
        <v>94</v>
      </c>
    </row>
    <row r="75" spans="1:33" ht="15.75" customHeight="1">
      <c r="A75" s="1">
        <v>45161.620288495367</v>
      </c>
      <c r="B75" s="3" t="s">
        <v>1024</v>
      </c>
      <c r="C75" s="2">
        <v>31154</v>
      </c>
      <c r="D75" s="3">
        <v>38</v>
      </c>
      <c r="E75" s="3" t="s">
        <v>510</v>
      </c>
      <c r="F75" s="3" t="s">
        <v>523</v>
      </c>
      <c r="G75" s="3" t="s">
        <v>540</v>
      </c>
      <c r="H75" s="2">
        <v>43804</v>
      </c>
      <c r="I75" s="3">
        <v>2</v>
      </c>
      <c r="J75" s="3" t="s">
        <v>541</v>
      </c>
      <c r="K75" s="3" t="s">
        <v>1059</v>
      </c>
      <c r="L75" s="3" t="s">
        <v>653</v>
      </c>
      <c r="M75" s="3">
        <v>70</v>
      </c>
      <c r="N75" s="3">
        <v>82</v>
      </c>
      <c r="O75" s="3">
        <v>156</v>
      </c>
      <c r="P75" s="3" t="s">
        <v>33</v>
      </c>
      <c r="Q75" s="3" t="s">
        <v>26</v>
      </c>
      <c r="S75" s="3" t="s">
        <v>664</v>
      </c>
      <c r="T75" s="3" t="s">
        <v>57</v>
      </c>
      <c r="U75" s="3">
        <v>1</v>
      </c>
      <c r="V75" s="3">
        <v>1</v>
      </c>
      <c r="W75" s="3" t="s">
        <v>26</v>
      </c>
      <c r="AA75" s="3" t="s">
        <v>54</v>
      </c>
      <c r="AB75" s="3" t="s">
        <v>122</v>
      </c>
      <c r="AC75" s="3" t="s">
        <v>664</v>
      </c>
      <c r="AD75" s="3" t="s">
        <v>30</v>
      </c>
      <c r="AE75" s="3" t="s">
        <v>38</v>
      </c>
      <c r="AF75" s="3" t="s">
        <v>664</v>
      </c>
      <c r="AG75" s="3" t="s">
        <v>39</v>
      </c>
    </row>
    <row r="76" spans="1:33" ht="15.75" customHeight="1">
      <c r="A76" s="1">
        <v>45161.691478564811</v>
      </c>
      <c r="B76" s="3" t="s">
        <v>1024</v>
      </c>
      <c r="C76" s="2">
        <v>31828</v>
      </c>
      <c r="D76" s="3">
        <v>36</v>
      </c>
      <c r="E76" s="3" t="s">
        <v>510</v>
      </c>
      <c r="F76" s="3" t="s">
        <v>523</v>
      </c>
      <c r="G76" s="3" t="s">
        <v>540</v>
      </c>
      <c r="H76" s="2">
        <v>44734</v>
      </c>
      <c r="I76" s="3">
        <v>1</v>
      </c>
      <c r="J76" s="3" t="s">
        <v>542</v>
      </c>
      <c r="K76" s="3">
        <v>3554</v>
      </c>
      <c r="L76" s="3">
        <v>40</v>
      </c>
      <c r="M76" s="3">
        <v>74</v>
      </c>
      <c r="N76" s="3">
        <v>95.1</v>
      </c>
      <c r="O76" s="3">
        <v>172</v>
      </c>
      <c r="P76" s="3" t="s">
        <v>123</v>
      </c>
      <c r="Q76" s="3" t="s">
        <v>26</v>
      </c>
      <c r="S76" s="3" t="s">
        <v>664</v>
      </c>
      <c r="T76" s="3" t="s">
        <v>56</v>
      </c>
      <c r="U76" s="3">
        <v>7</v>
      </c>
      <c r="V76" s="3">
        <v>1</v>
      </c>
      <c r="W76" s="3" t="s">
        <v>34</v>
      </c>
      <c r="X76" s="3" t="s">
        <v>58</v>
      </c>
      <c r="Y76" s="3">
        <v>7</v>
      </c>
      <c r="Z76" s="3">
        <v>1</v>
      </c>
      <c r="AA76" s="3" t="s">
        <v>28</v>
      </c>
      <c r="AB76" s="3" t="s">
        <v>29</v>
      </c>
      <c r="AC76" s="3" t="s">
        <v>664</v>
      </c>
      <c r="AD76" s="3" t="s">
        <v>55</v>
      </c>
      <c r="AE76" s="3" t="s">
        <v>38</v>
      </c>
      <c r="AF76" s="3" t="s">
        <v>664</v>
      </c>
    </row>
    <row r="77" spans="1:33" ht="15.75" customHeight="1">
      <c r="A77" s="1">
        <v>45161.74858782407</v>
      </c>
      <c r="B77" s="3" t="s">
        <v>1024</v>
      </c>
      <c r="C77" s="2">
        <v>33520</v>
      </c>
      <c r="D77" s="3">
        <v>31</v>
      </c>
      <c r="E77" s="3" t="s">
        <v>510</v>
      </c>
      <c r="F77" s="3" t="s">
        <v>520</v>
      </c>
      <c r="G77" s="3" t="s">
        <v>540</v>
      </c>
      <c r="H77" s="2">
        <v>44901</v>
      </c>
      <c r="I77" s="3">
        <v>1</v>
      </c>
      <c r="J77" s="3" t="s">
        <v>541</v>
      </c>
      <c r="K77" s="3">
        <v>4030</v>
      </c>
      <c r="L77" s="3">
        <v>41</v>
      </c>
      <c r="M77" s="3">
        <v>93</v>
      </c>
      <c r="N77" s="3">
        <v>87</v>
      </c>
      <c r="O77" s="3">
        <v>160</v>
      </c>
      <c r="P77" s="3" t="s">
        <v>33</v>
      </c>
      <c r="Q77" s="3" t="s">
        <v>26</v>
      </c>
      <c r="S77" s="3" t="s">
        <v>664</v>
      </c>
      <c r="T77" s="3" t="s">
        <v>27</v>
      </c>
      <c r="U77" s="3">
        <v>7</v>
      </c>
      <c r="V77" s="3">
        <v>1</v>
      </c>
      <c r="W77" s="3" t="s">
        <v>26</v>
      </c>
      <c r="AA77" s="3" t="s">
        <v>49</v>
      </c>
      <c r="AB77" s="3" t="s">
        <v>29</v>
      </c>
      <c r="AC77" s="3" t="s">
        <v>664</v>
      </c>
      <c r="AD77" s="3" t="s">
        <v>30</v>
      </c>
      <c r="AE77" s="3" t="s">
        <v>31</v>
      </c>
      <c r="AF77" s="3" t="s">
        <v>664</v>
      </c>
      <c r="AG77" s="3" t="s">
        <v>48</v>
      </c>
    </row>
    <row r="78" spans="1:33" ht="15.75" customHeight="1">
      <c r="A78" s="1">
        <v>45161.874077754634</v>
      </c>
      <c r="B78" s="3" t="s">
        <v>1024</v>
      </c>
      <c r="C78" s="2">
        <v>29939</v>
      </c>
      <c r="D78" s="3">
        <v>41</v>
      </c>
      <c r="E78" s="3" t="s">
        <v>510</v>
      </c>
      <c r="F78" s="3" t="s">
        <v>520</v>
      </c>
      <c r="G78" s="3" t="s">
        <v>540</v>
      </c>
      <c r="H78" s="2">
        <v>44682</v>
      </c>
      <c r="I78" s="3">
        <v>3</v>
      </c>
      <c r="J78" s="3" t="s">
        <v>542</v>
      </c>
      <c r="K78" s="3">
        <v>3098</v>
      </c>
      <c r="L78" s="3">
        <v>38</v>
      </c>
      <c r="M78" s="3">
        <v>60</v>
      </c>
      <c r="N78" s="3">
        <v>72</v>
      </c>
      <c r="O78" s="3">
        <v>1.6</v>
      </c>
      <c r="P78" s="3" t="s">
        <v>33</v>
      </c>
      <c r="Q78" s="3" t="s">
        <v>26</v>
      </c>
      <c r="S78" s="3" t="s">
        <v>664</v>
      </c>
      <c r="T78" s="3" t="s">
        <v>43</v>
      </c>
      <c r="U78" s="3">
        <v>7</v>
      </c>
      <c r="V78" s="3">
        <v>1</v>
      </c>
      <c r="W78" s="3" t="s">
        <v>26</v>
      </c>
      <c r="AA78" s="3" t="s">
        <v>49</v>
      </c>
      <c r="AB78" s="3" t="s">
        <v>125</v>
      </c>
      <c r="AC78" s="3" t="s">
        <v>664</v>
      </c>
      <c r="AD78" s="3" t="s">
        <v>55</v>
      </c>
      <c r="AE78" s="3" t="s">
        <v>31</v>
      </c>
      <c r="AF78" s="3" t="s">
        <v>664</v>
      </c>
      <c r="AG78" s="3" t="s">
        <v>39</v>
      </c>
    </row>
    <row r="79" spans="1:33" ht="15.75" customHeight="1">
      <c r="A79" s="1">
        <v>45161.87813837963</v>
      </c>
      <c r="B79" s="3" t="s">
        <v>1024</v>
      </c>
      <c r="C79" s="2">
        <v>30557</v>
      </c>
      <c r="D79" s="3">
        <v>39</v>
      </c>
      <c r="E79" s="3" t="s">
        <v>510</v>
      </c>
      <c r="F79" s="3" t="s">
        <v>520</v>
      </c>
      <c r="G79" s="3" t="s">
        <v>538</v>
      </c>
      <c r="H79" s="2">
        <v>43444</v>
      </c>
      <c r="I79" s="3">
        <v>4</v>
      </c>
      <c r="J79" s="3" t="s">
        <v>542</v>
      </c>
      <c r="K79" s="3">
        <v>3555</v>
      </c>
      <c r="L79" s="3" t="s">
        <v>654</v>
      </c>
      <c r="M79" s="3">
        <v>80</v>
      </c>
      <c r="N79" s="3">
        <v>90</v>
      </c>
      <c r="O79" s="3">
        <v>159</v>
      </c>
      <c r="P79" s="3" t="s">
        <v>123</v>
      </c>
      <c r="Q79" s="3" t="s">
        <v>26</v>
      </c>
      <c r="S79" s="3" t="s">
        <v>664</v>
      </c>
      <c r="T79" s="3" t="s">
        <v>79</v>
      </c>
      <c r="U79" s="3">
        <v>7</v>
      </c>
      <c r="V79" s="3">
        <v>1</v>
      </c>
      <c r="W79" s="3" t="s">
        <v>34</v>
      </c>
      <c r="X79" s="3" t="s">
        <v>58</v>
      </c>
      <c r="Y79" s="3">
        <v>7</v>
      </c>
      <c r="Z79" s="3">
        <v>1</v>
      </c>
      <c r="AA79" s="3" t="s">
        <v>49</v>
      </c>
      <c r="AB79" s="3" t="s">
        <v>29</v>
      </c>
      <c r="AC79" s="3" t="s">
        <v>664</v>
      </c>
      <c r="AD79" s="3" t="s">
        <v>59</v>
      </c>
      <c r="AE79" s="3" t="s">
        <v>31</v>
      </c>
      <c r="AF79" s="3" t="s">
        <v>664</v>
      </c>
      <c r="AG79" s="3" t="s">
        <v>62</v>
      </c>
    </row>
    <row r="80" spans="1:33" ht="15.75" customHeight="1">
      <c r="A80" s="1">
        <v>45161.883569467594</v>
      </c>
      <c r="B80" s="3" t="s">
        <v>1024</v>
      </c>
      <c r="C80" s="2">
        <v>32126</v>
      </c>
      <c r="D80" s="3">
        <v>35</v>
      </c>
      <c r="E80" s="3" t="s">
        <v>510</v>
      </c>
      <c r="F80" s="3" t="s">
        <v>520</v>
      </c>
      <c r="G80" s="3" t="s">
        <v>540</v>
      </c>
      <c r="H80" s="2">
        <v>44330</v>
      </c>
      <c r="I80" s="3">
        <v>2</v>
      </c>
      <c r="J80" s="3" t="s">
        <v>541</v>
      </c>
      <c r="K80" s="3">
        <v>3320</v>
      </c>
      <c r="L80" s="3">
        <v>39</v>
      </c>
      <c r="M80" s="3">
        <v>60</v>
      </c>
      <c r="N80" s="3">
        <v>69</v>
      </c>
      <c r="O80" s="3">
        <v>165</v>
      </c>
      <c r="P80" s="3" t="s">
        <v>50</v>
      </c>
      <c r="Q80" s="3" t="s">
        <v>26</v>
      </c>
      <c r="S80" s="3" t="s">
        <v>664</v>
      </c>
      <c r="T80" s="3" t="s">
        <v>27</v>
      </c>
      <c r="U80" s="3">
        <v>7</v>
      </c>
      <c r="V80" s="3">
        <v>1</v>
      </c>
      <c r="W80" s="3" t="s">
        <v>26</v>
      </c>
      <c r="AA80" s="3" t="s">
        <v>28</v>
      </c>
      <c r="AB80" s="3" t="s">
        <v>29</v>
      </c>
      <c r="AC80" s="3" t="s">
        <v>664</v>
      </c>
      <c r="AD80" s="3" t="s">
        <v>37</v>
      </c>
      <c r="AE80" s="3" t="s">
        <v>31</v>
      </c>
      <c r="AF80" s="3" t="s">
        <v>664</v>
      </c>
      <c r="AG80" s="3" t="s">
        <v>39</v>
      </c>
    </row>
    <row r="81" spans="1:33" ht="15.75" customHeight="1">
      <c r="A81" s="1">
        <v>45161.885919340275</v>
      </c>
      <c r="B81" s="3" t="s">
        <v>1024</v>
      </c>
      <c r="C81" s="2">
        <v>30344</v>
      </c>
      <c r="D81" s="3">
        <v>40</v>
      </c>
      <c r="E81" s="3" t="s">
        <v>510</v>
      </c>
      <c r="F81" s="3" t="s">
        <v>520</v>
      </c>
      <c r="G81" s="3" t="s">
        <v>540</v>
      </c>
      <c r="H81" s="2">
        <v>44827</v>
      </c>
      <c r="I81" s="3">
        <v>2</v>
      </c>
      <c r="J81" s="3" t="s">
        <v>541</v>
      </c>
      <c r="K81" s="3">
        <v>3650</v>
      </c>
      <c r="L81" s="3">
        <v>39</v>
      </c>
      <c r="M81" s="3">
        <v>74</v>
      </c>
      <c r="N81" s="3">
        <v>92</v>
      </c>
      <c r="O81" s="3">
        <v>174</v>
      </c>
      <c r="P81" s="3" t="s">
        <v>25</v>
      </c>
      <c r="Q81" s="3" t="s">
        <v>26</v>
      </c>
      <c r="S81" s="3" t="s">
        <v>664</v>
      </c>
      <c r="T81" s="3" t="s">
        <v>56</v>
      </c>
      <c r="U81" s="3">
        <v>7</v>
      </c>
      <c r="V81" s="3">
        <v>1</v>
      </c>
      <c r="W81" s="3" t="s">
        <v>34</v>
      </c>
      <c r="X81" s="3" t="s">
        <v>80</v>
      </c>
      <c r="Y81" s="3">
        <v>7</v>
      </c>
      <c r="Z81" s="3">
        <v>1</v>
      </c>
      <c r="AA81" s="3" t="s">
        <v>28</v>
      </c>
      <c r="AB81" s="3" t="s">
        <v>126</v>
      </c>
      <c r="AC81" s="3" t="s">
        <v>664</v>
      </c>
      <c r="AD81" s="3" t="s">
        <v>30</v>
      </c>
      <c r="AE81" s="3" t="s">
        <v>31</v>
      </c>
      <c r="AF81" s="3" t="s">
        <v>664</v>
      </c>
      <c r="AG81" s="3" t="s">
        <v>94</v>
      </c>
    </row>
    <row r="82" spans="1:33" ht="15.75" customHeight="1">
      <c r="A82" s="1">
        <v>45161.891224965279</v>
      </c>
      <c r="B82" s="3" t="s">
        <v>1024</v>
      </c>
      <c r="C82" s="2">
        <v>30692</v>
      </c>
      <c r="D82" s="3">
        <v>39</v>
      </c>
      <c r="E82" s="3" t="s">
        <v>510</v>
      </c>
      <c r="F82" s="3" t="s">
        <v>520</v>
      </c>
      <c r="G82" s="3" t="s">
        <v>539</v>
      </c>
      <c r="H82" s="2">
        <v>43451</v>
      </c>
      <c r="I82" s="3">
        <v>4</v>
      </c>
      <c r="J82" s="3" t="s">
        <v>541</v>
      </c>
      <c r="K82" s="3">
        <v>2800</v>
      </c>
      <c r="L82" s="3">
        <v>40</v>
      </c>
      <c r="M82" s="3">
        <v>62</v>
      </c>
      <c r="N82" s="3">
        <v>72</v>
      </c>
      <c r="O82" s="3">
        <v>176</v>
      </c>
      <c r="P82" s="3" t="s">
        <v>123</v>
      </c>
      <c r="Q82" s="3" t="s">
        <v>26</v>
      </c>
      <c r="S82" s="3" t="s">
        <v>664</v>
      </c>
      <c r="T82" s="3" t="s">
        <v>655</v>
      </c>
      <c r="U82" s="3">
        <v>7</v>
      </c>
      <c r="V82" s="3">
        <v>1</v>
      </c>
      <c r="W82" s="3" t="s">
        <v>26</v>
      </c>
      <c r="AA82" s="3" t="s">
        <v>49</v>
      </c>
      <c r="AB82" s="3" t="s">
        <v>29</v>
      </c>
      <c r="AC82" s="3" t="s">
        <v>664</v>
      </c>
      <c r="AD82" s="3" t="s">
        <v>30</v>
      </c>
      <c r="AE82" s="3" t="s">
        <v>60</v>
      </c>
      <c r="AF82" s="3" t="s">
        <v>664</v>
      </c>
      <c r="AG82" s="3" t="s">
        <v>32</v>
      </c>
    </row>
    <row r="83" spans="1:33" ht="15.75" customHeight="1">
      <c r="A83" s="1">
        <v>45161.903574641205</v>
      </c>
      <c r="B83" s="3" t="s">
        <v>1024</v>
      </c>
      <c r="C83" s="2">
        <v>32631</v>
      </c>
      <c r="D83" s="3">
        <v>34</v>
      </c>
      <c r="E83" s="3" t="s">
        <v>510</v>
      </c>
      <c r="F83" s="3" t="s">
        <v>520</v>
      </c>
      <c r="G83" s="3" t="s">
        <v>539</v>
      </c>
      <c r="H83" s="2">
        <v>44636</v>
      </c>
      <c r="I83" s="3">
        <v>1</v>
      </c>
      <c r="J83" s="3" t="s">
        <v>542</v>
      </c>
      <c r="K83" s="3" t="s">
        <v>1060</v>
      </c>
      <c r="L83" s="3" t="s">
        <v>656</v>
      </c>
      <c r="M83" s="3">
        <v>58</v>
      </c>
      <c r="N83" s="3" t="s">
        <v>316</v>
      </c>
      <c r="O83" s="3">
        <v>167</v>
      </c>
      <c r="P83" s="3" t="s">
        <v>33</v>
      </c>
      <c r="Q83" s="3" t="s">
        <v>26</v>
      </c>
      <c r="S83" s="3" t="s">
        <v>664</v>
      </c>
      <c r="T83" s="3" t="s">
        <v>27</v>
      </c>
      <c r="U83" s="3">
        <v>7</v>
      </c>
      <c r="V83" s="3">
        <v>1</v>
      </c>
      <c r="W83" s="3" t="s">
        <v>34</v>
      </c>
      <c r="X83" s="3" t="s">
        <v>35</v>
      </c>
      <c r="Y83" s="3">
        <v>7</v>
      </c>
      <c r="Z83" s="3">
        <v>1</v>
      </c>
      <c r="AA83" s="3" t="s">
        <v>36</v>
      </c>
      <c r="AB83" s="3" t="s">
        <v>29</v>
      </c>
      <c r="AC83" s="3" t="s">
        <v>664</v>
      </c>
      <c r="AD83" s="3" t="s">
        <v>37</v>
      </c>
      <c r="AE83" s="3" t="s">
        <v>31</v>
      </c>
      <c r="AF83" s="3" t="s">
        <v>664</v>
      </c>
      <c r="AG83" s="3" t="s">
        <v>39</v>
      </c>
    </row>
    <row r="84" spans="1:33" ht="15.75" customHeight="1">
      <c r="A84" s="1">
        <v>45161.920158113426</v>
      </c>
      <c r="B84" s="3" t="s">
        <v>1024</v>
      </c>
      <c r="C84" s="2">
        <v>395949</v>
      </c>
      <c r="D84" s="3">
        <v>39</v>
      </c>
      <c r="E84" s="3" t="s">
        <v>510</v>
      </c>
      <c r="F84" s="3" t="s">
        <v>520</v>
      </c>
      <c r="G84" s="3" t="s">
        <v>539</v>
      </c>
      <c r="H84" s="2">
        <v>44356</v>
      </c>
      <c r="I84" s="3">
        <v>4</v>
      </c>
      <c r="J84" s="3" t="s">
        <v>542</v>
      </c>
      <c r="K84" s="3">
        <v>2500</v>
      </c>
      <c r="L84" s="3">
        <v>39</v>
      </c>
      <c r="M84" s="3">
        <v>58</v>
      </c>
      <c r="N84" s="3">
        <v>70</v>
      </c>
      <c r="O84" s="3">
        <v>165</v>
      </c>
      <c r="P84" s="3" t="s">
        <v>33</v>
      </c>
      <c r="Q84" s="3" t="s">
        <v>26</v>
      </c>
      <c r="S84" s="3" t="s">
        <v>664</v>
      </c>
      <c r="T84" s="3" t="s">
        <v>27</v>
      </c>
      <c r="U84" s="3">
        <v>7</v>
      </c>
      <c r="V84" s="3">
        <v>1</v>
      </c>
      <c r="W84" s="3" t="s">
        <v>26</v>
      </c>
      <c r="AA84" s="3" t="s">
        <v>49</v>
      </c>
      <c r="AB84" s="3" t="s">
        <v>29</v>
      </c>
      <c r="AC84" s="3" t="s">
        <v>664</v>
      </c>
      <c r="AD84" s="3" t="s">
        <v>37</v>
      </c>
      <c r="AE84" s="3" t="s">
        <v>38</v>
      </c>
      <c r="AF84" s="3" t="s">
        <v>664</v>
      </c>
      <c r="AG84" s="3" t="s">
        <v>39</v>
      </c>
    </row>
    <row r="85" spans="1:33" ht="15.75" customHeight="1">
      <c r="A85" s="1">
        <v>45161.935166724536</v>
      </c>
      <c r="B85" s="3" t="s">
        <v>1024</v>
      </c>
      <c r="C85" s="2">
        <v>31316</v>
      </c>
      <c r="D85" s="3">
        <v>37</v>
      </c>
      <c r="E85" s="3" t="s">
        <v>510</v>
      </c>
      <c r="F85" s="3" t="s">
        <v>520</v>
      </c>
      <c r="G85" s="3" t="s">
        <v>539</v>
      </c>
      <c r="H85" s="2">
        <v>44716</v>
      </c>
      <c r="I85" s="3">
        <v>2</v>
      </c>
      <c r="J85" s="3" t="s">
        <v>542</v>
      </c>
      <c r="K85" s="3">
        <v>3290</v>
      </c>
      <c r="L85" s="3" t="s">
        <v>658</v>
      </c>
      <c r="M85" s="3" t="s">
        <v>1061</v>
      </c>
      <c r="N85" s="3">
        <v>79</v>
      </c>
      <c r="O85" s="3">
        <v>162</v>
      </c>
      <c r="P85" s="3" t="s">
        <v>33</v>
      </c>
      <c r="Q85" s="3" t="s">
        <v>26</v>
      </c>
      <c r="S85" s="3" t="s">
        <v>664</v>
      </c>
      <c r="T85" s="3" t="s">
        <v>43</v>
      </c>
      <c r="U85" s="3">
        <v>7</v>
      </c>
      <c r="V85" s="3">
        <v>1</v>
      </c>
      <c r="W85" s="3" t="s">
        <v>34</v>
      </c>
      <c r="X85" s="3" t="s">
        <v>71</v>
      </c>
      <c r="Y85" s="3">
        <v>5</v>
      </c>
      <c r="Z85" s="3">
        <v>1</v>
      </c>
      <c r="AA85" s="3" t="s">
        <v>28</v>
      </c>
      <c r="AB85" s="3" t="s">
        <v>29</v>
      </c>
      <c r="AC85" s="3" t="s">
        <v>664</v>
      </c>
      <c r="AD85" s="3" t="s">
        <v>59</v>
      </c>
      <c r="AE85" s="3" t="s">
        <v>38</v>
      </c>
      <c r="AF85" s="3" t="s">
        <v>664</v>
      </c>
      <c r="AG85" s="3" t="s">
        <v>32</v>
      </c>
    </row>
    <row r="86" spans="1:33" ht="15.75" customHeight="1">
      <c r="A86" s="1">
        <v>45161.936864988427</v>
      </c>
      <c r="B86" s="3" t="s">
        <v>1024</v>
      </c>
      <c r="C86" s="2">
        <v>30609</v>
      </c>
      <c r="D86" s="3">
        <v>39</v>
      </c>
      <c r="E86" s="3" t="s">
        <v>510</v>
      </c>
      <c r="F86" s="3" t="s">
        <v>520</v>
      </c>
      <c r="G86" s="3" t="s">
        <v>540</v>
      </c>
      <c r="H86" s="2">
        <v>43178</v>
      </c>
      <c r="I86" s="3">
        <v>2</v>
      </c>
      <c r="J86" s="3" t="s">
        <v>542</v>
      </c>
      <c r="K86" s="3">
        <v>2850</v>
      </c>
      <c r="L86" s="3">
        <v>38</v>
      </c>
      <c r="M86" s="3">
        <v>58</v>
      </c>
      <c r="N86" s="3">
        <v>70</v>
      </c>
      <c r="O86" s="3">
        <v>158</v>
      </c>
      <c r="P86" s="3" t="s">
        <v>127</v>
      </c>
      <c r="Q86" s="3" t="s">
        <v>26</v>
      </c>
      <c r="S86" s="3" t="s">
        <v>664</v>
      </c>
      <c r="T86" s="3" t="s">
        <v>27</v>
      </c>
      <c r="U86" s="3">
        <v>7</v>
      </c>
      <c r="V86" s="3">
        <v>1</v>
      </c>
      <c r="W86" s="3" t="s">
        <v>34</v>
      </c>
      <c r="X86" s="3" t="s">
        <v>128</v>
      </c>
      <c r="Y86" s="3">
        <v>7</v>
      </c>
      <c r="Z86" s="3">
        <v>1</v>
      </c>
      <c r="AA86" s="3" t="s">
        <v>28</v>
      </c>
      <c r="AB86" s="3" t="s">
        <v>29</v>
      </c>
      <c r="AC86" s="3" t="s">
        <v>664</v>
      </c>
      <c r="AD86" s="3" t="s">
        <v>30</v>
      </c>
      <c r="AE86" s="3" t="s">
        <v>38</v>
      </c>
      <c r="AF86" s="3" t="s">
        <v>664</v>
      </c>
      <c r="AG86" s="3" t="s">
        <v>39</v>
      </c>
    </row>
    <row r="87" spans="1:33" ht="15.75" customHeight="1">
      <c r="A87" s="1">
        <v>45161.971058553245</v>
      </c>
      <c r="B87" s="3" t="s">
        <v>1024</v>
      </c>
      <c r="C87" s="2">
        <v>32058</v>
      </c>
      <c r="D87" s="3">
        <v>35</v>
      </c>
      <c r="E87" s="3" t="s">
        <v>511</v>
      </c>
      <c r="F87" s="3" t="s">
        <v>520</v>
      </c>
      <c r="G87" s="3" t="s">
        <v>540</v>
      </c>
      <c r="H87" s="2">
        <v>44603</v>
      </c>
      <c r="I87" s="3">
        <v>1</v>
      </c>
      <c r="J87" s="3" t="s">
        <v>542</v>
      </c>
      <c r="K87" s="3">
        <v>2760</v>
      </c>
      <c r="L87" s="3">
        <v>37</v>
      </c>
      <c r="M87" s="3">
        <v>56</v>
      </c>
      <c r="N87" s="3">
        <v>64</v>
      </c>
      <c r="O87" s="3">
        <v>156</v>
      </c>
      <c r="P87" s="3" t="s">
        <v>33</v>
      </c>
      <c r="Q87" s="3" t="s">
        <v>26</v>
      </c>
      <c r="S87" s="3" t="s">
        <v>664</v>
      </c>
      <c r="T87" s="3" t="s">
        <v>27</v>
      </c>
      <c r="U87" s="3">
        <v>7</v>
      </c>
      <c r="V87" s="3">
        <v>1</v>
      </c>
      <c r="W87" s="3" t="s">
        <v>34</v>
      </c>
      <c r="X87" s="3" t="s">
        <v>58</v>
      </c>
      <c r="Y87" s="3">
        <v>7</v>
      </c>
      <c r="Z87" s="3">
        <v>1</v>
      </c>
      <c r="AA87" s="3" t="s">
        <v>36</v>
      </c>
      <c r="AB87" s="3" t="s">
        <v>29</v>
      </c>
      <c r="AC87" s="3" t="s">
        <v>664</v>
      </c>
      <c r="AD87" s="3" t="s">
        <v>37</v>
      </c>
      <c r="AE87" s="3" t="s">
        <v>60</v>
      </c>
      <c r="AF87" s="3" t="s">
        <v>664</v>
      </c>
      <c r="AG87" s="3" t="s">
        <v>39</v>
      </c>
    </row>
    <row r="88" spans="1:33" ht="15.75" customHeight="1">
      <c r="A88" s="1">
        <v>45161.973267708338</v>
      </c>
      <c r="B88" s="3" t="s">
        <v>1024</v>
      </c>
      <c r="C88" s="2">
        <v>31658</v>
      </c>
      <c r="D88" s="3">
        <v>36</v>
      </c>
      <c r="E88" s="3" t="s">
        <v>510</v>
      </c>
      <c r="F88" s="3" t="s">
        <v>523</v>
      </c>
      <c r="G88" s="3" t="s">
        <v>539</v>
      </c>
      <c r="H88" s="2">
        <v>44427</v>
      </c>
      <c r="I88" s="3">
        <v>2</v>
      </c>
      <c r="J88" s="3" t="s">
        <v>541</v>
      </c>
      <c r="K88" s="3">
        <v>3850</v>
      </c>
      <c r="L88" s="3">
        <v>40</v>
      </c>
      <c r="M88" s="3">
        <v>62</v>
      </c>
      <c r="N88" s="3">
        <v>80</v>
      </c>
      <c r="O88" s="3">
        <v>160</v>
      </c>
      <c r="P88" s="3" t="s">
        <v>33</v>
      </c>
      <c r="Q88" s="3" t="s">
        <v>26</v>
      </c>
      <c r="S88" s="3" t="s">
        <v>664</v>
      </c>
      <c r="T88" s="3" t="s">
        <v>41</v>
      </c>
      <c r="U88" s="3">
        <v>7</v>
      </c>
      <c r="V88" s="3">
        <v>1</v>
      </c>
      <c r="W88" s="3" t="s">
        <v>34</v>
      </c>
      <c r="X88" s="3" t="s">
        <v>58</v>
      </c>
      <c r="Y88" s="3">
        <v>7</v>
      </c>
      <c r="Z88" s="3">
        <v>1</v>
      </c>
      <c r="AA88" s="3" t="s">
        <v>49</v>
      </c>
      <c r="AB88" s="3" t="s">
        <v>29</v>
      </c>
      <c r="AC88" s="3" t="s">
        <v>664</v>
      </c>
      <c r="AD88" s="3" t="s">
        <v>55</v>
      </c>
      <c r="AE88" s="3" t="s">
        <v>31</v>
      </c>
      <c r="AF88" s="3" t="s">
        <v>664</v>
      </c>
      <c r="AG88" s="3" t="s">
        <v>32</v>
      </c>
    </row>
    <row r="89" spans="1:33" ht="15.75" customHeight="1">
      <c r="A89" s="1">
        <v>45162.02052445602</v>
      </c>
      <c r="B89" s="3" t="s">
        <v>1024</v>
      </c>
      <c r="C89" s="2">
        <v>33958</v>
      </c>
      <c r="D89" s="3">
        <v>30</v>
      </c>
      <c r="E89" s="3" t="s">
        <v>510</v>
      </c>
      <c r="F89" s="3" t="s">
        <v>520</v>
      </c>
      <c r="G89" s="3" t="s">
        <v>540</v>
      </c>
      <c r="H89" s="2">
        <v>45146</v>
      </c>
      <c r="I89" s="3">
        <v>2</v>
      </c>
      <c r="J89" s="3" t="s">
        <v>542</v>
      </c>
      <c r="K89" s="3">
        <v>4050</v>
      </c>
      <c r="L89" s="3" t="s">
        <v>627</v>
      </c>
      <c r="M89" s="3">
        <v>65</v>
      </c>
      <c r="N89" s="3">
        <v>74</v>
      </c>
      <c r="O89" s="3">
        <v>175</v>
      </c>
      <c r="P89" s="3" t="s">
        <v>44</v>
      </c>
      <c r="Q89" s="3" t="s">
        <v>26</v>
      </c>
      <c r="S89" s="3" t="s">
        <v>664</v>
      </c>
      <c r="T89" s="3" t="s">
        <v>43</v>
      </c>
      <c r="U89" s="3">
        <v>7</v>
      </c>
      <c r="V89" s="3">
        <v>1</v>
      </c>
      <c r="W89" s="3" t="s">
        <v>34</v>
      </c>
      <c r="X89" s="3" t="s">
        <v>58</v>
      </c>
      <c r="Y89" s="3">
        <v>7</v>
      </c>
      <c r="Z89" s="3">
        <v>1</v>
      </c>
      <c r="AA89" s="3" t="s">
        <v>28</v>
      </c>
      <c r="AB89" s="3" t="s">
        <v>29</v>
      </c>
      <c r="AC89" s="3" t="s">
        <v>26</v>
      </c>
      <c r="AD89" s="3" t="s">
        <v>129</v>
      </c>
      <c r="AE89" s="3" t="s">
        <v>60</v>
      </c>
      <c r="AF89" s="3" t="s">
        <v>26</v>
      </c>
    </row>
    <row r="90" spans="1:33" ht="15.75" customHeight="1">
      <c r="A90" s="1">
        <v>45162.302009849533</v>
      </c>
      <c r="B90" s="3" t="s">
        <v>1024</v>
      </c>
      <c r="C90" s="2">
        <v>30685</v>
      </c>
      <c r="D90" s="3">
        <v>39</v>
      </c>
      <c r="E90" s="3" t="s">
        <v>510</v>
      </c>
      <c r="F90" s="3" t="s">
        <v>520</v>
      </c>
      <c r="G90" s="3" t="s">
        <v>539</v>
      </c>
      <c r="H90" s="2">
        <v>43588</v>
      </c>
      <c r="I90" s="3">
        <v>4</v>
      </c>
      <c r="J90" s="3" t="s">
        <v>542</v>
      </c>
      <c r="K90" s="7">
        <v>3200</v>
      </c>
      <c r="L90" s="3" t="s">
        <v>636</v>
      </c>
      <c r="M90" s="3" t="s">
        <v>1062</v>
      </c>
      <c r="N90" s="3">
        <v>56</v>
      </c>
      <c r="O90" s="3" t="s">
        <v>1063</v>
      </c>
      <c r="P90" s="3" t="s">
        <v>33</v>
      </c>
      <c r="Q90" s="3" t="s">
        <v>26</v>
      </c>
      <c r="S90" s="3" t="s">
        <v>664</v>
      </c>
      <c r="T90" s="3" t="s">
        <v>130</v>
      </c>
      <c r="U90" s="3">
        <v>7</v>
      </c>
      <c r="V90" s="3">
        <v>1</v>
      </c>
      <c r="W90" s="3" t="s">
        <v>34</v>
      </c>
      <c r="X90" s="3" t="s">
        <v>58</v>
      </c>
      <c r="Y90" s="3">
        <v>7</v>
      </c>
      <c r="Z90" s="3">
        <v>1</v>
      </c>
      <c r="AA90" s="3" t="s">
        <v>49</v>
      </c>
      <c r="AB90" s="3" t="s">
        <v>29</v>
      </c>
      <c r="AC90" s="3" t="s">
        <v>664</v>
      </c>
      <c r="AD90" s="3" t="s">
        <v>30</v>
      </c>
      <c r="AE90" s="3" t="s">
        <v>60</v>
      </c>
      <c r="AF90" s="3" t="s">
        <v>664</v>
      </c>
      <c r="AG90" s="3" t="s">
        <v>39</v>
      </c>
    </row>
    <row r="91" spans="1:33" ht="15.75" customHeight="1">
      <c r="A91" s="1">
        <v>45162.326994583331</v>
      </c>
      <c r="B91" s="3" t="s">
        <v>1024</v>
      </c>
      <c r="C91" s="2">
        <v>30596</v>
      </c>
      <c r="D91" s="3">
        <v>39</v>
      </c>
      <c r="E91" s="3" t="s">
        <v>510</v>
      </c>
      <c r="F91" s="3" t="s">
        <v>520</v>
      </c>
      <c r="G91" s="3" t="s">
        <v>540</v>
      </c>
      <c r="H91" s="2">
        <v>43168</v>
      </c>
      <c r="I91" s="3">
        <v>3</v>
      </c>
      <c r="J91" s="3" t="s">
        <v>542</v>
      </c>
      <c r="K91" s="3" t="s">
        <v>1064</v>
      </c>
      <c r="L91" s="3" t="s">
        <v>659</v>
      </c>
      <c r="M91" s="3">
        <v>52</v>
      </c>
      <c r="N91" s="3">
        <v>62</v>
      </c>
      <c r="O91" s="3">
        <v>166</v>
      </c>
      <c r="P91" s="3" t="s">
        <v>33</v>
      </c>
      <c r="Q91" s="3" t="s">
        <v>26</v>
      </c>
      <c r="S91" s="3" t="s">
        <v>664</v>
      </c>
      <c r="T91" s="3" t="s">
        <v>43</v>
      </c>
      <c r="U91" s="3">
        <v>7</v>
      </c>
      <c r="V91" s="3">
        <v>1</v>
      </c>
      <c r="W91" s="3" t="s">
        <v>34</v>
      </c>
      <c r="X91" s="3" t="s">
        <v>58</v>
      </c>
      <c r="Y91" s="3">
        <v>7</v>
      </c>
      <c r="Z91" s="3">
        <v>1</v>
      </c>
      <c r="AA91" s="3" t="s">
        <v>28</v>
      </c>
      <c r="AB91" s="3" t="s">
        <v>131</v>
      </c>
      <c r="AC91" s="3" t="s">
        <v>664</v>
      </c>
      <c r="AD91" s="3" t="s">
        <v>37</v>
      </c>
      <c r="AE91" s="3" t="s">
        <v>60</v>
      </c>
      <c r="AF91" s="3" t="s">
        <v>664</v>
      </c>
      <c r="AG91" s="3" t="s">
        <v>39</v>
      </c>
    </row>
    <row r="92" spans="1:33" ht="15.75" customHeight="1">
      <c r="A92" s="1">
        <v>45162.346232430558</v>
      </c>
      <c r="B92" s="3" t="s">
        <v>1024</v>
      </c>
      <c r="C92" s="2">
        <v>32491</v>
      </c>
      <c r="D92" s="3">
        <v>34</v>
      </c>
      <c r="E92" s="3" t="s">
        <v>510</v>
      </c>
      <c r="F92" s="3" t="s">
        <v>520</v>
      </c>
      <c r="G92" s="3" t="s">
        <v>540</v>
      </c>
      <c r="H92" s="2">
        <v>44865</v>
      </c>
      <c r="I92" s="3">
        <v>1</v>
      </c>
      <c r="J92" s="3" t="s">
        <v>542</v>
      </c>
      <c r="K92" s="3">
        <v>3200</v>
      </c>
      <c r="L92" s="3">
        <v>37</v>
      </c>
      <c r="M92" s="3">
        <v>62</v>
      </c>
      <c r="N92" s="3">
        <v>70</v>
      </c>
      <c r="O92" s="3">
        <v>160</v>
      </c>
      <c r="P92" s="3" t="s">
        <v>50</v>
      </c>
      <c r="Q92" s="3" t="s">
        <v>26</v>
      </c>
      <c r="S92" s="3" t="s">
        <v>664</v>
      </c>
      <c r="T92" s="3" t="s">
        <v>57</v>
      </c>
      <c r="U92" s="3">
        <v>7</v>
      </c>
      <c r="V92" s="3">
        <v>1</v>
      </c>
      <c r="W92" s="3" t="s">
        <v>26</v>
      </c>
      <c r="AA92" s="3" t="s">
        <v>28</v>
      </c>
      <c r="AB92" s="3" t="s">
        <v>29</v>
      </c>
      <c r="AC92" s="3" t="s">
        <v>664</v>
      </c>
      <c r="AD92" s="3" t="s">
        <v>37</v>
      </c>
      <c r="AE92" s="3" t="s">
        <v>31</v>
      </c>
      <c r="AF92" s="3" t="s">
        <v>664</v>
      </c>
      <c r="AG92" s="3" t="s">
        <v>32</v>
      </c>
    </row>
    <row r="93" spans="1:33" ht="15.75" customHeight="1">
      <c r="A93" s="1">
        <v>45162.574661724539</v>
      </c>
      <c r="B93" s="3" t="s">
        <v>1024</v>
      </c>
      <c r="C93" s="2">
        <v>33265</v>
      </c>
      <c r="D93" s="3">
        <v>32</v>
      </c>
      <c r="E93" s="3" t="s">
        <v>510</v>
      </c>
      <c r="F93" s="3" t="s">
        <v>523</v>
      </c>
      <c r="G93" s="3" t="s">
        <v>539</v>
      </c>
      <c r="H93" s="2">
        <v>33253</v>
      </c>
      <c r="I93" s="3">
        <v>1</v>
      </c>
      <c r="J93" s="3" t="s">
        <v>541</v>
      </c>
      <c r="K93" s="3" t="s">
        <v>1065</v>
      </c>
      <c r="L93" s="3">
        <v>38</v>
      </c>
      <c r="M93" s="3">
        <v>79</v>
      </c>
      <c r="N93" s="3">
        <v>92</v>
      </c>
      <c r="O93" s="3" t="s">
        <v>1066</v>
      </c>
      <c r="P93" s="3" t="s">
        <v>33</v>
      </c>
      <c r="Q93" s="3" t="s">
        <v>26</v>
      </c>
      <c r="S93" s="3" t="s">
        <v>664</v>
      </c>
      <c r="T93" s="3" t="s">
        <v>79</v>
      </c>
      <c r="U93" s="3">
        <v>7</v>
      </c>
      <c r="V93" s="3">
        <v>1</v>
      </c>
      <c r="W93" s="3" t="s">
        <v>26</v>
      </c>
      <c r="AA93" s="3" t="s">
        <v>49</v>
      </c>
      <c r="AB93" s="3" t="s">
        <v>29</v>
      </c>
      <c r="AC93" s="3" t="s">
        <v>664</v>
      </c>
      <c r="AD93" s="3" t="s">
        <v>30</v>
      </c>
      <c r="AE93" s="3" t="s">
        <v>38</v>
      </c>
      <c r="AF93" s="3" t="s">
        <v>664</v>
      </c>
    </row>
    <row r="94" spans="1:33" ht="15.75" customHeight="1">
      <c r="A94" s="1">
        <v>45162.641455763893</v>
      </c>
      <c r="B94" s="3" t="s">
        <v>1024</v>
      </c>
      <c r="C94" s="2">
        <v>34955</v>
      </c>
      <c r="D94" s="3">
        <v>27</v>
      </c>
      <c r="E94" s="3" t="s">
        <v>510</v>
      </c>
      <c r="F94" s="3" t="s">
        <v>523</v>
      </c>
      <c r="G94" s="3" t="s">
        <v>539</v>
      </c>
      <c r="H94" s="2">
        <v>44727</v>
      </c>
      <c r="I94" s="3">
        <v>1</v>
      </c>
      <c r="J94" s="3" t="s">
        <v>542</v>
      </c>
      <c r="K94" s="3" t="s">
        <v>1067</v>
      </c>
      <c r="L94" s="3">
        <v>38</v>
      </c>
      <c r="M94" s="3">
        <v>80</v>
      </c>
      <c r="N94" s="3">
        <v>90</v>
      </c>
      <c r="O94" s="3">
        <v>164</v>
      </c>
      <c r="P94" s="3" t="s">
        <v>33</v>
      </c>
      <c r="Q94" s="3" t="s">
        <v>26</v>
      </c>
      <c r="S94" s="3" t="s">
        <v>664</v>
      </c>
      <c r="U94" s="3">
        <v>7</v>
      </c>
      <c r="V94" s="3">
        <v>1</v>
      </c>
      <c r="W94" s="3" t="s">
        <v>26</v>
      </c>
      <c r="AA94" s="3" t="s">
        <v>49</v>
      </c>
      <c r="AB94" s="3" t="s">
        <v>29</v>
      </c>
      <c r="AC94" s="3" t="s">
        <v>664</v>
      </c>
      <c r="AD94" s="3" t="s">
        <v>30</v>
      </c>
      <c r="AE94" s="3" t="s">
        <v>31</v>
      </c>
      <c r="AF94" s="3" t="s">
        <v>664</v>
      </c>
      <c r="AG94" s="3" t="s">
        <v>39</v>
      </c>
    </row>
    <row r="95" spans="1:33" ht="15.75" customHeight="1">
      <c r="A95" s="1">
        <v>45162.806585393519</v>
      </c>
      <c r="B95" s="3" t="s">
        <v>1024</v>
      </c>
      <c r="C95" s="2">
        <v>31335</v>
      </c>
      <c r="D95" s="3">
        <v>37</v>
      </c>
      <c r="E95" s="3" t="s">
        <v>510</v>
      </c>
      <c r="F95" s="3" t="s">
        <v>520</v>
      </c>
      <c r="G95" s="3" t="s">
        <v>539</v>
      </c>
      <c r="H95" s="2">
        <v>42832</v>
      </c>
      <c r="I95" s="3">
        <v>3</v>
      </c>
      <c r="J95" s="3" t="s">
        <v>541</v>
      </c>
      <c r="K95" s="3">
        <v>3240</v>
      </c>
      <c r="L95" s="3" t="s">
        <v>661</v>
      </c>
      <c r="M95" s="3">
        <v>80</v>
      </c>
      <c r="N95" s="3">
        <v>95</v>
      </c>
      <c r="O95" s="3">
        <v>172</v>
      </c>
      <c r="P95" s="3" t="s">
        <v>25</v>
      </c>
      <c r="Q95" s="3" t="s">
        <v>26</v>
      </c>
      <c r="S95" s="3" t="s">
        <v>664</v>
      </c>
      <c r="T95" s="3" t="s">
        <v>57</v>
      </c>
      <c r="U95" s="3">
        <v>7</v>
      </c>
      <c r="V95" s="3">
        <v>1</v>
      </c>
      <c r="W95" s="3" t="s">
        <v>26</v>
      </c>
      <c r="AA95" s="3" t="s">
        <v>49</v>
      </c>
      <c r="AB95" s="3" t="s">
        <v>29</v>
      </c>
      <c r="AC95" s="3" t="s">
        <v>664</v>
      </c>
      <c r="AD95" s="3" t="s">
        <v>30</v>
      </c>
      <c r="AE95" s="3" t="s">
        <v>31</v>
      </c>
      <c r="AF95" s="3" t="s">
        <v>664</v>
      </c>
      <c r="AG95" s="3" t="s">
        <v>32</v>
      </c>
    </row>
    <row r="96" spans="1:33" ht="15.75" customHeight="1">
      <c r="A96" s="1">
        <v>45163.026856608798</v>
      </c>
      <c r="B96" s="3" t="s">
        <v>1024</v>
      </c>
      <c r="C96" s="2">
        <v>32564</v>
      </c>
      <c r="D96" s="3">
        <v>34</v>
      </c>
      <c r="E96" s="3" t="s">
        <v>510</v>
      </c>
      <c r="F96" s="3" t="s">
        <v>523</v>
      </c>
      <c r="G96" s="3" t="s">
        <v>537</v>
      </c>
      <c r="H96" s="2">
        <v>44806</v>
      </c>
      <c r="I96" s="3">
        <v>1</v>
      </c>
      <c r="J96" s="3" t="s">
        <v>542</v>
      </c>
      <c r="K96" s="3">
        <v>3050</v>
      </c>
      <c r="L96" s="3" t="s">
        <v>661</v>
      </c>
      <c r="M96" s="3">
        <v>105</v>
      </c>
      <c r="N96" s="3" t="s">
        <v>1068</v>
      </c>
      <c r="O96" s="3">
        <v>163</v>
      </c>
      <c r="P96" s="3" t="s">
        <v>50</v>
      </c>
      <c r="Q96" s="3" t="s">
        <v>26</v>
      </c>
      <c r="S96" s="3" t="s">
        <v>664</v>
      </c>
      <c r="T96" s="3" t="s">
        <v>27</v>
      </c>
      <c r="U96" s="3">
        <v>7</v>
      </c>
      <c r="V96" s="3">
        <v>1</v>
      </c>
      <c r="W96" s="3" t="s">
        <v>34</v>
      </c>
      <c r="X96" s="3" t="s">
        <v>132</v>
      </c>
      <c r="Y96" s="3">
        <v>7</v>
      </c>
      <c r="Z96" s="3">
        <v>1</v>
      </c>
      <c r="AA96" s="3" t="s">
        <v>49</v>
      </c>
      <c r="AB96" s="3" t="s">
        <v>29</v>
      </c>
      <c r="AC96" s="3" t="s">
        <v>664</v>
      </c>
      <c r="AD96" s="3" t="s">
        <v>30</v>
      </c>
      <c r="AE96" s="3" t="s">
        <v>38</v>
      </c>
      <c r="AF96" s="3" t="s">
        <v>664</v>
      </c>
      <c r="AG96" s="3" t="s">
        <v>32</v>
      </c>
    </row>
    <row r="97" spans="1:33" ht="15.75" customHeight="1">
      <c r="A97" s="1">
        <v>45163.28930532407</v>
      </c>
      <c r="B97" s="3" t="s">
        <v>1024</v>
      </c>
      <c r="C97" s="2">
        <v>31182</v>
      </c>
      <c r="D97" s="3">
        <v>38</v>
      </c>
      <c r="E97" s="3" t="s">
        <v>510</v>
      </c>
      <c r="F97" s="3" t="s">
        <v>520</v>
      </c>
      <c r="G97" s="3" t="s">
        <v>539</v>
      </c>
      <c r="H97" s="2">
        <v>44138</v>
      </c>
      <c r="I97" s="3">
        <v>2</v>
      </c>
      <c r="J97" s="3" t="s">
        <v>541</v>
      </c>
      <c r="K97" s="3">
        <v>2700</v>
      </c>
      <c r="L97" s="3">
        <v>38</v>
      </c>
      <c r="M97" s="3">
        <v>67</v>
      </c>
      <c r="N97" s="3">
        <v>74</v>
      </c>
      <c r="O97" s="3">
        <v>162</v>
      </c>
      <c r="P97" s="3" t="s">
        <v>44</v>
      </c>
      <c r="Q97" s="3" t="s">
        <v>26</v>
      </c>
      <c r="S97" s="3" t="s">
        <v>664</v>
      </c>
      <c r="T97" s="3" t="s">
        <v>41</v>
      </c>
      <c r="U97" s="3">
        <v>7</v>
      </c>
      <c r="V97" s="3">
        <v>1</v>
      </c>
      <c r="W97" s="3" t="s">
        <v>34</v>
      </c>
      <c r="X97" s="3" t="s">
        <v>58</v>
      </c>
      <c r="Y97" s="3">
        <v>7</v>
      </c>
      <c r="Z97" s="3">
        <v>1</v>
      </c>
      <c r="AA97" s="3" t="s">
        <v>42</v>
      </c>
      <c r="AB97" s="3" t="s">
        <v>29</v>
      </c>
      <c r="AC97" s="3" t="s">
        <v>664</v>
      </c>
      <c r="AD97" s="3" t="s">
        <v>30</v>
      </c>
      <c r="AE97" s="3" t="s">
        <v>38</v>
      </c>
      <c r="AF97" s="3" t="s">
        <v>664</v>
      </c>
      <c r="AG97" s="3" t="s">
        <v>62</v>
      </c>
    </row>
    <row r="98" spans="1:33" ht="15.75" customHeight="1">
      <c r="A98" s="1">
        <v>45163.349673726851</v>
      </c>
      <c r="B98" s="3" t="s">
        <v>1024</v>
      </c>
      <c r="C98" s="2">
        <v>30345</v>
      </c>
      <c r="D98" s="3">
        <v>40</v>
      </c>
      <c r="E98" s="3" t="s">
        <v>510</v>
      </c>
      <c r="F98" s="3" t="s">
        <v>520</v>
      </c>
      <c r="G98" s="3" t="s">
        <v>539</v>
      </c>
      <c r="H98" s="2">
        <v>43811</v>
      </c>
      <c r="I98" s="3">
        <v>1</v>
      </c>
      <c r="J98" s="3" t="s">
        <v>541</v>
      </c>
      <c r="K98" s="3">
        <v>3510</v>
      </c>
      <c r="L98" s="3">
        <v>37</v>
      </c>
      <c r="M98" s="3">
        <v>78</v>
      </c>
      <c r="N98" s="3">
        <v>89</v>
      </c>
      <c r="O98" s="3">
        <v>170</v>
      </c>
      <c r="P98" s="3" t="s">
        <v>33</v>
      </c>
      <c r="Q98" s="3" t="s">
        <v>26</v>
      </c>
      <c r="S98" s="3" t="s">
        <v>26</v>
      </c>
      <c r="T98" s="3" t="s">
        <v>121</v>
      </c>
      <c r="W98" s="3" t="s">
        <v>26</v>
      </c>
      <c r="AA98" s="3" t="s">
        <v>51</v>
      </c>
      <c r="AB98" s="3" t="s">
        <v>133</v>
      </c>
      <c r="AC98" s="3" t="s">
        <v>664</v>
      </c>
      <c r="AD98" s="3" t="s">
        <v>30</v>
      </c>
      <c r="AE98" s="3" t="s">
        <v>38</v>
      </c>
      <c r="AF98" s="3" t="s">
        <v>664</v>
      </c>
      <c r="AG98" s="3" t="s">
        <v>39</v>
      </c>
    </row>
    <row r="99" spans="1:33" ht="15.75" customHeight="1">
      <c r="A99" s="1">
        <v>45163.53278115741</v>
      </c>
      <c r="B99" s="3" t="s">
        <v>1024</v>
      </c>
      <c r="C99" s="2">
        <v>33038</v>
      </c>
      <c r="D99" s="3">
        <v>33</v>
      </c>
      <c r="E99" s="3" t="s">
        <v>511</v>
      </c>
      <c r="F99" s="3" t="s">
        <v>520</v>
      </c>
      <c r="G99" s="3" t="s">
        <v>540</v>
      </c>
      <c r="H99" s="2">
        <v>43940</v>
      </c>
      <c r="I99" s="3">
        <v>1</v>
      </c>
      <c r="J99" s="3" t="s">
        <v>542</v>
      </c>
      <c r="K99" s="3">
        <v>3760</v>
      </c>
      <c r="L99" s="3" t="s">
        <v>636</v>
      </c>
      <c r="M99" s="3">
        <v>65</v>
      </c>
      <c r="N99" s="3">
        <v>87</v>
      </c>
      <c r="O99" s="3">
        <v>161</v>
      </c>
      <c r="P99" s="3" t="s">
        <v>33</v>
      </c>
      <c r="Q99" s="3" t="s">
        <v>26</v>
      </c>
      <c r="S99" s="3" t="s">
        <v>664</v>
      </c>
      <c r="T99" s="3" t="s">
        <v>56</v>
      </c>
      <c r="U99" s="3">
        <v>7</v>
      </c>
      <c r="V99" s="3">
        <v>1</v>
      </c>
      <c r="W99" s="3" t="s">
        <v>34</v>
      </c>
      <c r="X99" s="3" t="s">
        <v>61</v>
      </c>
      <c r="Y99" s="3">
        <v>7</v>
      </c>
      <c r="Z99" s="3">
        <v>1</v>
      </c>
      <c r="AA99" s="3" t="s">
        <v>28</v>
      </c>
      <c r="AB99" s="3" t="s">
        <v>29</v>
      </c>
      <c r="AC99" s="3" t="s">
        <v>664</v>
      </c>
      <c r="AD99" s="3" t="s">
        <v>30</v>
      </c>
      <c r="AE99" s="3" t="s">
        <v>31</v>
      </c>
      <c r="AF99" s="3" t="s">
        <v>664</v>
      </c>
      <c r="AG99" s="3" t="s">
        <v>32</v>
      </c>
    </row>
    <row r="100" spans="1:33" ht="15.75" customHeight="1">
      <c r="A100" s="1">
        <v>45163.534654699077</v>
      </c>
      <c r="B100" s="3" t="s">
        <v>1024</v>
      </c>
      <c r="C100" s="2">
        <v>29980</v>
      </c>
      <c r="D100" s="3">
        <v>41</v>
      </c>
      <c r="E100" s="3" t="s">
        <v>1069</v>
      </c>
      <c r="F100" s="3" t="s">
        <v>520</v>
      </c>
      <c r="G100" s="3" t="s">
        <v>539</v>
      </c>
      <c r="H100" s="2">
        <v>42200</v>
      </c>
      <c r="I100" s="3">
        <v>2</v>
      </c>
      <c r="J100" s="3" t="s">
        <v>541</v>
      </c>
      <c r="K100" s="3">
        <v>3260</v>
      </c>
      <c r="L100" s="3" t="s">
        <v>622</v>
      </c>
      <c r="M100" s="3">
        <v>60</v>
      </c>
      <c r="N100" s="3">
        <v>65</v>
      </c>
      <c r="O100" s="3">
        <v>1.64</v>
      </c>
      <c r="P100" s="3" t="s">
        <v>33</v>
      </c>
      <c r="Q100" s="3" t="s">
        <v>26</v>
      </c>
      <c r="S100" s="3" t="s">
        <v>664</v>
      </c>
      <c r="T100" s="3" t="s">
        <v>41</v>
      </c>
      <c r="U100" s="3">
        <v>7</v>
      </c>
      <c r="V100" s="3">
        <v>1</v>
      </c>
      <c r="W100" s="3" t="s">
        <v>34</v>
      </c>
      <c r="X100" s="3" t="s">
        <v>58</v>
      </c>
      <c r="Y100" s="3">
        <v>7</v>
      </c>
      <c r="Z100" s="3">
        <v>1</v>
      </c>
      <c r="AA100" s="3" t="s">
        <v>42</v>
      </c>
      <c r="AB100" s="3" t="s">
        <v>29</v>
      </c>
      <c r="AC100" s="3" t="s">
        <v>664</v>
      </c>
      <c r="AD100" s="3" t="s">
        <v>59</v>
      </c>
      <c r="AE100" s="3" t="s">
        <v>38</v>
      </c>
      <c r="AF100" s="3" t="s">
        <v>664</v>
      </c>
      <c r="AG100" s="3" t="s">
        <v>76</v>
      </c>
    </row>
    <row r="101" spans="1:33" ht="15.75" customHeight="1">
      <c r="A101" s="1">
        <v>45163.536342083331</v>
      </c>
      <c r="B101" s="3" t="s">
        <v>1024</v>
      </c>
      <c r="C101" s="2">
        <v>31901</v>
      </c>
      <c r="D101" s="3">
        <v>36</v>
      </c>
      <c r="E101" s="3" t="s">
        <v>515</v>
      </c>
      <c r="F101" s="3" t="s">
        <v>520</v>
      </c>
      <c r="G101" s="3" t="s">
        <v>539</v>
      </c>
      <c r="H101" s="2">
        <v>41941</v>
      </c>
      <c r="I101" s="3">
        <v>1</v>
      </c>
      <c r="J101" s="3" t="s">
        <v>542</v>
      </c>
      <c r="K101" s="3">
        <v>2800</v>
      </c>
      <c r="L101" s="3">
        <v>38</v>
      </c>
      <c r="M101" s="3">
        <v>80</v>
      </c>
      <c r="N101" s="3">
        <v>87</v>
      </c>
      <c r="O101" s="3">
        <v>168</v>
      </c>
      <c r="P101" s="3" t="s">
        <v>33</v>
      </c>
      <c r="Q101" s="3" t="s">
        <v>26</v>
      </c>
      <c r="S101" s="3" t="s">
        <v>664</v>
      </c>
      <c r="T101" s="3" t="s">
        <v>509</v>
      </c>
      <c r="U101" s="3">
        <v>7</v>
      </c>
      <c r="V101" s="3">
        <v>1</v>
      </c>
      <c r="W101" s="3" t="s">
        <v>26</v>
      </c>
      <c r="AA101" s="3" t="s">
        <v>42</v>
      </c>
      <c r="AB101" s="3" t="s">
        <v>29</v>
      </c>
      <c r="AC101" s="3" t="s">
        <v>26</v>
      </c>
      <c r="AE101" s="3" t="s">
        <v>60</v>
      </c>
      <c r="AF101" s="3" t="s">
        <v>664</v>
      </c>
      <c r="AG101" s="3" t="s">
        <v>39</v>
      </c>
    </row>
    <row r="102" spans="1:33" ht="15.75" customHeight="1">
      <c r="A102" s="1">
        <v>45163.53673576389</v>
      </c>
      <c r="B102" s="3" t="s">
        <v>1024</v>
      </c>
      <c r="C102" s="2">
        <v>32890</v>
      </c>
      <c r="D102" s="3">
        <v>33</v>
      </c>
      <c r="E102" s="3" t="s">
        <v>510</v>
      </c>
      <c r="F102" s="3" t="s">
        <v>520</v>
      </c>
      <c r="G102" s="3" t="s">
        <v>540</v>
      </c>
      <c r="H102" s="2">
        <v>43795</v>
      </c>
      <c r="I102" s="3">
        <v>1</v>
      </c>
      <c r="J102" s="3" t="s">
        <v>542</v>
      </c>
      <c r="K102" s="3" t="s">
        <v>1070</v>
      </c>
      <c r="L102" s="3">
        <v>40</v>
      </c>
      <c r="M102" s="3">
        <v>56</v>
      </c>
      <c r="N102" s="3">
        <v>68</v>
      </c>
      <c r="O102" s="3">
        <v>154</v>
      </c>
      <c r="P102" s="3" t="s">
        <v>33</v>
      </c>
      <c r="Q102" s="3" t="s">
        <v>26</v>
      </c>
      <c r="S102" s="3" t="s">
        <v>664</v>
      </c>
      <c r="T102" s="3" t="s">
        <v>57</v>
      </c>
      <c r="U102" s="3">
        <v>7</v>
      </c>
      <c r="V102" s="3">
        <v>1</v>
      </c>
      <c r="W102" s="3" t="s">
        <v>26</v>
      </c>
      <c r="AA102" s="3" t="s">
        <v>49</v>
      </c>
      <c r="AB102" s="3" t="s">
        <v>134</v>
      </c>
      <c r="AC102" s="3" t="s">
        <v>664</v>
      </c>
      <c r="AD102" s="3" t="s">
        <v>30</v>
      </c>
      <c r="AE102" s="3" t="s">
        <v>60</v>
      </c>
      <c r="AF102" s="3" t="s">
        <v>664</v>
      </c>
      <c r="AG102" s="3" t="s">
        <v>39</v>
      </c>
    </row>
    <row r="103" spans="1:33" ht="15.75" customHeight="1">
      <c r="A103" s="1">
        <v>45163.575332037042</v>
      </c>
      <c r="B103" s="3" t="s">
        <v>1024</v>
      </c>
      <c r="C103" s="2">
        <v>33878</v>
      </c>
      <c r="D103" s="3">
        <v>30</v>
      </c>
      <c r="E103" s="3" t="s">
        <v>515</v>
      </c>
      <c r="F103" s="3" t="s">
        <v>520</v>
      </c>
      <c r="G103" s="3" t="s">
        <v>539</v>
      </c>
      <c r="H103" s="2">
        <v>44559</v>
      </c>
      <c r="I103" s="3">
        <v>1</v>
      </c>
      <c r="J103" s="3" t="s">
        <v>541</v>
      </c>
      <c r="K103" s="3" t="s">
        <v>1071</v>
      </c>
      <c r="L103" s="3" t="s">
        <v>662</v>
      </c>
      <c r="M103" s="3">
        <v>50</v>
      </c>
      <c r="N103" s="3">
        <v>56</v>
      </c>
      <c r="O103" s="3">
        <v>160</v>
      </c>
      <c r="P103" s="3" t="s">
        <v>33</v>
      </c>
      <c r="Q103" s="3" t="s">
        <v>34</v>
      </c>
      <c r="R103" s="3" t="s">
        <v>135</v>
      </c>
      <c r="S103" s="3" t="s">
        <v>664</v>
      </c>
      <c r="T103" s="3" t="s">
        <v>136</v>
      </c>
      <c r="U103" s="3">
        <v>1</v>
      </c>
      <c r="V103" s="3" t="s">
        <v>1072</v>
      </c>
      <c r="W103" s="3" t="s">
        <v>34</v>
      </c>
      <c r="X103" s="3" t="s">
        <v>136</v>
      </c>
      <c r="Y103" s="3">
        <v>7</v>
      </c>
      <c r="Z103" s="3">
        <v>1</v>
      </c>
      <c r="AA103" s="3" t="s">
        <v>42</v>
      </c>
      <c r="AB103" s="3" t="s">
        <v>29</v>
      </c>
      <c r="AC103" s="3" t="s">
        <v>664</v>
      </c>
      <c r="AD103" s="3" t="s">
        <v>59</v>
      </c>
      <c r="AE103" s="3" t="s">
        <v>38</v>
      </c>
      <c r="AF103" s="3" t="s">
        <v>664</v>
      </c>
      <c r="AG103" s="3" t="s">
        <v>62</v>
      </c>
    </row>
    <row r="104" spans="1:33" ht="15.75" customHeight="1">
      <c r="A104" s="1">
        <v>45163.579768773146</v>
      </c>
      <c r="B104" s="3" t="s">
        <v>1024</v>
      </c>
      <c r="C104" s="2">
        <v>32679</v>
      </c>
      <c r="D104" s="3">
        <v>34</v>
      </c>
      <c r="E104" s="3" t="s">
        <v>516</v>
      </c>
      <c r="F104" s="3" t="s">
        <v>520</v>
      </c>
      <c r="G104" s="3" t="s">
        <v>539</v>
      </c>
      <c r="H104" s="2">
        <v>43684</v>
      </c>
      <c r="I104" s="3">
        <v>3</v>
      </c>
      <c r="J104" s="3" t="s">
        <v>541</v>
      </c>
      <c r="K104" s="3">
        <v>3600</v>
      </c>
      <c r="L104" s="3">
        <v>38</v>
      </c>
      <c r="M104" s="3">
        <v>68</v>
      </c>
      <c r="N104" s="3">
        <v>81</v>
      </c>
      <c r="O104" s="3">
        <v>170</v>
      </c>
      <c r="P104" s="3" t="s">
        <v>33</v>
      </c>
      <c r="Q104" s="3" t="s">
        <v>26</v>
      </c>
      <c r="S104" s="3" t="s">
        <v>664</v>
      </c>
      <c r="T104" s="3" t="s">
        <v>56</v>
      </c>
      <c r="U104" s="3">
        <v>7</v>
      </c>
      <c r="V104" s="3">
        <v>1</v>
      </c>
      <c r="W104" s="3" t="s">
        <v>26</v>
      </c>
      <c r="AA104" s="3" t="s">
        <v>42</v>
      </c>
      <c r="AB104" s="3" t="s">
        <v>83</v>
      </c>
      <c r="AC104" s="3" t="s">
        <v>664</v>
      </c>
      <c r="AD104" s="3" t="s">
        <v>59</v>
      </c>
      <c r="AE104" s="3" t="s">
        <v>72</v>
      </c>
      <c r="AF104" s="3" t="s">
        <v>664</v>
      </c>
      <c r="AG104" s="3" t="s">
        <v>39</v>
      </c>
    </row>
    <row r="105" spans="1:33" ht="15.75" customHeight="1">
      <c r="A105" s="1">
        <v>45163.594502361113</v>
      </c>
      <c r="B105" s="3" t="s">
        <v>1024</v>
      </c>
      <c r="C105" s="2">
        <v>33164</v>
      </c>
      <c r="D105" s="3">
        <v>32</v>
      </c>
      <c r="E105" s="3" t="s">
        <v>516</v>
      </c>
      <c r="F105" s="3" t="s">
        <v>520</v>
      </c>
      <c r="G105" s="3" t="s">
        <v>539</v>
      </c>
      <c r="H105" s="2">
        <v>43615</v>
      </c>
      <c r="I105" s="3">
        <v>1</v>
      </c>
      <c r="J105" s="3" t="s">
        <v>542</v>
      </c>
      <c r="K105" s="3">
        <v>3390</v>
      </c>
      <c r="L105" s="3" t="s">
        <v>663</v>
      </c>
      <c r="M105" s="3">
        <v>59</v>
      </c>
      <c r="N105" s="3">
        <v>70</v>
      </c>
      <c r="O105" s="3">
        <v>158</v>
      </c>
      <c r="P105" s="3" t="s">
        <v>33</v>
      </c>
      <c r="Q105" s="3" t="s">
        <v>26</v>
      </c>
      <c r="S105" s="3" t="s">
        <v>664</v>
      </c>
      <c r="T105" s="3" t="s">
        <v>56</v>
      </c>
      <c r="U105" s="3">
        <v>7</v>
      </c>
      <c r="V105" s="3">
        <v>1</v>
      </c>
      <c r="W105" s="3" t="s">
        <v>34</v>
      </c>
      <c r="X105" s="3" t="s">
        <v>137</v>
      </c>
      <c r="Y105" s="3">
        <v>7</v>
      </c>
      <c r="Z105" s="3">
        <v>1</v>
      </c>
      <c r="AA105" s="3" t="s">
        <v>49</v>
      </c>
      <c r="AB105" s="3" t="s">
        <v>29</v>
      </c>
      <c r="AC105" s="3" t="s">
        <v>664</v>
      </c>
      <c r="AD105" s="3" t="s">
        <v>138</v>
      </c>
      <c r="AE105" s="3" t="s">
        <v>60</v>
      </c>
      <c r="AF105" s="3" t="s">
        <v>664</v>
      </c>
      <c r="AG105" s="3" t="s">
        <v>62</v>
      </c>
    </row>
    <row r="106" spans="1:33" ht="15.75" customHeight="1">
      <c r="A106" s="1">
        <v>45163.63427224537</v>
      </c>
      <c r="B106" s="3" t="s">
        <v>1024</v>
      </c>
      <c r="C106" s="2">
        <v>33824</v>
      </c>
      <c r="D106" s="3">
        <v>31</v>
      </c>
      <c r="E106" s="3" t="s">
        <v>515</v>
      </c>
      <c r="F106" s="3" t="s">
        <v>520</v>
      </c>
      <c r="G106" s="3" t="s">
        <v>540</v>
      </c>
      <c r="H106" s="2">
        <v>43439</v>
      </c>
      <c r="I106" s="3">
        <v>1</v>
      </c>
      <c r="J106" s="3" t="s">
        <v>542</v>
      </c>
      <c r="K106" s="3">
        <v>3900</v>
      </c>
      <c r="L106" s="3">
        <v>39</v>
      </c>
      <c r="M106" s="3">
        <v>66</v>
      </c>
      <c r="N106" s="3">
        <v>76</v>
      </c>
      <c r="O106" s="3" t="s">
        <v>1073</v>
      </c>
      <c r="P106" s="3" t="s">
        <v>33</v>
      </c>
      <c r="Q106" s="3" t="s">
        <v>26</v>
      </c>
      <c r="S106" s="3" t="s">
        <v>664</v>
      </c>
      <c r="T106" s="3" t="s">
        <v>373</v>
      </c>
      <c r="U106" s="3">
        <v>7</v>
      </c>
      <c r="V106" s="3">
        <v>1</v>
      </c>
      <c r="W106" s="3" t="s">
        <v>26</v>
      </c>
      <c r="X106" s="3" t="s">
        <v>665</v>
      </c>
      <c r="Y106" s="3">
        <v>7</v>
      </c>
      <c r="Z106" s="3">
        <v>1</v>
      </c>
      <c r="AA106" s="3" t="s">
        <v>42</v>
      </c>
      <c r="AB106" s="3" t="s">
        <v>29</v>
      </c>
      <c r="AC106" s="3" t="s">
        <v>664</v>
      </c>
      <c r="AD106" s="3" t="s">
        <v>591</v>
      </c>
      <c r="AE106" s="3" t="s">
        <v>60</v>
      </c>
      <c r="AF106" s="3" t="s">
        <v>664</v>
      </c>
      <c r="AG106" s="3" t="s">
        <v>32</v>
      </c>
    </row>
    <row r="107" spans="1:33" ht="15.75" customHeight="1">
      <c r="A107" s="1">
        <v>45163.673474930554</v>
      </c>
      <c r="B107" s="3" t="s">
        <v>1024</v>
      </c>
      <c r="C107" s="2">
        <v>32272</v>
      </c>
      <c r="D107" s="3">
        <v>35</v>
      </c>
      <c r="E107" s="3" t="s">
        <v>517</v>
      </c>
      <c r="F107" s="3" t="s">
        <v>520</v>
      </c>
      <c r="G107" s="3" t="s">
        <v>540</v>
      </c>
      <c r="H107" s="2">
        <v>43013</v>
      </c>
      <c r="I107" s="3">
        <v>2</v>
      </c>
      <c r="J107" s="3" t="s">
        <v>541</v>
      </c>
      <c r="K107" s="3" t="s">
        <v>1074</v>
      </c>
      <c r="L107" s="3" t="s">
        <v>636</v>
      </c>
      <c r="M107" s="3">
        <v>63</v>
      </c>
      <c r="N107" s="3">
        <v>75</v>
      </c>
      <c r="O107" s="3" t="s">
        <v>1049</v>
      </c>
      <c r="P107" s="3" t="s">
        <v>33</v>
      </c>
      <c r="Q107" s="3" t="s">
        <v>26</v>
      </c>
      <c r="S107" s="3" t="s">
        <v>664</v>
      </c>
      <c r="T107" s="3" t="s">
        <v>57</v>
      </c>
      <c r="U107" s="3">
        <v>7</v>
      </c>
      <c r="V107" s="3">
        <v>1</v>
      </c>
      <c r="W107" s="3" t="s">
        <v>34</v>
      </c>
      <c r="X107" s="3" t="s">
        <v>61</v>
      </c>
      <c r="Y107" s="3">
        <v>7</v>
      </c>
      <c r="Z107" s="3">
        <v>1</v>
      </c>
      <c r="AA107" s="3" t="s">
        <v>36</v>
      </c>
      <c r="AB107" s="3" t="s">
        <v>139</v>
      </c>
      <c r="AC107" s="3" t="s">
        <v>664</v>
      </c>
      <c r="AD107" s="3" t="s">
        <v>30</v>
      </c>
      <c r="AE107" s="3" t="s">
        <v>60</v>
      </c>
      <c r="AF107" s="3" t="s">
        <v>664</v>
      </c>
      <c r="AG107" s="3" t="s">
        <v>39</v>
      </c>
    </row>
    <row r="108" spans="1:33" ht="15.75" customHeight="1">
      <c r="A108" s="1">
        <v>45163.731396354167</v>
      </c>
      <c r="B108" s="3" t="s">
        <v>1024</v>
      </c>
      <c r="C108" s="2">
        <v>33112</v>
      </c>
      <c r="D108" s="3" t="s">
        <v>1075</v>
      </c>
      <c r="E108" s="3" t="s">
        <v>510</v>
      </c>
      <c r="F108" s="3" t="s">
        <v>520</v>
      </c>
      <c r="G108" s="3" t="s">
        <v>540</v>
      </c>
      <c r="H108" s="2">
        <v>44263</v>
      </c>
      <c r="I108" s="3">
        <v>2</v>
      </c>
      <c r="J108" s="3" t="s">
        <v>541</v>
      </c>
      <c r="K108" s="3" t="s">
        <v>1076</v>
      </c>
      <c r="L108" s="3" t="s">
        <v>666</v>
      </c>
      <c r="M108" s="3" t="s">
        <v>1077</v>
      </c>
      <c r="N108" s="3" t="s">
        <v>1078</v>
      </c>
      <c r="O108" s="3">
        <v>170</v>
      </c>
      <c r="P108" s="3" t="s">
        <v>25</v>
      </c>
      <c r="Q108" s="3" t="s">
        <v>26</v>
      </c>
      <c r="S108" s="3" t="s">
        <v>26</v>
      </c>
      <c r="W108" s="3" t="s">
        <v>26</v>
      </c>
      <c r="AA108" s="3" t="s">
        <v>51</v>
      </c>
      <c r="AB108" s="3" t="s">
        <v>29</v>
      </c>
      <c r="AC108" s="3" t="s">
        <v>664</v>
      </c>
      <c r="AD108" s="3" t="s">
        <v>30</v>
      </c>
      <c r="AE108" s="3" t="s">
        <v>31</v>
      </c>
      <c r="AF108" s="3" t="s">
        <v>664</v>
      </c>
      <c r="AG108" s="3" t="s">
        <v>32</v>
      </c>
    </row>
    <row r="109" spans="1:33" ht="15.75" customHeight="1">
      <c r="A109" s="1">
        <v>45163.822823182869</v>
      </c>
      <c r="B109" s="3" t="s">
        <v>1024</v>
      </c>
      <c r="C109" s="2">
        <v>28999</v>
      </c>
      <c r="D109" s="3">
        <v>44</v>
      </c>
      <c r="E109" s="3" t="s">
        <v>510</v>
      </c>
      <c r="F109" s="3" t="s">
        <v>521</v>
      </c>
      <c r="G109" s="3" t="s">
        <v>540</v>
      </c>
      <c r="H109" s="2">
        <v>44168</v>
      </c>
      <c r="I109" s="3">
        <v>4</v>
      </c>
      <c r="J109" s="3" t="s">
        <v>542</v>
      </c>
      <c r="K109" s="3" t="s">
        <v>1079</v>
      </c>
      <c r="L109" s="3" t="s">
        <v>667</v>
      </c>
      <c r="M109" s="3">
        <v>51</v>
      </c>
      <c r="N109" s="3">
        <v>61</v>
      </c>
      <c r="O109" s="3" t="s">
        <v>1080</v>
      </c>
      <c r="P109" s="3" t="s">
        <v>33</v>
      </c>
      <c r="Q109" s="3" t="s">
        <v>26</v>
      </c>
      <c r="S109" s="3" t="s">
        <v>664</v>
      </c>
      <c r="T109" s="3" t="s">
        <v>27</v>
      </c>
      <c r="U109" s="3">
        <v>7</v>
      </c>
      <c r="V109" s="3">
        <v>1</v>
      </c>
      <c r="W109" s="3" t="s">
        <v>34</v>
      </c>
      <c r="X109" s="3" t="s">
        <v>58</v>
      </c>
      <c r="Y109" s="3">
        <v>7</v>
      </c>
      <c r="Z109" s="3">
        <v>1</v>
      </c>
      <c r="AA109" s="3" t="s">
        <v>42</v>
      </c>
      <c r="AB109" s="3" t="s">
        <v>29</v>
      </c>
      <c r="AC109" s="3" t="s">
        <v>664</v>
      </c>
      <c r="AD109" s="3" t="s">
        <v>55</v>
      </c>
      <c r="AE109" s="3" t="s">
        <v>38</v>
      </c>
      <c r="AF109" s="3" t="s">
        <v>664</v>
      </c>
      <c r="AG109" s="3" t="s">
        <v>48</v>
      </c>
    </row>
    <row r="110" spans="1:33" ht="15.75" customHeight="1">
      <c r="A110" s="1">
        <v>45166.481616817131</v>
      </c>
      <c r="B110" s="3" t="s">
        <v>1024</v>
      </c>
      <c r="C110" s="2">
        <v>31903</v>
      </c>
      <c r="D110" s="3">
        <v>36</v>
      </c>
      <c r="E110" s="3" t="s">
        <v>510</v>
      </c>
      <c r="F110" s="3" t="s">
        <v>520</v>
      </c>
      <c r="G110" s="3" t="s">
        <v>539</v>
      </c>
      <c r="H110" s="2">
        <v>43705</v>
      </c>
      <c r="I110" s="3">
        <v>1</v>
      </c>
      <c r="J110" s="3" t="s">
        <v>542</v>
      </c>
      <c r="K110" s="3">
        <v>3695</v>
      </c>
      <c r="L110" s="3" t="s">
        <v>668</v>
      </c>
      <c r="M110" s="3">
        <v>55</v>
      </c>
      <c r="N110" s="3">
        <v>66</v>
      </c>
      <c r="O110" s="3">
        <v>154</v>
      </c>
      <c r="P110" s="3" t="s">
        <v>33</v>
      </c>
      <c r="Q110" s="3" t="s">
        <v>26</v>
      </c>
      <c r="S110" s="3" t="s">
        <v>664</v>
      </c>
      <c r="T110" s="3" t="s">
        <v>140</v>
      </c>
      <c r="U110" s="3">
        <v>7</v>
      </c>
      <c r="V110" s="3">
        <v>1</v>
      </c>
      <c r="W110" s="3" t="s">
        <v>26</v>
      </c>
      <c r="AA110" s="3" t="s">
        <v>42</v>
      </c>
      <c r="AB110" s="3" t="s">
        <v>29</v>
      </c>
      <c r="AC110" s="3" t="s">
        <v>664</v>
      </c>
      <c r="AD110" s="3" t="s">
        <v>30</v>
      </c>
      <c r="AE110" s="3" t="s">
        <v>38</v>
      </c>
      <c r="AF110" s="3" t="s">
        <v>664</v>
      </c>
      <c r="AG110" s="3" t="s">
        <v>39</v>
      </c>
    </row>
    <row r="111" spans="1:33" ht="15.75" customHeight="1">
      <c r="A111" s="1">
        <v>45166.498683148151</v>
      </c>
      <c r="B111" s="3" t="s">
        <v>1024</v>
      </c>
      <c r="C111" s="2">
        <v>31850</v>
      </c>
      <c r="D111" s="3">
        <v>36</v>
      </c>
      <c r="E111" s="3" t="s">
        <v>510</v>
      </c>
      <c r="F111" s="3" t="s">
        <v>525</v>
      </c>
      <c r="G111" s="3" t="s">
        <v>540</v>
      </c>
      <c r="H111" s="2">
        <v>44136</v>
      </c>
      <c r="I111" s="3">
        <v>1</v>
      </c>
      <c r="J111" s="3" t="s">
        <v>541</v>
      </c>
      <c r="K111" s="3">
        <v>3090</v>
      </c>
      <c r="L111" s="3" t="s">
        <v>669</v>
      </c>
      <c r="M111" s="3">
        <v>67</v>
      </c>
      <c r="N111" s="3">
        <v>77</v>
      </c>
      <c r="O111" s="3">
        <v>170</v>
      </c>
      <c r="P111" s="3" t="s">
        <v>44</v>
      </c>
      <c r="Q111" s="3" t="s">
        <v>26</v>
      </c>
      <c r="S111" s="3" t="s">
        <v>664</v>
      </c>
      <c r="T111" s="3" t="s">
        <v>79</v>
      </c>
      <c r="U111" s="3">
        <v>7</v>
      </c>
      <c r="V111" s="3">
        <v>1</v>
      </c>
      <c r="W111" s="3" t="s">
        <v>34</v>
      </c>
      <c r="X111" s="3" t="s">
        <v>879</v>
      </c>
      <c r="Y111" s="3">
        <v>7</v>
      </c>
      <c r="Z111" s="3">
        <v>2</v>
      </c>
      <c r="AA111" s="3" t="s">
        <v>49</v>
      </c>
      <c r="AB111" s="3" t="s">
        <v>142</v>
      </c>
      <c r="AC111" s="3" t="s">
        <v>664</v>
      </c>
      <c r="AD111" s="3" t="s">
        <v>143</v>
      </c>
      <c r="AE111" s="3" t="s">
        <v>60</v>
      </c>
      <c r="AF111" s="3" t="s">
        <v>664</v>
      </c>
      <c r="AG111" s="3" t="s">
        <v>62</v>
      </c>
    </row>
    <row r="112" spans="1:33" ht="15.75" customHeight="1">
      <c r="A112" s="1">
        <v>45166.499477395831</v>
      </c>
      <c r="B112" s="3" t="s">
        <v>1024</v>
      </c>
      <c r="C112" s="2">
        <v>31955</v>
      </c>
      <c r="D112" s="3">
        <v>36</v>
      </c>
      <c r="E112" s="3" t="s">
        <v>510</v>
      </c>
      <c r="F112" s="3" t="s">
        <v>520</v>
      </c>
      <c r="G112" s="3" t="s">
        <v>539</v>
      </c>
      <c r="H112" s="2">
        <v>43475</v>
      </c>
      <c r="I112" s="3">
        <v>1</v>
      </c>
      <c r="J112" s="3" t="s">
        <v>542</v>
      </c>
      <c r="K112" s="3" t="s">
        <v>1040</v>
      </c>
      <c r="L112" s="3" t="s">
        <v>662</v>
      </c>
      <c r="M112" s="3">
        <v>80</v>
      </c>
      <c r="N112" s="3">
        <v>104</v>
      </c>
      <c r="O112" s="3">
        <v>161</v>
      </c>
      <c r="P112" s="3" t="s">
        <v>33</v>
      </c>
      <c r="Q112" s="3" t="s">
        <v>34</v>
      </c>
      <c r="R112" s="3" t="s">
        <v>144</v>
      </c>
      <c r="S112" s="3" t="s">
        <v>664</v>
      </c>
      <c r="T112" s="3" t="s">
        <v>27</v>
      </c>
      <c r="U112" s="3">
        <v>7</v>
      </c>
      <c r="V112" s="3">
        <v>1</v>
      </c>
      <c r="W112" s="3" t="s">
        <v>26</v>
      </c>
      <c r="AA112" s="3" t="s">
        <v>42</v>
      </c>
      <c r="AB112" s="3" t="s">
        <v>29</v>
      </c>
      <c r="AC112" s="3" t="s">
        <v>664</v>
      </c>
      <c r="AD112" s="3" t="s">
        <v>30</v>
      </c>
      <c r="AE112" s="3" t="s">
        <v>31</v>
      </c>
      <c r="AF112" s="3" t="s">
        <v>664</v>
      </c>
      <c r="AG112" s="3" t="s">
        <v>48</v>
      </c>
    </row>
    <row r="113" spans="1:33" ht="15.75" customHeight="1">
      <c r="A113" s="1">
        <v>45166.523186226856</v>
      </c>
      <c r="B113" s="3" t="s">
        <v>1024</v>
      </c>
      <c r="C113" s="2">
        <v>36034</v>
      </c>
      <c r="D113" s="3">
        <v>25</v>
      </c>
      <c r="E113" s="3" t="s">
        <v>510</v>
      </c>
      <c r="F113" s="3" t="s">
        <v>520</v>
      </c>
      <c r="G113" s="3" t="s">
        <v>538</v>
      </c>
      <c r="H113" s="2">
        <v>42851</v>
      </c>
      <c r="I113" s="3">
        <v>1</v>
      </c>
      <c r="J113" s="3" t="s">
        <v>541</v>
      </c>
      <c r="K113" s="3">
        <v>3450</v>
      </c>
      <c r="L113" s="3" t="s">
        <v>670</v>
      </c>
      <c r="M113" s="3">
        <v>60</v>
      </c>
      <c r="N113" s="3">
        <v>69</v>
      </c>
      <c r="O113" s="3" t="s">
        <v>1073</v>
      </c>
      <c r="P113" s="3" t="s">
        <v>33</v>
      </c>
      <c r="Q113" s="3" t="s">
        <v>26</v>
      </c>
      <c r="S113" s="3" t="s">
        <v>664</v>
      </c>
      <c r="T113" s="3" t="s">
        <v>79</v>
      </c>
      <c r="U113" s="3">
        <v>1</v>
      </c>
      <c r="V113" s="3">
        <v>1</v>
      </c>
      <c r="W113" s="3" t="s">
        <v>26</v>
      </c>
      <c r="AA113" s="3" t="s">
        <v>49</v>
      </c>
      <c r="AB113" s="3" t="s">
        <v>29</v>
      </c>
      <c r="AC113" s="3" t="s">
        <v>664</v>
      </c>
      <c r="AD113" s="3" t="s">
        <v>30</v>
      </c>
      <c r="AE113" s="3" t="s">
        <v>38</v>
      </c>
      <c r="AF113" s="3" t="s">
        <v>664</v>
      </c>
      <c r="AG113" s="3" t="s">
        <v>94</v>
      </c>
    </row>
    <row r="114" spans="1:33" ht="15.75" customHeight="1">
      <c r="A114" s="1">
        <v>45166.553256446758</v>
      </c>
      <c r="B114" s="3" t="s">
        <v>1024</v>
      </c>
      <c r="C114" s="2">
        <v>31032</v>
      </c>
      <c r="D114" s="3">
        <v>38</v>
      </c>
      <c r="E114" s="3" t="s">
        <v>510</v>
      </c>
      <c r="F114" s="3" t="s">
        <v>520</v>
      </c>
      <c r="G114" s="3" t="s">
        <v>538</v>
      </c>
      <c r="H114" s="2">
        <v>45102</v>
      </c>
      <c r="I114" s="3">
        <v>3</v>
      </c>
      <c r="J114" s="3" t="s">
        <v>542</v>
      </c>
      <c r="K114" s="3" t="s">
        <v>1081</v>
      </c>
      <c r="L114" s="3" t="s">
        <v>671</v>
      </c>
      <c r="M114" s="3" t="s">
        <v>1051</v>
      </c>
      <c r="N114" s="3" t="s">
        <v>1082</v>
      </c>
      <c r="O114" s="3">
        <v>175</v>
      </c>
      <c r="P114" s="3" t="s">
        <v>33</v>
      </c>
      <c r="Q114" s="3" t="s">
        <v>26</v>
      </c>
      <c r="S114" s="3" t="s">
        <v>664</v>
      </c>
      <c r="T114" s="3" t="s">
        <v>79</v>
      </c>
      <c r="U114" s="3">
        <v>7</v>
      </c>
      <c r="V114" s="3">
        <v>1</v>
      </c>
      <c r="W114" s="3" t="s">
        <v>26</v>
      </c>
      <c r="AA114" s="3" t="s">
        <v>49</v>
      </c>
      <c r="AB114" s="3" t="s">
        <v>145</v>
      </c>
      <c r="AC114" s="3" t="s">
        <v>664</v>
      </c>
      <c r="AD114" s="3" t="s">
        <v>30</v>
      </c>
      <c r="AE114" s="3" t="s">
        <v>31</v>
      </c>
      <c r="AF114" s="3" t="s">
        <v>664</v>
      </c>
      <c r="AG114" s="3" t="s">
        <v>39</v>
      </c>
    </row>
    <row r="115" spans="1:33" ht="15.75" customHeight="1">
      <c r="A115" s="1">
        <v>45166.575800949075</v>
      </c>
      <c r="B115" s="3" t="s">
        <v>1024</v>
      </c>
      <c r="C115" s="2">
        <v>32783</v>
      </c>
      <c r="D115" s="3">
        <v>33</v>
      </c>
      <c r="E115" s="3" t="s">
        <v>510</v>
      </c>
      <c r="F115" s="3" t="s">
        <v>523</v>
      </c>
      <c r="G115" s="3" t="s">
        <v>540</v>
      </c>
      <c r="H115" s="2">
        <v>44867</v>
      </c>
      <c r="I115" s="3">
        <v>1</v>
      </c>
      <c r="J115" s="3" t="s">
        <v>542</v>
      </c>
      <c r="K115" s="3">
        <v>3155</v>
      </c>
      <c r="L115" s="3">
        <v>39</v>
      </c>
      <c r="M115" s="3">
        <v>60</v>
      </c>
      <c r="N115" s="3">
        <v>74</v>
      </c>
      <c r="O115" s="3">
        <v>155</v>
      </c>
      <c r="P115" s="3" t="s">
        <v>33</v>
      </c>
      <c r="Q115" s="3" t="s">
        <v>26</v>
      </c>
      <c r="S115" s="3" t="s">
        <v>664</v>
      </c>
      <c r="T115" s="3" t="s">
        <v>146</v>
      </c>
      <c r="U115" s="3">
        <v>7</v>
      </c>
      <c r="V115" s="3">
        <v>1</v>
      </c>
      <c r="W115" s="3" t="s">
        <v>34</v>
      </c>
      <c r="X115" s="3" t="s">
        <v>146</v>
      </c>
      <c r="Y115" s="3">
        <v>7</v>
      </c>
      <c r="Z115" s="3">
        <v>1</v>
      </c>
      <c r="AA115" s="3" t="s">
        <v>36</v>
      </c>
      <c r="AB115" s="3" t="s">
        <v>29</v>
      </c>
      <c r="AC115" s="3" t="s">
        <v>664</v>
      </c>
      <c r="AD115" s="3" t="s">
        <v>37</v>
      </c>
      <c r="AE115" s="3" t="s">
        <v>38</v>
      </c>
      <c r="AF115" s="3" t="s">
        <v>664</v>
      </c>
      <c r="AG115" s="3" t="s">
        <v>39</v>
      </c>
    </row>
    <row r="116" spans="1:33" ht="15.75" customHeight="1">
      <c r="A116" s="1">
        <v>45166.617186967589</v>
      </c>
      <c r="B116" s="3" t="s">
        <v>1024</v>
      </c>
      <c r="C116" s="2">
        <v>29560</v>
      </c>
      <c r="D116" s="3">
        <v>42</v>
      </c>
      <c r="E116" s="3" t="s">
        <v>510</v>
      </c>
      <c r="F116" s="3" t="s">
        <v>534</v>
      </c>
      <c r="G116" s="3" t="s">
        <v>539</v>
      </c>
      <c r="H116" s="2">
        <v>43052</v>
      </c>
      <c r="I116" s="3">
        <v>1</v>
      </c>
      <c r="J116" s="3" t="s">
        <v>542</v>
      </c>
      <c r="K116" s="3">
        <v>3750</v>
      </c>
      <c r="L116" s="3" t="s">
        <v>625</v>
      </c>
      <c r="M116" s="3">
        <v>58</v>
      </c>
      <c r="N116" s="3">
        <v>68</v>
      </c>
      <c r="O116" s="3">
        <v>155</v>
      </c>
      <c r="P116" s="3" t="s">
        <v>44</v>
      </c>
      <c r="Q116" s="3" t="s">
        <v>26</v>
      </c>
      <c r="S116" s="3" t="s">
        <v>664</v>
      </c>
      <c r="T116" s="3" t="s">
        <v>27</v>
      </c>
      <c r="U116" s="3">
        <v>7</v>
      </c>
      <c r="V116" s="3">
        <v>1</v>
      </c>
      <c r="W116" s="3" t="s">
        <v>34</v>
      </c>
      <c r="X116" s="3" t="s">
        <v>147</v>
      </c>
      <c r="Y116" s="3">
        <v>7</v>
      </c>
      <c r="Z116" s="3">
        <v>1</v>
      </c>
      <c r="AA116" s="3" t="s">
        <v>28</v>
      </c>
      <c r="AB116" s="3" t="s">
        <v>29</v>
      </c>
      <c r="AC116" s="3" t="s">
        <v>664</v>
      </c>
      <c r="AD116" s="3" t="s">
        <v>148</v>
      </c>
      <c r="AE116" s="3" t="s">
        <v>38</v>
      </c>
      <c r="AF116" s="3" t="s">
        <v>664</v>
      </c>
      <c r="AG116" s="3" t="s">
        <v>62</v>
      </c>
    </row>
    <row r="117" spans="1:33" ht="15.75" customHeight="1">
      <c r="A117" s="1">
        <v>45166.62867150463</v>
      </c>
      <c r="B117" s="3" t="s">
        <v>1024</v>
      </c>
      <c r="C117" s="2">
        <v>45225</v>
      </c>
      <c r="D117" s="3">
        <v>48</v>
      </c>
      <c r="E117" s="3" t="s">
        <v>510</v>
      </c>
      <c r="F117" s="3" t="s">
        <v>529</v>
      </c>
      <c r="G117" s="3" t="s">
        <v>540</v>
      </c>
      <c r="H117" s="2">
        <v>44096</v>
      </c>
      <c r="I117" s="3">
        <v>3</v>
      </c>
      <c r="J117" s="3" t="s">
        <v>541</v>
      </c>
      <c r="K117" s="3">
        <v>3450</v>
      </c>
      <c r="L117" s="3">
        <v>38</v>
      </c>
      <c r="M117" s="3">
        <v>62</v>
      </c>
      <c r="N117" s="3">
        <v>67</v>
      </c>
      <c r="O117" s="3">
        <v>164</v>
      </c>
      <c r="P117" s="3" t="s">
        <v>33</v>
      </c>
      <c r="Q117" s="3" t="s">
        <v>26</v>
      </c>
      <c r="S117" s="3" t="s">
        <v>664</v>
      </c>
      <c r="T117" s="3" t="s">
        <v>149</v>
      </c>
      <c r="U117" s="3">
        <v>7</v>
      </c>
      <c r="V117" s="3">
        <v>1</v>
      </c>
      <c r="W117" s="3" t="s">
        <v>26</v>
      </c>
      <c r="AA117" s="3" t="s">
        <v>42</v>
      </c>
      <c r="AB117" s="3" t="s">
        <v>29</v>
      </c>
      <c r="AC117" s="3" t="s">
        <v>664</v>
      </c>
      <c r="AD117" s="3" t="s">
        <v>30</v>
      </c>
      <c r="AE117" s="3" t="s">
        <v>31</v>
      </c>
      <c r="AF117" s="3" t="s">
        <v>664</v>
      </c>
      <c r="AG117" s="3" t="s">
        <v>32</v>
      </c>
    </row>
    <row r="118" spans="1:33" ht="15.75" customHeight="1">
      <c r="A118" s="1">
        <v>45166.635911469908</v>
      </c>
      <c r="B118" s="3" t="s">
        <v>1024</v>
      </c>
      <c r="C118" s="2">
        <v>33592</v>
      </c>
      <c r="D118" s="3">
        <v>31</v>
      </c>
      <c r="E118" s="3" t="s">
        <v>510</v>
      </c>
      <c r="F118" s="3" t="s">
        <v>523</v>
      </c>
      <c r="G118" s="3" t="s">
        <v>539</v>
      </c>
      <c r="H118" s="2">
        <v>44799</v>
      </c>
      <c r="I118" s="3">
        <v>1</v>
      </c>
      <c r="J118" s="3" t="s">
        <v>542</v>
      </c>
      <c r="K118" s="3" t="s">
        <v>1083</v>
      </c>
      <c r="L118" s="3" t="s">
        <v>672</v>
      </c>
      <c r="M118" s="3">
        <v>57</v>
      </c>
      <c r="N118" s="3">
        <v>68</v>
      </c>
      <c r="O118" s="3">
        <v>158</v>
      </c>
      <c r="P118" s="3" t="s">
        <v>123</v>
      </c>
      <c r="Q118" s="3" t="s">
        <v>26</v>
      </c>
      <c r="S118" s="3" t="s">
        <v>664</v>
      </c>
      <c r="T118" s="3" t="s">
        <v>43</v>
      </c>
      <c r="U118" s="3">
        <v>7</v>
      </c>
      <c r="V118" s="3">
        <v>1</v>
      </c>
      <c r="W118" s="3" t="s">
        <v>26</v>
      </c>
      <c r="AA118" s="3" t="s">
        <v>49</v>
      </c>
      <c r="AB118" s="3" t="s">
        <v>83</v>
      </c>
      <c r="AC118" s="3" t="s">
        <v>664</v>
      </c>
      <c r="AD118" s="3" t="s">
        <v>55</v>
      </c>
      <c r="AE118" s="3" t="s">
        <v>31</v>
      </c>
      <c r="AF118" s="3" t="s">
        <v>664</v>
      </c>
      <c r="AG118" s="3" t="s">
        <v>48</v>
      </c>
    </row>
    <row r="119" spans="1:33" ht="15.75" customHeight="1">
      <c r="A119" s="1">
        <v>45166.652369097224</v>
      </c>
      <c r="B119" s="3" t="s">
        <v>1024</v>
      </c>
      <c r="C119" s="2">
        <v>30237</v>
      </c>
      <c r="D119" s="3">
        <v>40</v>
      </c>
      <c r="E119" s="3" t="s">
        <v>510</v>
      </c>
      <c r="F119" s="3" t="s">
        <v>529</v>
      </c>
      <c r="G119" s="3" t="s">
        <v>540</v>
      </c>
      <c r="H119" s="2">
        <v>43872</v>
      </c>
      <c r="I119" s="3">
        <v>1</v>
      </c>
      <c r="J119" s="3" t="s">
        <v>542</v>
      </c>
      <c r="K119" s="3">
        <v>2460</v>
      </c>
      <c r="L119" s="3" t="s">
        <v>661</v>
      </c>
      <c r="M119" s="3">
        <v>60</v>
      </c>
      <c r="N119" s="3">
        <v>68</v>
      </c>
      <c r="O119" s="3">
        <v>160</v>
      </c>
      <c r="P119" s="3" t="s">
        <v>33</v>
      </c>
      <c r="Q119" s="3" t="s">
        <v>26</v>
      </c>
      <c r="S119" s="3" t="s">
        <v>664</v>
      </c>
      <c r="T119" s="3" t="s">
        <v>43</v>
      </c>
      <c r="U119" s="3">
        <v>7</v>
      </c>
      <c r="V119" s="3">
        <v>1</v>
      </c>
      <c r="W119" s="3" t="s">
        <v>34</v>
      </c>
      <c r="X119" s="3" t="s">
        <v>58</v>
      </c>
      <c r="Y119" s="3">
        <v>7</v>
      </c>
      <c r="Z119" s="3">
        <v>1</v>
      </c>
      <c r="AA119" s="3" t="s">
        <v>28</v>
      </c>
      <c r="AB119" s="3" t="s">
        <v>29</v>
      </c>
      <c r="AC119" s="3" t="s">
        <v>664</v>
      </c>
      <c r="AD119" s="3" t="s">
        <v>30</v>
      </c>
      <c r="AE119" s="3" t="s">
        <v>38</v>
      </c>
      <c r="AF119" s="3" t="s">
        <v>664</v>
      </c>
      <c r="AG119" s="3" t="s">
        <v>39</v>
      </c>
    </row>
    <row r="120" spans="1:33" ht="15.75" customHeight="1">
      <c r="A120" s="1">
        <v>45166.696421504632</v>
      </c>
      <c r="B120" s="3" t="s">
        <v>1024</v>
      </c>
      <c r="C120" s="2">
        <v>32793</v>
      </c>
      <c r="D120" s="3">
        <v>33</v>
      </c>
      <c r="E120" s="3" t="s">
        <v>510</v>
      </c>
      <c r="F120" s="3" t="s">
        <v>520</v>
      </c>
      <c r="G120" s="3" t="s">
        <v>539</v>
      </c>
      <c r="H120" s="2">
        <v>44916</v>
      </c>
      <c r="I120" s="3">
        <v>1</v>
      </c>
      <c r="J120" s="3" t="s">
        <v>542</v>
      </c>
      <c r="K120" s="3">
        <v>2450</v>
      </c>
      <c r="L120" s="3">
        <v>38</v>
      </c>
      <c r="M120" s="3">
        <v>50</v>
      </c>
      <c r="N120" s="3">
        <v>62</v>
      </c>
      <c r="O120" s="3">
        <v>167</v>
      </c>
      <c r="P120" s="3" t="s">
        <v>33</v>
      </c>
      <c r="Q120" s="3" t="s">
        <v>34</v>
      </c>
      <c r="R120" s="3" t="s">
        <v>150</v>
      </c>
      <c r="S120" s="3" t="s">
        <v>664</v>
      </c>
      <c r="T120" s="3" t="s">
        <v>56</v>
      </c>
      <c r="U120" s="3">
        <v>7</v>
      </c>
      <c r="V120" s="3">
        <v>1</v>
      </c>
      <c r="W120" s="3" t="s">
        <v>34</v>
      </c>
      <c r="X120" s="3" t="s">
        <v>58</v>
      </c>
      <c r="Y120" s="3">
        <v>7</v>
      </c>
      <c r="Z120" s="3">
        <v>1</v>
      </c>
      <c r="AA120" s="3" t="s">
        <v>28</v>
      </c>
      <c r="AB120" s="3" t="s">
        <v>29</v>
      </c>
      <c r="AC120" s="3" t="s">
        <v>664</v>
      </c>
      <c r="AD120" s="3" t="s">
        <v>37</v>
      </c>
      <c r="AE120" s="3" t="s">
        <v>38</v>
      </c>
      <c r="AF120" s="3" t="s">
        <v>664</v>
      </c>
      <c r="AG120" s="3" t="s">
        <v>39</v>
      </c>
    </row>
    <row r="121" spans="1:33" ht="15.75" customHeight="1">
      <c r="A121" s="1">
        <v>45166.799150567131</v>
      </c>
      <c r="B121" s="3" t="s">
        <v>1024</v>
      </c>
      <c r="C121" s="2">
        <v>34221</v>
      </c>
      <c r="D121" s="3">
        <v>29</v>
      </c>
      <c r="E121" s="3" t="s">
        <v>510</v>
      </c>
      <c r="F121" s="3" t="s">
        <v>529</v>
      </c>
      <c r="G121" s="3" t="s">
        <v>539</v>
      </c>
      <c r="H121" s="2">
        <v>44913</v>
      </c>
      <c r="I121" s="3">
        <v>1</v>
      </c>
      <c r="J121" s="3" t="s">
        <v>541</v>
      </c>
      <c r="K121" s="3">
        <v>2560</v>
      </c>
      <c r="L121" s="3" t="s">
        <v>652</v>
      </c>
      <c r="M121" s="3" t="s">
        <v>1084</v>
      </c>
      <c r="N121" s="3" t="s">
        <v>1085</v>
      </c>
      <c r="O121" s="3">
        <v>153</v>
      </c>
      <c r="P121" s="3" t="s">
        <v>33</v>
      </c>
      <c r="Q121" s="3" t="s">
        <v>26</v>
      </c>
      <c r="S121" s="3" t="s">
        <v>664</v>
      </c>
      <c r="T121" s="3" t="s">
        <v>56</v>
      </c>
      <c r="U121" s="3">
        <v>6</v>
      </c>
      <c r="V121" s="3">
        <v>1</v>
      </c>
      <c r="W121" s="3" t="s">
        <v>34</v>
      </c>
      <c r="X121" s="3" t="s">
        <v>151</v>
      </c>
      <c r="Y121" s="3">
        <v>5</v>
      </c>
      <c r="Z121" s="3">
        <v>1</v>
      </c>
      <c r="AA121" s="3" t="s">
        <v>28</v>
      </c>
      <c r="AB121" s="3" t="s">
        <v>29</v>
      </c>
      <c r="AC121" s="3" t="s">
        <v>664</v>
      </c>
      <c r="AD121" s="3" t="s">
        <v>152</v>
      </c>
      <c r="AE121" s="3" t="s">
        <v>38</v>
      </c>
      <c r="AF121" s="3" t="s">
        <v>664</v>
      </c>
      <c r="AG121" s="3" t="s">
        <v>32</v>
      </c>
    </row>
    <row r="122" spans="1:33" ht="15.75" customHeight="1">
      <c r="A122" s="1">
        <v>45166.815059780092</v>
      </c>
      <c r="B122" s="3" t="s">
        <v>1024</v>
      </c>
      <c r="C122" s="2">
        <v>31657</v>
      </c>
      <c r="D122" s="3">
        <v>36</v>
      </c>
      <c r="E122" s="3" t="s">
        <v>510</v>
      </c>
      <c r="F122" s="3" t="s">
        <v>520</v>
      </c>
      <c r="G122" s="3" t="s">
        <v>540</v>
      </c>
      <c r="H122" s="2">
        <v>44919</v>
      </c>
      <c r="I122" s="3">
        <v>1</v>
      </c>
      <c r="J122" s="3" t="s">
        <v>542</v>
      </c>
      <c r="K122" s="3">
        <v>3200</v>
      </c>
      <c r="L122" s="3">
        <v>39</v>
      </c>
      <c r="M122" s="3">
        <v>67</v>
      </c>
      <c r="N122" s="3">
        <v>81</v>
      </c>
      <c r="O122" s="3">
        <v>163</v>
      </c>
      <c r="P122" s="3" t="s">
        <v>33</v>
      </c>
      <c r="Q122" s="3" t="s">
        <v>26</v>
      </c>
      <c r="S122" s="3" t="s">
        <v>664</v>
      </c>
      <c r="T122" s="3" t="s">
        <v>27</v>
      </c>
      <c r="U122" s="3">
        <v>7</v>
      </c>
      <c r="V122" s="3">
        <v>1</v>
      </c>
      <c r="W122" s="3" t="s">
        <v>34</v>
      </c>
      <c r="X122" s="3" t="s">
        <v>153</v>
      </c>
      <c r="Y122" s="3">
        <v>7</v>
      </c>
      <c r="Z122" s="3">
        <v>1</v>
      </c>
      <c r="AA122" s="3" t="s">
        <v>28</v>
      </c>
      <c r="AB122" s="3" t="s">
        <v>154</v>
      </c>
      <c r="AC122" s="3" t="s">
        <v>664</v>
      </c>
      <c r="AD122" s="3" t="s">
        <v>30</v>
      </c>
      <c r="AE122" s="3" t="s">
        <v>38</v>
      </c>
      <c r="AF122" s="3" t="s">
        <v>664</v>
      </c>
      <c r="AG122" s="3" t="s">
        <v>48</v>
      </c>
    </row>
    <row r="123" spans="1:33" ht="15.75" customHeight="1">
      <c r="A123" s="1">
        <v>45166.83482157407</v>
      </c>
      <c r="B123" s="3" t="s">
        <v>1024</v>
      </c>
      <c r="C123" s="2">
        <v>31746</v>
      </c>
      <c r="D123" s="3">
        <v>36</v>
      </c>
      <c r="E123" s="3" t="s">
        <v>510</v>
      </c>
      <c r="F123" s="3" t="s">
        <v>520</v>
      </c>
      <c r="G123" s="3" t="s">
        <v>539</v>
      </c>
      <c r="H123" s="2">
        <v>43830</v>
      </c>
      <c r="I123" s="3">
        <v>2</v>
      </c>
      <c r="J123" s="3" t="s">
        <v>542</v>
      </c>
      <c r="K123" s="3">
        <v>3450</v>
      </c>
      <c r="L123" s="3">
        <v>37</v>
      </c>
      <c r="M123" s="3">
        <v>56</v>
      </c>
      <c r="N123" s="3">
        <v>65</v>
      </c>
      <c r="O123" s="3">
        <v>159</v>
      </c>
      <c r="P123" s="3" t="s">
        <v>33</v>
      </c>
      <c r="Q123" s="3" t="s">
        <v>26</v>
      </c>
      <c r="S123" s="3" t="s">
        <v>664</v>
      </c>
      <c r="T123" s="3" t="s">
        <v>57</v>
      </c>
      <c r="U123" s="3">
        <v>7</v>
      </c>
      <c r="V123" s="3">
        <v>1</v>
      </c>
      <c r="W123" s="3" t="s">
        <v>34</v>
      </c>
      <c r="X123" s="3" t="s">
        <v>35</v>
      </c>
      <c r="Y123" s="3">
        <v>7</v>
      </c>
      <c r="Z123" s="3">
        <v>1</v>
      </c>
      <c r="AA123" s="3" t="s">
        <v>28</v>
      </c>
      <c r="AB123" s="3" t="s">
        <v>29</v>
      </c>
      <c r="AC123" s="3" t="s">
        <v>664</v>
      </c>
      <c r="AD123" s="3" t="s">
        <v>30</v>
      </c>
      <c r="AE123" s="3" t="s">
        <v>31</v>
      </c>
      <c r="AF123" s="3" t="s">
        <v>664</v>
      </c>
      <c r="AG123" s="3" t="s">
        <v>32</v>
      </c>
    </row>
    <row r="124" spans="1:33" ht="15.75" customHeight="1">
      <c r="A124" s="1">
        <v>45166.967600370372</v>
      </c>
      <c r="B124" s="3" t="s">
        <v>1024</v>
      </c>
      <c r="C124" s="2">
        <v>35738</v>
      </c>
      <c r="D124" s="3">
        <v>25</v>
      </c>
      <c r="E124" s="3" t="s">
        <v>510</v>
      </c>
      <c r="F124" s="3" t="s">
        <v>529</v>
      </c>
      <c r="G124" s="3" t="s">
        <v>539</v>
      </c>
      <c r="H124" s="2">
        <v>44757</v>
      </c>
      <c r="I124" s="3">
        <v>1</v>
      </c>
      <c r="J124" s="3" t="s">
        <v>541</v>
      </c>
      <c r="K124" s="3">
        <v>3250</v>
      </c>
      <c r="L124" s="3">
        <v>40</v>
      </c>
      <c r="M124" s="3">
        <v>70</v>
      </c>
      <c r="N124" s="3">
        <v>85</v>
      </c>
      <c r="O124" s="3">
        <v>154</v>
      </c>
      <c r="P124" s="3" t="s">
        <v>33</v>
      </c>
      <c r="Q124" s="3" t="s">
        <v>26</v>
      </c>
      <c r="S124" s="3" t="s">
        <v>664</v>
      </c>
      <c r="T124" s="3" t="s">
        <v>43</v>
      </c>
      <c r="U124" s="3">
        <v>3</v>
      </c>
      <c r="V124" s="3">
        <v>1</v>
      </c>
      <c r="W124" s="3" t="s">
        <v>26</v>
      </c>
      <c r="AA124" s="3" t="s">
        <v>49</v>
      </c>
      <c r="AB124" s="3" t="s">
        <v>29</v>
      </c>
      <c r="AC124" s="3" t="s">
        <v>664</v>
      </c>
      <c r="AD124" s="3" t="s">
        <v>30</v>
      </c>
      <c r="AE124" s="3" t="s">
        <v>31</v>
      </c>
      <c r="AF124" s="3" t="s">
        <v>664</v>
      </c>
      <c r="AG124" s="3" t="s">
        <v>76</v>
      </c>
    </row>
    <row r="125" spans="1:33" ht="15.75" customHeight="1">
      <c r="A125" s="1">
        <v>45166.969735567131</v>
      </c>
      <c r="B125" s="3" t="s">
        <v>1024</v>
      </c>
      <c r="C125" s="2">
        <v>33186</v>
      </c>
      <c r="D125" s="3">
        <v>32</v>
      </c>
      <c r="E125" s="3" t="s">
        <v>510</v>
      </c>
      <c r="F125" s="3" t="s">
        <v>522</v>
      </c>
      <c r="G125" s="3" t="s">
        <v>539</v>
      </c>
      <c r="H125" s="2">
        <v>44602</v>
      </c>
      <c r="I125" s="3">
        <v>1</v>
      </c>
      <c r="J125" s="3" t="s">
        <v>541</v>
      </c>
      <c r="K125" s="3">
        <v>3510</v>
      </c>
      <c r="L125" s="3" t="s">
        <v>623</v>
      </c>
      <c r="M125" s="3">
        <v>62</v>
      </c>
      <c r="N125" s="3">
        <v>79.5</v>
      </c>
      <c r="O125" s="3">
        <v>152</v>
      </c>
      <c r="P125" s="3" t="s">
        <v>33</v>
      </c>
      <c r="Q125" s="3" t="s">
        <v>26</v>
      </c>
      <c r="S125" s="3" t="s">
        <v>664</v>
      </c>
      <c r="T125" s="3" t="s">
        <v>43</v>
      </c>
      <c r="U125" s="3">
        <v>7</v>
      </c>
      <c r="V125" s="3">
        <v>1</v>
      </c>
      <c r="W125" s="3" t="s">
        <v>34</v>
      </c>
      <c r="X125" s="3" t="s">
        <v>155</v>
      </c>
      <c r="Y125" s="3">
        <v>7</v>
      </c>
      <c r="Z125" s="3">
        <v>1</v>
      </c>
      <c r="AA125" s="3" t="s">
        <v>49</v>
      </c>
      <c r="AB125" s="3" t="s">
        <v>29</v>
      </c>
      <c r="AC125" s="3" t="s">
        <v>664</v>
      </c>
      <c r="AD125" s="3" t="s">
        <v>30</v>
      </c>
      <c r="AE125" s="3" t="s">
        <v>31</v>
      </c>
      <c r="AF125" s="3" t="s">
        <v>664</v>
      </c>
      <c r="AG125" s="3" t="s">
        <v>48</v>
      </c>
    </row>
    <row r="126" spans="1:33" ht="15.75" customHeight="1">
      <c r="A126" s="1">
        <v>45166.977355682873</v>
      </c>
      <c r="B126" s="3" t="s">
        <v>1024</v>
      </c>
      <c r="C126" s="2">
        <v>34295</v>
      </c>
      <c r="D126" s="3">
        <v>29</v>
      </c>
      <c r="E126" s="3" t="s">
        <v>510</v>
      </c>
      <c r="F126" s="3" t="s">
        <v>523</v>
      </c>
      <c r="G126" s="3" t="s">
        <v>539</v>
      </c>
      <c r="H126" s="2">
        <v>44701</v>
      </c>
      <c r="I126" s="3">
        <v>1</v>
      </c>
      <c r="J126" s="3" t="s">
        <v>541</v>
      </c>
      <c r="K126" s="3">
        <v>3000</v>
      </c>
      <c r="L126" s="3" t="s">
        <v>673</v>
      </c>
      <c r="M126" s="3">
        <v>54</v>
      </c>
      <c r="N126" s="3">
        <v>58</v>
      </c>
      <c r="O126" s="3">
        <v>155</v>
      </c>
      <c r="P126" s="3" t="s">
        <v>40</v>
      </c>
      <c r="Q126" s="3" t="s">
        <v>26</v>
      </c>
      <c r="S126" s="3" t="s">
        <v>664</v>
      </c>
      <c r="U126" s="3">
        <v>7</v>
      </c>
      <c r="V126" s="3">
        <v>1</v>
      </c>
      <c r="W126" s="3" t="s">
        <v>26</v>
      </c>
      <c r="AA126" s="3" t="s">
        <v>49</v>
      </c>
      <c r="AB126" s="3" t="s">
        <v>29</v>
      </c>
      <c r="AC126" s="3" t="s">
        <v>664</v>
      </c>
      <c r="AD126" s="3" t="s">
        <v>592</v>
      </c>
      <c r="AE126" s="3" t="s">
        <v>38</v>
      </c>
      <c r="AF126" s="3" t="s">
        <v>664</v>
      </c>
      <c r="AG126" s="3" t="s">
        <v>62</v>
      </c>
    </row>
    <row r="127" spans="1:33" ht="15.75" customHeight="1">
      <c r="A127" s="1">
        <v>45166.99209230324</v>
      </c>
      <c r="B127" s="3" t="s">
        <v>1024</v>
      </c>
      <c r="C127" s="2">
        <v>33596</v>
      </c>
      <c r="D127" s="3">
        <v>31</v>
      </c>
      <c r="E127" s="3" t="s">
        <v>510</v>
      </c>
      <c r="F127" s="3" t="s">
        <v>520</v>
      </c>
      <c r="G127" s="3" t="s">
        <v>539</v>
      </c>
      <c r="H127" s="2">
        <v>44896</v>
      </c>
      <c r="I127" s="3">
        <v>1</v>
      </c>
      <c r="J127" s="3" t="s">
        <v>541</v>
      </c>
      <c r="K127" s="3">
        <v>3405</v>
      </c>
      <c r="L127" s="3">
        <v>38</v>
      </c>
      <c r="M127" s="3">
        <v>57</v>
      </c>
      <c r="N127" s="3">
        <v>65</v>
      </c>
      <c r="O127" s="3">
        <v>157</v>
      </c>
      <c r="P127" s="3" t="s">
        <v>33</v>
      </c>
      <c r="Q127" s="3" t="s">
        <v>26</v>
      </c>
      <c r="S127" s="3" t="s">
        <v>664</v>
      </c>
      <c r="T127" s="3" t="s">
        <v>156</v>
      </c>
      <c r="U127" s="3">
        <v>7</v>
      </c>
      <c r="V127" s="3">
        <v>1</v>
      </c>
      <c r="W127" s="3" t="s">
        <v>34</v>
      </c>
      <c r="X127" s="3" t="s">
        <v>97</v>
      </c>
      <c r="Y127" s="3">
        <v>7</v>
      </c>
      <c r="Z127" s="3">
        <v>1</v>
      </c>
      <c r="AA127" s="3" t="s">
        <v>36</v>
      </c>
      <c r="AB127" s="3" t="s">
        <v>29</v>
      </c>
      <c r="AC127" s="3" t="s">
        <v>664</v>
      </c>
      <c r="AD127" s="3" t="s">
        <v>30</v>
      </c>
      <c r="AE127" s="3" t="s">
        <v>72</v>
      </c>
      <c r="AF127" s="3" t="s">
        <v>664</v>
      </c>
      <c r="AG127" s="3" t="s">
        <v>39</v>
      </c>
    </row>
    <row r="128" spans="1:33" ht="15.75" customHeight="1">
      <c r="A128" s="1">
        <v>45167.010141620369</v>
      </c>
      <c r="B128" s="3" t="s">
        <v>1024</v>
      </c>
      <c r="C128" s="2">
        <v>35314</v>
      </c>
      <c r="D128" s="3">
        <v>26</v>
      </c>
      <c r="E128" s="3" t="s">
        <v>510</v>
      </c>
      <c r="F128" s="3" t="s">
        <v>523</v>
      </c>
      <c r="G128" s="3" t="s">
        <v>539</v>
      </c>
      <c r="H128" s="2">
        <v>44364</v>
      </c>
      <c r="I128" s="3">
        <v>2</v>
      </c>
      <c r="J128" s="3" t="s">
        <v>542</v>
      </c>
      <c r="K128" s="3">
        <v>3350</v>
      </c>
      <c r="L128" s="3" t="s">
        <v>652</v>
      </c>
      <c r="M128" s="3">
        <v>63</v>
      </c>
      <c r="N128" s="3">
        <v>71</v>
      </c>
      <c r="O128" s="3">
        <v>150</v>
      </c>
      <c r="P128" s="3" t="s">
        <v>50</v>
      </c>
      <c r="Q128" s="3" t="s">
        <v>26</v>
      </c>
      <c r="S128" s="3" t="s">
        <v>664</v>
      </c>
      <c r="T128" s="3" t="s">
        <v>79</v>
      </c>
      <c r="U128" s="3">
        <v>7</v>
      </c>
      <c r="V128" s="3">
        <v>1</v>
      </c>
      <c r="W128" s="3" t="s">
        <v>26</v>
      </c>
      <c r="AA128" s="3" t="s">
        <v>49</v>
      </c>
      <c r="AB128" s="3" t="s">
        <v>29</v>
      </c>
      <c r="AC128" s="3" t="s">
        <v>664</v>
      </c>
      <c r="AD128" s="3" t="s">
        <v>30</v>
      </c>
      <c r="AE128" s="3" t="s">
        <v>31</v>
      </c>
      <c r="AF128" s="3" t="s">
        <v>664</v>
      </c>
      <c r="AG128" s="3" t="s">
        <v>32</v>
      </c>
    </row>
    <row r="129" spans="1:33" ht="15.75" customHeight="1">
      <c r="A129" s="1">
        <v>45167.013078784723</v>
      </c>
      <c r="B129" s="3" t="s">
        <v>1024</v>
      </c>
      <c r="C129" s="2">
        <v>32388</v>
      </c>
      <c r="D129" s="3">
        <v>34</v>
      </c>
      <c r="E129" s="3" t="s">
        <v>510</v>
      </c>
      <c r="F129" s="3" t="s">
        <v>520</v>
      </c>
      <c r="G129" s="3" t="s">
        <v>539</v>
      </c>
      <c r="H129" s="2">
        <v>44435</v>
      </c>
      <c r="I129" s="3">
        <v>1</v>
      </c>
      <c r="J129" s="3" t="s">
        <v>541</v>
      </c>
      <c r="K129" s="3">
        <v>3460</v>
      </c>
      <c r="L129" s="3">
        <v>39</v>
      </c>
      <c r="M129" s="3">
        <v>58</v>
      </c>
      <c r="N129" s="3">
        <v>78</v>
      </c>
      <c r="O129" s="3">
        <v>154</v>
      </c>
      <c r="P129" s="3" t="s">
        <v>33</v>
      </c>
      <c r="Q129" s="3" t="s">
        <v>26</v>
      </c>
      <c r="S129" s="3" t="s">
        <v>664</v>
      </c>
      <c r="T129" s="3" t="s">
        <v>41</v>
      </c>
      <c r="U129" s="3">
        <v>7</v>
      </c>
      <c r="V129" s="3">
        <v>1</v>
      </c>
      <c r="W129" s="3" t="s">
        <v>26</v>
      </c>
      <c r="AA129" s="3" t="s">
        <v>28</v>
      </c>
      <c r="AB129" s="3" t="s">
        <v>29</v>
      </c>
      <c r="AC129" s="3" t="s">
        <v>664</v>
      </c>
      <c r="AD129" s="3" t="s">
        <v>30</v>
      </c>
      <c r="AE129" s="3" t="s">
        <v>72</v>
      </c>
      <c r="AF129" s="3" t="s">
        <v>664</v>
      </c>
      <c r="AG129" s="3" t="s">
        <v>39</v>
      </c>
    </row>
    <row r="130" spans="1:33" ht="15.75" customHeight="1">
      <c r="A130" s="1">
        <v>45167.349087372684</v>
      </c>
      <c r="B130" s="3" t="s">
        <v>1024</v>
      </c>
      <c r="C130" s="2">
        <v>32016</v>
      </c>
      <c r="D130" s="3">
        <v>36</v>
      </c>
      <c r="E130" s="3" t="s">
        <v>510</v>
      </c>
      <c r="F130" s="3" t="s">
        <v>523</v>
      </c>
      <c r="G130" s="3" t="s">
        <v>540</v>
      </c>
      <c r="H130" s="2">
        <v>43894</v>
      </c>
      <c r="I130" s="3">
        <v>2</v>
      </c>
      <c r="J130" s="3" t="s">
        <v>541</v>
      </c>
      <c r="K130" s="3">
        <v>3610</v>
      </c>
      <c r="L130" s="3">
        <v>39</v>
      </c>
      <c r="M130" s="3">
        <v>78</v>
      </c>
      <c r="N130" s="3">
        <v>95</v>
      </c>
      <c r="O130" s="3">
        <v>170</v>
      </c>
      <c r="P130" s="3" t="s">
        <v>33</v>
      </c>
      <c r="Q130" s="3" t="s">
        <v>26</v>
      </c>
      <c r="S130" s="3" t="s">
        <v>664</v>
      </c>
      <c r="T130" s="3" t="s">
        <v>43</v>
      </c>
      <c r="U130" s="3">
        <v>7</v>
      </c>
      <c r="V130" s="3">
        <v>1</v>
      </c>
      <c r="W130" s="3" t="s">
        <v>34</v>
      </c>
      <c r="X130" s="3" t="s">
        <v>157</v>
      </c>
      <c r="Y130" s="3">
        <v>4</v>
      </c>
      <c r="Z130" s="3">
        <v>2</v>
      </c>
      <c r="AA130" s="3" t="s">
        <v>49</v>
      </c>
      <c r="AB130" s="3" t="s">
        <v>29</v>
      </c>
      <c r="AC130" s="3" t="s">
        <v>664</v>
      </c>
      <c r="AD130" s="3" t="s">
        <v>55</v>
      </c>
      <c r="AE130" s="3" t="s">
        <v>31</v>
      </c>
      <c r="AF130" s="3" t="s">
        <v>664</v>
      </c>
      <c r="AG130" s="3" t="s">
        <v>39</v>
      </c>
    </row>
    <row r="131" spans="1:33" ht="15.75" customHeight="1">
      <c r="A131" s="1">
        <v>45167.364814050925</v>
      </c>
      <c r="B131" s="3" t="s">
        <v>1024</v>
      </c>
      <c r="C131" s="2">
        <v>30523</v>
      </c>
      <c r="D131" s="3">
        <v>49</v>
      </c>
      <c r="E131" s="3" t="s">
        <v>510</v>
      </c>
      <c r="F131" s="3" t="s">
        <v>520</v>
      </c>
      <c r="G131" s="3" t="s">
        <v>539</v>
      </c>
      <c r="H131" s="2">
        <v>44406</v>
      </c>
      <c r="I131" s="3">
        <v>3</v>
      </c>
      <c r="J131" s="3" t="s">
        <v>541</v>
      </c>
      <c r="K131" s="3" t="s">
        <v>1086</v>
      </c>
      <c r="L131" s="3" t="s">
        <v>661</v>
      </c>
      <c r="M131" s="3">
        <v>60</v>
      </c>
      <c r="N131" s="3">
        <v>72</v>
      </c>
      <c r="O131" s="3">
        <v>161</v>
      </c>
      <c r="P131" s="3" t="s">
        <v>33</v>
      </c>
      <c r="Q131" s="3" t="s">
        <v>26</v>
      </c>
      <c r="S131" s="3" t="s">
        <v>664</v>
      </c>
      <c r="T131" s="3" t="s">
        <v>57</v>
      </c>
      <c r="U131" s="3">
        <v>7</v>
      </c>
      <c r="V131" s="3">
        <v>1</v>
      </c>
      <c r="W131" s="3" t="s">
        <v>34</v>
      </c>
      <c r="X131" s="3" t="s">
        <v>58</v>
      </c>
      <c r="Y131" s="3">
        <v>7</v>
      </c>
      <c r="Z131" s="3">
        <v>1</v>
      </c>
      <c r="AA131" s="3" t="s">
        <v>49</v>
      </c>
      <c r="AB131" s="3" t="s">
        <v>29</v>
      </c>
      <c r="AC131" s="3" t="s">
        <v>26</v>
      </c>
      <c r="AD131" s="3" t="s">
        <v>158</v>
      </c>
      <c r="AE131" s="3" t="s">
        <v>38</v>
      </c>
      <c r="AF131" s="3" t="s">
        <v>664</v>
      </c>
      <c r="AG131" s="3" t="s">
        <v>39</v>
      </c>
    </row>
    <row r="132" spans="1:33" ht="15.75" customHeight="1">
      <c r="A132" s="1">
        <v>45167.389332604165</v>
      </c>
      <c r="B132" s="3" t="s">
        <v>1024</v>
      </c>
      <c r="C132" s="2">
        <v>31600</v>
      </c>
      <c r="D132" s="3">
        <v>37</v>
      </c>
      <c r="E132" s="3" t="s">
        <v>510</v>
      </c>
      <c r="F132" s="3" t="s">
        <v>520</v>
      </c>
      <c r="G132" s="3" t="s">
        <v>538</v>
      </c>
      <c r="H132" s="2">
        <v>31664</v>
      </c>
      <c r="I132" s="3">
        <v>1</v>
      </c>
      <c r="J132" s="3" t="s">
        <v>541</v>
      </c>
      <c r="K132" s="3">
        <v>3640</v>
      </c>
      <c r="L132" s="3">
        <v>40</v>
      </c>
      <c r="M132" s="3">
        <v>108</v>
      </c>
      <c r="N132" s="3">
        <v>119</v>
      </c>
      <c r="O132" s="3">
        <v>164</v>
      </c>
      <c r="P132" s="3" t="s">
        <v>173</v>
      </c>
      <c r="Q132" s="3" t="s">
        <v>26</v>
      </c>
      <c r="S132" s="3" t="s">
        <v>664</v>
      </c>
      <c r="T132" s="3" t="s">
        <v>79</v>
      </c>
      <c r="U132" s="3">
        <v>7</v>
      </c>
      <c r="V132" s="3">
        <v>1</v>
      </c>
      <c r="W132" s="3" t="s">
        <v>26</v>
      </c>
      <c r="AA132" s="3" t="s">
        <v>42</v>
      </c>
      <c r="AB132" s="3" t="s">
        <v>29</v>
      </c>
      <c r="AC132" s="3" t="s">
        <v>664</v>
      </c>
      <c r="AD132" s="3" t="s">
        <v>30</v>
      </c>
      <c r="AE132" s="3" t="s">
        <v>38</v>
      </c>
      <c r="AF132" s="3" t="s">
        <v>664</v>
      </c>
      <c r="AG132" s="3" t="s">
        <v>62</v>
      </c>
    </row>
    <row r="133" spans="1:33" ht="15.75" customHeight="1">
      <c r="A133" s="1">
        <v>45167.412848263892</v>
      </c>
      <c r="B133" s="3" t="s">
        <v>1024</v>
      </c>
      <c r="C133" s="2">
        <v>35396</v>
      </c>
      <c r="D133" s="3">
        <v>26</v>
      </c>
      <c r="E133" s="3" t="s">
        <v>510</v>
      </c>
      <c r="F133" s="3" t="s">
        <v>520</v>
      </c>
      <c r="G133" s="3" t="s">
        <v>539</v>
      </c>
      <c r="H133" s="2">
        <v>43074</v>
      </c>
      <c r="I133" s="3">
        <v>1</v>
      </c>
      <c r="J133" s="3" t="s">
        <v>542</v>
      </c>
      <c r="K133" s="3">
        <v>2830</v>
      </c>
      <c r="L133" s="3" t="s">
        <v>674</v>
      </c>
      <c r="M133" s="3">
        <v>63</v>
      </c>
      <c r="N133" s="3">
        <v>73</v>
      </c>
      <c r="O133" s="3">
        <v>153</v>
      </c>
      <c r="P133" s="3" t="s">
        <v>123</v>
      </c>
      <c r="Q133" s="3" t="s">
        <v>34</v>
      </c>
      <c r="S133" s="3" t="s">
        <v>664</v>
      </c>
      <c r="T133" s="3" t="s">
        <v>43</v>
      </c>
      <c r="U133" s="3">
        <v>7</v>
      </c>
      <c r="V133" s="3">
        <v>1</v>
      </c>
      <c r="W133" s="3" t="s">
        <v>26</v>
      </c>
      <c r="AA133" s="3" t="s">
        <v>49</v>
      </c>
      <c r="AB133" s="3" t="s">
        <v>29</v>
      </c>
      <c r="AC133" s="3" t="s">
        <v>664</v>
      </c>
      <c r="AD133" s="3" t="s">
        <v>55</v>
      </c>
      <c r="AE133" s="3" t="s">
        <v>31</v>
      </c>
      <c r="AF133" s="3" t="s">
        <v>664</v>
      </c>
      <c r="AG133" s="3" t="s">
        <v>32</v>
      </c>
    </row>
    <row r="134" spans="1:33" ht="15.75" customHeight="1">
      <c r="A134" s="1">
        <v>45167.422233819445</v>
      </c>
      <c r="B134" s="3" t="s">
        <v>1024</v>
      </c>
      <c r="C134" s="2">
        <v>32292</v>
      </c>
      <c r="D134" s="3">
        <v>35</v>
      </c>
      <c r="E134" s="3" t="s">
        <v>510</v>
      </c>
      <c r="F134" s="3" t="s">
        <v>529</v>
      </c>
      <c r="G134" s="3" t="s">
        <v>539</v>
      </c>
      <c r="H134" s="2">
        <v>44302</v>
      </c>
      <c r="I134" s="3">
        <v>3</v>
      </c>
      <c r="J134" s="3" t="s">
        <v>541</v>
      </c>
      <c r="K134" s="3">
        <v>3160</v>
      </c>
      <c r="L134" s="3" t="s">
        <v>616</v>
      </c>
      <c r="M134" s="3">
        <v>58</v>
      </c>
      <c r="N134" s="3">
        <v>71</v>
      </c>
      <c r="O134" s="3">
        <v>161</v>
      </c>
      <c r="P134" s="3" t="s">
        <v>33</v>
      </c>
      <c r="Q134" s="3" t="s">
        <v>26</v>
      </c>
      <c r="S134" s="3" t="s">
        <v>664</v>
      </c>
      <c r="T134" s="3" t="s">
        <v>43</v>
      </c>
      <c r="U134" s="3">
        <v>7</v>
      </c>
      <c r="V134" s="3">
        <v>1</v>
      </c>
      <c r="W134" s="3" t="s">
        <v>26</v>
      </c>
      <c r="AA134" s="3" t="s">
        <v>54</v>
      </c>
      <c r="AB134" s="3" t="s">
        <v>160</v>
      </c>
      <c r="AC134" s="3" t="s">
        <v>664</v>
      </c>
      <c r="AD134" s="3" t="s">
        <v>55</v>
      </c>
      <c r="AE134" s="3" t="s">
        <v>72</v>
      </c>
      <c r="AF134" s="3" t="s">
        <v>664</v>
      </c>
      <c r="AG134" s="3" t="s">
        <v>48</v>
      </c>
    </row>
    <row r="135" spans="1:33" ht="15.75" customHeight="1">
      <c r="A135" s="1">
        <v>45167.687500821761</v>
      </c>
      <c r="B135" s="3" t="s">
        <v>1024</v>
      </c>
      <c r="C135" s="2">
        <v>33066</v>
      </c>
      <c r="D135" s="3">
        <v>33</v>
      </c>
      <c r="E135" s="3" t="s">
        <v>510</v>
      </c>
      <c r="F135" s="3" t="s">
        <v>525</v>
      </c>
      <c r="G135" s="3" t="s">
        <v>539</v>
      </c>
      <c r="H135" s="2">
        <v>44252</v>
      </c>
      <c r="I135" s="3">
        <v>1</v>
      </c>
      <c r="J135" s="3" t="s">
        <v>541</v>
      </c>
      <c r="K135" s="3" t="s">
        <v>1087</v>
      </c>
      <c r="L135" s="3" t="s">
        <v>661</v>
      </c>
      <c r="M135" s="3">
        <v>56</v>
      </c>
      <c r="N135" s="3">
        <v>65</v>
      </c>
      <c r="O135" s="3">
        <v>156</v>
      </c>
      <c r="P135" s="3" t="s">
        <v>33</v>
      </c>
      <c r="Q135" s="3" t="s">
        <v>26</v>
      </c>
      <c r="S135" s="3" t="s">
        <v>664</v>
      </c>
      <c r="T135" s="3" t="s">
        <v>57</v>
      </c>
      <c r="U135" s="3">
        <v>5</v>
      </c>
      <c r="V135" s="3">
        <v>1</v>
      </c>
      <c r="W135" s="3" t="s">
        <v>26</v>
      </c>
      <c r="AA135" s="3" t="s">
        <v>42</v>
      </c>
      <c r="AB135" s="3" t="s">
        <v>29</v>
      </c>
      <c r="AC135" s="3" t="s">
        <v>664</v>
      </c>
      <c r="AD135" s="3" t="s">
        <v>30</v>
      </c>
      <c r="AE135" s="3" t="s">
        <v>31</v>
      </c>
      <c r="AF135" s="3" t="s">
        <v>664</v>
      </c>
      <c r="AG135" s="3" t="s">
        <v>39</v>
      </c>
    </row>
    <row r="136" spans="1:33" ht="15.75" customHeight="1">
      <c r="A136" s="1">
        <v>45167.719126898148</v>
      </c>
      <c r="B136" s="3" t="s">
        <v>1024</v>
      </c>
      <c r="C136" s="2">
        <v>31234</v>
      </c>
      <c r="D136" s="3">
        <v>38</v>
      </c>
      <c r="E136" s="3" t="s">
        <v>510</v>
      </c>
      <c r="F136" s="3" t="s">
        <v>525</v>
      </c>
      <c r="G136" s="3" t="s">
        <v>540</v>
      </c>
      <c r="H136" s="2">
        <v>44307</v>
      </c>
      <c r="I136" s="3">
        <v>2</v>
      </c>
      <c r="J136" s="3" t="s">
        <v>541</v>
      </c>
      <c r="K136" s="3">
        <v>3260</v>
      </c>
      <c r="L136" s="3" t="s">
        <v>618</v>
      </c>
      <c r="M136" s="3">
        <v>50</v>
      </c>
      <c r="N136" s="3">
        <v>62</v>
      </c>
      <c r="O136" s="3">
        <v>156</v>
      </c>
      <c r="P136" s="3" t="s">
        <v>50</v>
      </c>
      <c r="Q136" s="3" t="s">
        <v>26</v>
      </c>
      <c r="S136" s="3" t="s">
        <v>664</v>
      </c>
      <c r="T136" s="3" t="s">
        <v>27</v>
      </c>
      <c r="U136" s="3">
        <v>7</v>
      </c>
      <c r="V136" s="3">
        <v>1</v>
      </c>
      <c r="W136" s="3" t="s">
        <v>26</v>
      </c>
      <c r="AA136" s="3" t="s">
        <v>42</v>
      </c>
      <c r="AB136" s="3" t="s">
        <v>29</v>
      </c>
      <c r="AC136" s="3" t="s">
        <v>664</v>
      </c>
      <c r="AD136" s="3" t="s">
        <v>30</v>
      </c>
      <c r="AE136" s="3" t="s">
        <v>31</v>
      </c>
      <c r="AF136" s="3" t="s">
        <v>664</v>
      </c>
      <c r="AG136" s="3" t="s">
        <v>39</v>
      </c>
    </row>
    <row r="137" spans="1:33" ht="15.75" customHeight="1">
      <c r="A137" s="1">
        <v>45167.77840920139</v>
      </c>
      <c r="B137" s="3" t="s">
        <v>1024</v>
      </c>
      <c r="C137" s="2">
        <v>32532</v>
      </c>
      <c r="D137" s="3">
        <v>34</v>
      </c>
      <c r="E137" s="3" t="s">
        <v>510</v>
      </c>
      <c r="F137" s="3" t="s">
        <v>527</v>
      </c>
      <c r="G137" s="3" t="s">
        <v>539</v>
      </c>
      <c r="H137" s="2">
        <v>44992</v>
      </c>
      <c r="I137" s="3">
        <v>1</v>
      </c>
      <c r="J137" s="3" t="s">
        <v>541</v>
      </c>
      <c r="K137" s="3">
        <v>3950</v>
      </c>
      <c r="L137" s="3" t="s">
        <v>675</v>
      </c>
      <c r="M137" s="3">
        <v>66</v>
      </c>
      <c r="N137" s="3">
        <v>83</v>
      </c>
      <c r="O137" s="3">
        <v>167</v>
      </c>
      <c r="P137" s="3" t="s">
        <v>33</v>
      </c>
      <c r="Q137" s="3" t="s">
        <v>26</v>
      </c>
      <c r="S137" s="3" t="s">
        <v>664</v>
      </c>
      <c r="T137" s="3" t="s">
        <v>27</v>
      </c>
      <c r="U137" s="3">
        <v>7</v>
      </c>
      <c r="V137" s="3">
        <v>1</v>
      </c>
      <c r="W137" s="3" t="s">
        <v>34</v>
      </c>
      <c r="X137" s="3" t="s">
        <v>71</v>
      </c>
      <c r="Y137" s="3">
        <v>7</v>
      </c>
      <c r="Z137" s="3">
        <v>1</v>
      </c>
      <c r="AA137" s="3" t="s">
        <v>42</v>
      </c>
      <c r="AB137" s="3" t="s">
        <v>29</v>
      </c>
      <c r="AC137" s="3" t="s">
        <v>664</v>
      </c>
      <c r="AD137" s="3" t="s">
        <v>30</v>
      </c>
      <c r="AE137" s="3" t="s">
        <v>31</v>
      </c>
      <c r="AF137" s="3" t="s">
        <v>664</v>
      </c>
      <c r="AG137" s="3" t="s">
        <v>39</v>
      </c>
    </row>
    <row r="138" spans="1:33" ht="15.75" customHeight="1">
      <c r="A138" s="1">
        <v>45167.809572303246</v>
      </c>
      <c r="B138" s="3" t="s">
        <v>1024</v>
      </c>
      <c r="C138" s="2">
        <v>33056</v>
      </c>
      <c r="D138" s="3">
        <v>33</v>
      </c>
      <c r="E138" s="3" t="s">
        <v>510</v>
      </c>
      <c r="F138" s="3" t="s">
        <v>529</v>
      </c>
      <c r="G138" s="3" t="s">
        <v>537</v>
      </c>
      <c r="H138" s="2">
        <v>44080</v>
      </c>
      <c r="I138" s="3">
        <v>2</v>
      </c>
      <c r="J138" s="3" t="s">
        <v>541</v>
      </c>
      <c r="K138" s="3">
        <v>3030</v>
      </c>
      <c r="L138" s="3" t="s">
        <v>676</v>
      </c>
      <c r="M138" s="3">
        <v>63</v>
      </c>
      <c r="N138" s="3">
        <v>79</v>
      </c>
      <c r="O138" s="3">
        <v>163</v>
      </c>
      <c r="P138" s="3" t="s">
        <v>50</v>
      </c>
      <c r="Q138" s="3" t="s">
        <v>26</v>
      </c>
      <c r="S138" s="3" t="s">
        <v>664</v>
      </c>
      <c r="T138" s="3" t="s">
        <v>43</v>
      </c>
      <c r="U138" s="3">
        <v>7</v>
      </c>
      <c r="V138" s="3">
        <v>1</v>
      </c>
      <c r="W138" s="3" t="s">
        <v>26</v>
      </c>
      <c r="AA138" s="3" t="s">
        <v>36</v>
      </c>
      <c r="AB138" s="3" t="s">
        <v>29</v>
      </c>
      <c r="AC138" s="3" t="s">
        <v>664</v>
      </c>
      <c r="AD138" s="3" t="s">
        <v>30</v>
      </c>
      <c r="AE138" s="3" t="s">
        <v>31</v>
      </c>
      <c r="AF138" s="3" t="s">
        <v>664</v>
      </c>
      <c r="AG138" s="3" t="s">
        <v>39</v>
      </c>
    </row>
    <row r="139" spans="1:33" ht="15.75" customHeight="1">
      <c r="A139" s="1">
        <v>45167.834341192131</v>
      </c>
      <c r="B139" s="3" t="s">
        <v>1024</v>
      </c>
      <c r="C139" s="2">
        <v>31074</v>
      </c>
      <c r="D139" s="3">
        <v>38</v>
      </c>
      <c r="E139" s="3" t="s">
        <v>510</v>
      </c>
      <c r="F139" s="3" t="s">
        <v>520</v>
      </c>
      <c r="G139" s="3" t="s">
        <v>539</v>
      </c>
      <c r="H139" s="2">
        <v>44043</v>
      </c>
      <c r="I139" s="3">
        <v>1</v>
      </c>
      <c r="J139" s="3" t="s">
        <v>541</v>
      </c>
      <c r="K139" s="3">
        <v>3780</v>
      </c>
      <c r="L139" s="3">
        <v>40</v>
      </c>
      <c r="M139" s="3">
        <v>59</v>
      </c>
      <c r="N139" s="3" t="s">
        <v>1061</v>
      </c>
      <c r="O139" s="3">
        <v>164</v>
      </c>
      <c r="P139" s="3" t="s">
        <v>33</v>
      </c>
      <c r="Q139" s="3" t="s">
        <v>26</v>
      </c>
      <c r="S139" s="3" t="s">
        <v>664</v>
      </c>
      <c r="W139" s="3" t="s">
        <v>34</v>
      </c>
      <c r="X139" s="3" t="s">
        <v>678</v>
      </c>
      <c r="Y139" s="3">
        <v>7</v>
      </c>
      <c r="Z139" s="3">
        <v>1</v>
      </c>
      <c r="AA139" s="3" t="s">
        <v>36</v>
      </c>
      <c r="AB139" s="3" t="s">
        <v>29</v>
      </c>
      <c r="AC139" s="3" t="s">
        <v>664</v>
      </c>
      <c r="AD139" s="3" t="s">
        <v>37</v>
      </c>
      <c r="AE139" s="3" t="s">
        <v>60</v>
      </c>
      <c r="AF139" s="3" t="s">
        <v>664</v>
      </c>
      <c r="AG139" s="3" t="s">
        <v>62</v>
      </c>
    </row>
    <row r="140" spans="1:33" ht="15.75" customHeight="1">
      <c r="A140" s="1">
        <v>45167.881287418983</v>
      </c>
      <c r="B140" s="3" t="s">
        <v>1024</v>
      </c>
      <c r="C140" s="2">
        <v>34707</v>
      </c>
      <c r="D140" s="3">
        <v>28</v>
      </c>
      <c r="E140" s="3" t="s">
        <v>510</v>
      </c>
      <c r="F140" s="3" t="s">
        <v>520</v>
      </c>
      <c r="G140" s="3" t="s">
        <v>539</v>
      </c>
      <c r="H140" s="2">
        <v>44832</v>
      </c>
      <c r="I140" s="3">
        <v>2</v>
      </c>
      <c r="J140" s="3" t="s">
        <v>541</v>
      </c>
      <c r="K140" s="3">
        <v>3990</v>
      </c>
      <c r="L140" s="3" t="s">
        <v>679</v>
      </c>
      <c r="M140" s="3">
        <v>82</v>
      </c>
      <c r="N140" s="3" t="s">
        <v>1088</v>
      </c>
      <c r="O140" s="3">
        <v>157</v>
      </c>
      <c r="P140" s="3" t="s">
        <v>106</v>
      </c>
      <c r="Q140" s="3" t="s">
        <v>26</v>
      </c>
      <c r="S140" s="3" t="s">
        <v>664</v>
      </c>
      <c r="T140" s="3" t="s">
        <v>79</v>
      </c>
      <c r="U140" s="3">
        <v>4</v>
      </c>
      <c r="V140" s="3">
        <v>1</v>
      </c>
      <c r="W140" s="3" t="s">
        <v>26</v>
      </c>
      <c r="AA140" s="3" t="s">
        <v>49</v>
      </c>
      <c r="AB140" s="3" t="s">
        <v>161</v>
      </c>
      <c r="AC140" s="3" t="s">
        <v>664</v>
      </c>
      <c r="AD140" s="3" t="s">
        <v>30</v>
      </c>
      <c r="AE140" s="3" t="s">
        <v>72</v>
      </c>
      <c r="AF140" s="3" t="s">
        <v>664</v>
      </c>
      <c r="AG140" s="3" t="s">
        <v>94</v>
      </c>
    </row>
    <row r="141" spans="1:33" ht="15.75" customHeight="1">
      <c r="A141" s="1">
        <v>45167.892246539355</v>
      </c>
      <c r="B141" s="3" t="s">
        <v>1024</v>
      </c>
      <c r="C141" s="2">
        <v>32248</v>
      </c>
      <c r="D141" s="3">
        <v>35</v>
      </c>
      <c r="E141" s="3" t="s">
        <v>510</v>
      </c>
      <c r="F141" s="3" t="s">
        <v>521</v>
      </c>
      <c r="G141" s="3" t="s">
        <v>540</v>
      </c>
      <c r="H141" s="2">
        <v>44863</v>
      </c>
      <c r="I141" s="3">
        <v>2</v>
      </c>
      <c r="J141" s="3" t="s">
        <v>541</v>
      </c>
      <c r="K141" s="3">
        <v>2390</v>
      </c>
      <c r="L141" s="3" t="s">
        <v>680</v>
      </c>
      <c r="M141" s="3">
        <v>64</v>
      </c>
      <c r="N141" s="3">
        <v>79</v>
      </c>
      <c r="O141" s="3">
        <v>159</v>
      </c>
      <c r="P141" s="3" t="s">
        <v>25</v>
      </c>
      <c r="Q141" s="3" t="s">
        <v>26</v>
      </c>
      <c r="S141" s="3" t="s">
        <v>664</v>
      </c>
      <c r="T141" s="3" t="s">
        <v>27</v>
      </c>
      <c r="U141" s="3">
        <v>7</v>
      </c>
      <c r="V141" s="3">
        <v>1</v>
      </c>
      <c r="W141" s="3" t="s">
        <v>26</v>
      </c>
      <c r="AA141" s="3" t="s">
        <v>49</v>
      </c>
      <c r="AB141" s="3" t="s">
        <v>29</v>
      </c>
      <c r="AC141" s="3" t="s">
        <v>664</v>
      </c>
      <c r="AD141" s="3" t="s">
        <v>30</v>
      </c>
      <c r="AE141" s="3" t="s">
        <v>72</v>
      </c>
      <c r="AF141" s="3" t="s">
        <v>664</v>
      </c>
      <c r="AG141" s="3" t="s">
        <v>32</v>
      </c>
    </row>
    <row r="142" spans="1:33" ht="15.75" customHeight="1">
      <c r="A142" s="1">
        <v>45167.919170381945</v>
      </c>
      <c r="B142" s="3" t="s">
        <v>1024</v>
      </c>
      <c r="C142" s="2">
        <v>34300</v>
      </c>
      <c r="D142" s="3">
        <v>29</v>
      </c>
      <c r="E142" s="3" t="s">
        <v>510</v>
      </c>
      <c r="F142" s="3" t="s">
        <v>520</v>
      </c>
      <c r="G142" s="3" t="s">
        <v>539</v>
      </c>
      <c r="H142" s="2">
        <v>44872</v>
      </c>
      <c r="I142" s="3">
        <v>2</v>
      </c>
      <c r="J142" s="3" t="s">
        <v>541</v>
      </c>
      <c r="K142" s="3">
        <v>2925</v>
      </c>
      <c r="L142" s="3" t="s">
        <v>616</v>
      </c>
      <c r="M142" s="3">
        <v>64</v>
      </c>
      <c r="N142" s="3">
        <v>72</v>
      </c>
      <c r="O142" s="3">
        <v>153</v>
      </c>
      <c r="P142" s="3" t="s">
        <v>33</v>
      </c>
      <c r="Q142" s="3" t="s">
        <v>26</v>
      </c>
      <c r="S142" s="3" t="s">
        <v>664</v>
      </c>
      <c r="T142" s="3" t="s">
        <v>41</v>
      </c>
      <c r="U142" s="3">
        <v>7</v>
      </c>
      <c r="V142" s="3">
        <v>1</v>
      </c>
      <c r="W142" s="3" t="s">
        <v>26</v>
      </c>
      <c r="AA142" s="3" t="s">
        <v>42</v>
      </c>
      <c r="AB142" s="3" t="s">
        <v>29</v>
      </c>
      <c r="AC142" s="3" t="s">
        <v>664</v>
      </c>
      <c r="AD142" s="3" t="s">
        <v>30</v>
      </c>
      <c r="AE142" s="3" t="s">
        <v>31</v>
      </c>
      <c r="AF142" s="3" t="s">
        <v>664</v>
      </c>
      <c r="AG142" s="3" t="s">
        <v>32</v>
      </c>
    </row>
    <row r="143" spans="1:33" ht="15.75" customHeight="1">
      <c r="A143" s="1">
        <v>45167.921494386574</v>
      </c>
      <c r="B143" s="3" t="s">
        <v>1024</v>
      </c>
      <c r="C143" s="2">
        <v>33600</v>
      </c>
      <c r="D143" s="3">
        <v>31</v>
      </c>
      <c r="E143" s="3" t="s">
        <v>510</v>
      </c>
      <c r="F143" s="3" t="s">
        <v>520</v>
      </c>
      <c r="G143" s="3" t="s">
        <v>539</v>
      </c>
      <c r="H143" s="2">
        <v>43230</v>
      </c>
      <c r="I143" s="3">
        <v>1</v>
      </c>
      <c r="J143" s="3" t="s">
        <v>541</v>
      </c>
      <c r="K143" s="3" t="s">
        <v>1089</v>
      </c>
      <c r="L143" s="3" t="s">
        <v>681</v>
      </c>
      <c r="M143" s="3">
        <v>98</v>
      </c>
      <c r="N143" s="3">
        <v>85</v>
      </c>
      <c r="O143" s="3">
        <v>163</v>
      </c>
      <c r="P143" s="3" t="s">
        <v>33</v>
      </c>
      <c r="Q143" s="3" t="s">
        <v>26</v>
      </c>
      <c r="S143" s="3" t="s">
        <v>664</v>
      </c>
      <c r="T143" s="3" t="s">
        <v>79</v>
      </c>
      <c r="U143" s="3">
        <v>7</v>
      </c>
      <c r="V143" s="3">
        <v>1</v>
      </c>
      <c r="W143" s="3" t="s">
        <v>26</v>
      </c>
      <c r="AA143" s="3" t="s">
        <v>49</v>
      </c>
      <c r="AB143" s="3" t="s">
        <v>122</v>
      </c>
      <c r="AC143" s="3" t="s">
        <v>664</v>
      </c>
      <c r="AD143" s="3" t="s">
        <v>30</v>
      </c>
      <c r="AE143" s="3" t="s">
        <v>31</v>
      </c>
      <c r="AF143" s="3" t="s">
        <v>664</v>
      </c>
      <c r="AG143" s="3" t="s">
        <v>39</v>
      </c>
    </row>
    <row r="144" spans="1:33" ht="15.75" customHeight="1">
      <c r="A144" s="1">
        <v>45167.932859768523</v>
      </c>
      <c r="B144" s="3" t="s">
        <v>1024</v>
      </c>
      <c r="C144" s="2">
        <v>33163</v>
      </c>
      <c r="D144" s="3">
        <v>32</v>
      </c>
      <c r="E144" s="3" t="s">
        <v>510</v>
      </c>
      <c r="F144" s="3" t="s">
        <v>531</v>
      </c>
      <c r="G144" s="3" t="s">
        <v>540</v>
      </c>
      <c r="H144" s="2">
        <v>44303</v>
      </c>
      <c r="I144" s="3">
        <v>1</v>
      </c>
      <c r="J144" s="3" t="s">
        <v>542</v>
      </c>
      <c r="K144" s="3">
        <v>3450</v>
      </c>
      <c r="L144" s="3">
        <v>39</v>
      </c>
      <c r="M144" s="3">
        <v>80</v>
      </c>
      <c r="N144" s="3">
        <v>84</v>
      </c>
      <c r="O144" s="3">
        <v>173</v>
      </c>
      <c r="P144" s="3" t="s">
        <v>33</v>
      </c>
      <c r="Q144" s="3" t="s">
        <v>26</v>
      </c>
      <c r="S144" s="3" t="s">
        <v>664</v>
      </c>
      <c r="T144" s="3" t="s">
        <v>162</v>
      </c>
      <c r="U144" s="3">
        <v>1</v>
      </c>
      <c r="V144" s="3">
        <v>1</v>
      </c>
      <c r="W144" s="3" t="s">
        <v>34</v>
      </c>
      <c r="X144" s="3" t="s">
        <v>163</v>
      </c>
      <c r="Y144" s="3">
        <v>1</v>
      </c>
      <c r="Z144" s="3">
        <v>1</v>
      </c>
      <c r="AA144" s="3" t="s">
        <v>49</v>
      </c>
      <c r="AB144" s="3" t="s">
        <v>29</v>
      </c>
      <c r="AC144" s="3" t="s">
        <v>664</v>
      </c>
      <c r="AD144" s="3" t="s">
        <v>30</v>
      </c>
      <c r="AE144" s="3" t="s">
        <v>31</v>
      </c>
      <c r="AF144" s="3" t="s">
        <v>664</v>
      </c>
      <c r="AG144" s="3" t="s">
        <v>76</v>
      </c>
    </row>
    <row r="145" spans="1:33" ht="15.75" customHeight="1">
      <c r="A145" s="1">
        <v>45167.952686655088</v>
      </c>
      <c r="B145" s="3" t="s">
        <v>1024</v>
      </c>
      <c r="C145" s="2">
        <v>33171</v>
      </c>
      <c r="D145" s="3">
        <v>32</v>
      </c>
      <c r="E145" s="3" t="s">
        <v>510</v>
      </c>
      <c r="F145" s="3" t="s">
        <v>520</v>
      </c>
      <c r="G145" s="3" t="s">
        <v>539</v>
      </c>
      <c r="H145" s="2">
        <v>44194</v>
      </c>
      <c r="I145" s="3">
        <v>1</v>
      </c>
      <c r="J145" s="3" t="s">
        <v>542</v>
      </c>
      <c r="K145" s="3" t="s">
        <v>1060</v>
      </c>
      <c r="L145" s="3" t="s">
        <v>618</v>
      </c>
      <c r="M145" s="3">
        <v>49</v>
      </c>
      <c r="N145" s="3" t="s">
        <v>1090</v>
      </c>
      <c r="O145" s="3">
        <v>156</v>
      </c>
      <c r="P145" s="3" t="s">
        <v>33</v>
      </c>
      <c r="Q145" s="3" t="s">
        <v>26</v>
      </c>
      <c r="S145" s="3" t="s">
        <v>664</v>
      </c>
      <c r="T145" s="3" t="s">
        <v>43</v>
      </c>
      <c r="U145" s="3">
        <v>7</v>
      </c>
      <c r="V145" s="3">
        <v>1</v>
      </c>
      <c r="W145" s="3" t="s">
        <v>34</v>
      </c>
      <c r="X145" s="3" t="s">
        <v>164</v>
      </c>
      <c r="Y145" s="3">
        <v>7</v>
      </c>
      <c r="Z145" s="3">
        <v>1</v>
      </c>
      <c r="AA145" s="3" t="s">
        <v>49</v>
      </c>
      <c r="AB145" s="3" t="s">
        <v>29</v>
      </c>
      <c r="AC145" s="3" t="s">
        <v>664</v>
      </c>
      <c r="AD145" s="3" t="s">
        <v>165</v>
      </c>
      <c r="AE145" s="3" t="s">
        <v>38</v>
      </c>
      <c r="AF145" s="3" t="s">
        <v>664</v>
      </c>
      <c r="AG145" s="3" t="s">
        <v>32</v>
      </c>
    </row>
    <row r="146" spans="1:33" ht="15.75" customHeight="1">
      <c r="A146" s="1">
        <v>45168.040788240745</v>
      </c>
      <c r="B146" s="3" t="s">
        <v>1024</v>
      </c>
      <c r="C146" s="2">
        <v>32285</v>
      </c>
      <c r="D146" s="3">
        <v>35</v>
      </c>
      <c r="E146" s="3" t="s">
        <v>510</v>
      </c>
      <c r="F146" s="3" t="s">
        <v>531</v>
      </c>
      <c r="G146" s="3" t="s">
        <v>539</v>
      </c>
      <c r="H146" s="2">
        <v>44469</v>
      </c>
      <c r="I146" s="3">
        <v>2</v>
      </c>
      <c r="J146" s="3" t="s">
        <v>541</v>
      </c>
      <c r="K146" s="3">
        <v>3195</v>
      </c>
      <c r="L146" s="3">
        <v>37</v>
      </c>
      <c r="M146" s="3">
        <v>72</v>
      </c>
      <c r="N146" s="3">
        <v>82</v>
      </c>
      <c r="O146" s="3">
        <v>156</v>
      </c>
      <c r="P146" s="3" t="s">
        <v>33</v>
      </c>
      <c r="Q146" s="3" t="s">
        <v>26</v>
      </c>
      <c r="S146" s="3" t="s">
        <v>26</v>
      </c>
      <c r="W146" s="3" t="s">
        <v>26</v>
      </c>
      <c r="AA146" s="3" t="s">
        <v>51</v>
      </c>
      <c r="AB146" s="3" t="s">
        <v>29</v>
      </c>
      <c r="AC146" s="3" t="s">
        <v>664</v>
      </c>
      <c r="AD146" s="3" t="s">
        <v>30</v>
      </c>
      <c r="AE146" s="3" t="s">
        <v>72</v>
      </c>
      <c r="AF146" s="3" t="s">
        <v>664</v>
      </c>
      <c r="AG146" s="3" t="s">
        <v>39</v>
      </c>
    </row>
    <row r="147" spans="1:33" ht="15.75" customHeight="1">
      <c r="A147" s="1">
        <v>45168.061252569445</v>
      </c>
      <c r="B147" s="3" t="s">
        <v>1024</v>
      </c>
      <c r="C147" s="2">
        <v>31860</v>
      </c>
      <c r="D147" s="3">
        <v>36</v>
      </c>
      <c r="E147" s="3" t="s">
        <v>510</v>
      </c>
      <c r="F147" s="3" t="s">
        <v>520</v>
      </c>
      <c r="G147" s="3" t="s">
        <v>539</v>
      </c>
      <c r="H147" s="2">
        <v>44056</v>
      </c>
      <c r="I147" s="3">
        <v>1</v>
      </c>
      <c r="J147" s="3" t="s">
        <v>542</v>
      </c>
      <c r="K147" s="3">
        <v>2895</v>
      </c>
      <c r="L147" s="3" t="s">
        <v>682</v>
      </c>
      <c r="M147" s="3">
        <v>44</v>
      </c>
      <c r="N147" s="3">
        <v>52</v>
      </c>
      <c r="O147" s="3">
        <v>156</v>
      </c>
      <c r="P147" s="3" t="s">
        <v>33</v>
      </c>
      <c r="Q147" s="3" t="s">
        <v>26</v>
      </c>
      <c r="S147" s="3" t="s">
        <v>664</v>
      </c>
      <c r="T147" s="3" t="s">
        <v>166</v>
      </c>
      <c r="U147" s="3">
        <v>7</v>
      </c>
      <c r="V147" s="3">
        <v>1</v>
      </c>
      <c r="W147" s="3" t="s">
        <v>34</v>
      </c>
      <c r="X147" s="3" t="s">
        <v>58</v>
      </c>
      <c r="Y147" s="3">
        <v>7</v>
      </c>
      <c r="Z147" s="3">
        <v>1</v>
      </c>
      <c r="AA147" s="3" t="s">
        <v>36</v>
      </c>
      <c r="AB147" s="3" t="s">
        <v>167</v>
      </c>
      <c r="AC147" s="3" t="s">
        <v>664</v>
      </c>
      <c r="AD147" s="3" t="s">
        <v>30</v>
      </c>
      <c r="AE147" s="3" t="s">
        <v>31</v>
      </c>
      <c r="AF147" s="3" t="s">
        <v>664</v>
      </c>
      <c r="AG147" s="3" t="s">
        <v>32</v>
      </c>
    </row>
    <row r="148" spans="1:33" ht="15.75" customHeight="1">
      <c r="A148" s="1">
        <v>45168.109543761573</v>
      </c>
      <c r="B148" s="3" t="s">
        <v>1024</v>
      </c>
      <c r="C148" s="2" t="s">
        <v>857</v>
      </c>
      <c r="D148" s="3">
        <v>33</v>
      </c>
      <c r="E148" s="3" t="s">
        <v>510</v>
      </c>
      <c r="F148" s="3" t="s">
        <v>520</v>
      </c>
      <c r="G148" s="3" t="s">
        <v>539</v>
      </c>
      <c r="H148" s="2">
        <v>44629</v>
      </c>
      <c r="I148" s="3">
        <v>1</v>
      </c>
      <c r="J148" s="3" t="s">
        <v>541</v>
      </c>
      <c r="K148" s="3">
        <v>3150</v>
      </c>
      <c r="L148" s="3">
        <v>37</v>
      </c>
      <c r="M148" s="3" t="s">
        <v>1091</v>
      </c>
      <c r="N148" s="3">
        <v>68</v>
      </c>
      <c r="O148" s="3">
        <v>168</v>
      </c>
      <c r="P148" s="3" t="s">
        <v>33</v>
      </c>
      <c r="Q148" s="3" t="s">
        <v>26</v>
      </c>
      <c r="S148" s="3" t="s">
        <v>664</v>
      </c>
      <c r="T148" s="3" t="s">
        <v>56</v>
      </c>
      <c r="U148" s="3">
        <v>7</v>
      </c>
      <c r="V148" s="3">
        <v>1</v>
      </c>
      <c r="W148" s="3" t="s">
        <v>34</v>
      </c>
      <c r="X148" s="3" t="s">
        <v>58</v>
      </c>
      <c r="Y148" s="3">
        <v>7</v>
      </c>
      <c r="Z148" s="3">
        <v>1</v>
      </c>
      <c r="AA148" s="3" t="s">
        <v>49</v>
      </c>
      <c r="AB148" s="3" t="s">
        <v>29</v>
      </c>
      <c r="AC148" s="3" t="s">
        <v>664</v>
      </c>
      <c r="AD148" s="3" t="s">
        <v>30</v>
      </c>
      <c r="AE148" s="3" t="s">
        <v>60</v>
      </c>
      <c r="AF148" s="3" t="s">
        <v>664</v>
      </c>
      <c r="AG148" s="3" t="s">
        <v>39</v>
      </c>
    </row>
    <row r="149" spans="1:33" ht="15.75" customHeight="1">
      <c r="A149" s="1">
        <v>45168.327855185184</v>
      </c>
      <c r="B149" s="3" t="s">
        <v>1024</v>
      </c>
      <c r="C149" s="2">
        <v>31273</v>
      </c>
      <c r="D149" s="3">
        <v>38</v>
      </c>
      <c r="E149" s="3" t="s">
        <v>510</v>
      </c>
      <c r="F149" s="3" t="s">
        <v>520</v>
      </c>
      <c r="G149" s="3" t="s">
        <v>540</v>
      </c>
      <c r="H149" s="2">
        <v>44275</v>
      </c>
      <c r="I149" s="3">
        <v>2</v>
      </c>
      <c r="J149" s="3" t="s">
        <v>542</v>
      </c>
      <c r="K149" s="3">
        <v>3220</v>
      </c>
      <c r="L149" s="3" t="s">
        <v>683</v>
      </c>
      <c r="M149" s="3">
        <v>64</v>
      </c>
      <c r="N149" s="3">
        <v>71</v>
      </c>
      <c r="O149" s="3">
        <v>167</v>
      </c>
      <c r="P149" s="3" t="s">
        <v>33</v>
      </c>
      <c r="Q149" s="3" t="s">
        <v>26</v>
      </c>
      <c r="S149" s="3" t="s">
        <v>664</v>
      </c>
      <c r="T149" s="3" t="s">
        <v>79</v>
      </c>
      <c r="U149" s="3">
        <v>7</v>
      </c>
      <c r="V149" s="3">
        <v>1</v>
      </c>
      <c r="W149" s="3" t="s">
        <v>34</v>
      </c>
      <c r="X149" s="3" t="s">
        <v>684</v>
      </c>
      <c r="Y149" s="3">
        <v>7</v>
      </c>
      <c r="Z149" s="3">
        <v>1</v>
      </c>
      <c r="AA149" s="3" t="s">
        <v>49</v>
      </c>
      <c r="AB149" s="3" t="s">
        <v>565</v>
      </c>
      <c r="AC149" s="3" t="s">
        <v>664</v>
      </c>
      <c r="AD149" s="3" t="s">
        <v>30</v>
      </c>
      <c r="AE149" s="3" t="s">
        <v>31</v>
      </c>
      <c r="AF149" s="3" t="s">
        <v>664</v>
      </c>
      <c r="AG149" s="3" t="s">
        <v>76</v>
      </c>
    </row>
    <row r="150" spans="1:33" ht="15.75" customHeight="1">
      <c r="A150" s="1">
        <v>45168.364144270832</v>
      </c>
      <c r="B150" s="3" t="s">
        <v>1024</v>
      </c>
      <c r="C150" s="2">
        <v>32749</v>
      </c>
      <c r="D150" s="3">
        <v>34</v>
      </c>
      <c r="E150" s="3" t="s">
        <v>510</v>
      </c>
      <c r="F150" s="3" t="s">
        <v>522</v>
      </c>
      <c r="G150" s="3" t="s">
        <v>537</v>
      </c>
      <c r="H150" s="2">
        <v>44489</v>
      </c>
      <c r="I150" s="3">
        <v>4</v>
      </c>
      <c r="J150" s="3" t="s">
        <v>542</v>
      </c>
      <c r="K150" s="3" t="s">
        <v>1092</v>
      </c>
      <c r="L150" s="3" t="s">
        <v>638</v>
      </c>
      <c r="M150" s="3">
        <v>64</v>
      </c>
      <c r="N150" s="3">
        <v>76</v>
      </c>
      <c r="O150" s="3">
        <v>160</v>
      </c>
      <c r="P150" s="3" t="s">
        <v>33</v>
      </c>
      <c r="Q150" s="3" t="s">
        <v>26</v>
      </c>
      <c r="S150" s="3" t="s">
        <v>664</v>
      </c>
      <c r="T150" s="3" t="s">
        <v>27</v>
      </c>
      <c r="U150" s="3">
        <v>7</v>
      </c>
      <c r="V150" s="3">
        <v>1</v>
      </c>
      <c r="W150" s="3" t="s">
        <v>34</v>
      </c>
      <c r="X150" s="3" t="s">
        <v>58</v>
      </c>
      <c r="Y150" s="3">
        <v>7</v>
      </c>
      <c r="Z150" s="3">
        <v>1</v>
      </c>
      <c r="AA150" s="3" t="s">
        <v>54</v>
      </c>
      <c r="AB150" s="3" t="s">
        <v>168</v>
      </c>
      <c r="AC150" s="3" t="s">
        <v>664</v>
      </c>
      <c r="AD150" s="3" t="s">
        <v>37</v>
      </c>
      <c r="AE150" s="3" t="s">
        <v>72</v>
      </c>
      <c r="AF150" s="3" t="s">
        <v>664</v>
      </c>
      <c r="AG150" s="3" t="s">
        <v>39</v>
      </c>
    </row>
    <row r="151" spans="1:33" ht="15.75" customHeight="1">
      <c r="A151" s="1">
        <v>45168.3646553125</v>
      </c>
      <c r="B151" s="3" t="s">
        <v>1024</v>
      </c>
      <c r="C151" s="2">
        <v>34087</v>
      </c>
      <c r="D151" s="3">
        <v>30</v>
      </c>
      <c r="E151" s="3" t="s">
        <v>510</v>
      </c>
      <c r="F151" s="3" t="s">
        <v>520</v>
      </c>
      <c r="G151" s="3" t="s">
        <v>539</v>
      </c>
      <c r="H151" s="2">
        <v>44213</v>
      </c>
      <c r="I151" s="3">
        <v>2</v>
      </c>
      <c r="J151" s="3" t="s">
        <v>542</v>
      </c>
      <c r="K151" s="3">
        <v>3490</v>
      </c>
      <c r="L151" s="3" t="s">
        <v>685</v>
      </c>
      <c r="M151" s="3">
        <v>68</v>
      </c>
      <c r="N151" s="3">
        <v>78</v>
      </c>
      <c r="O151" s="3">
        <v>161</v>
      </c>
      <c r="P151" s="3" t="s">
        <v>50</v>
      </c>
      <c r="Q151" s="3" t="s">
        <v>26</v>
      </c>
      <c r="S151" s="3" t="s">
        <v>664</v>
      </c>
      <c r="T151" s="3" t="s">
        <v>79</v>
      </c>
      <c r="U151" s="3">
        <v>7</v>
      </c>
      <c r="V151" s="3">
        <v>1</v>
      </c>
      <c r="W151" s="3" t="s">
        <v>26</v>
      </c>
      <c r="AA151" s="3" t="s">
        <v>49</v>
      </c>
      <c r="AB151" s="3" t="s">
        <v>169</v>
      </c>
      <c r="AC151" s="3" t="s">
        <v>664</v>
      </c>
      <c r="AD151" s="3" t="s">
        <v>37</v>
      </c>
      <c r="AE151" s="3" t="s">
        <v>31</v>
      </c>
      <c r="AF151" s="3" t="s">
        <v>664</v>
      </c>
      <c r="AG151" s="3" t="s">
        <v>39</v>
      </c>
    </row>
    <row r="152" spans="1:33" ht="15.75" customHeight="1">
      <c r="A152" s="1">
        <v>45168.582973622688</v>
      </c>
      <c r="B152" s="3" t="s">
        <v>1024</v>
      </c>
      <c r="C152" s="2">
        <v>31042</v>
      </c>
      <c r="D152" s="3">
        <v>38</v>
      </c>
      <c r="E152" s="3" t="s">
        <v>510</v>
      </c>
      <c r="F152" s="3" t="s">
        <v>521</v>
      </c>
      <c r="G152" s="3" t="s">
        <v>540</v>
      </c>
      <c r="H152" s="2">
        <v>44298</v>
      </c>
      <c r="I152" s="3">
        <v>2</v>
      </c>
      <c r="J152" s="3" t="s">
        <v>541</v>
      </c>
      <c r="K152" s="3">
        <v>3655</v>
      </c>
      <c r="L152" s="3">
        <v>39.4</v>
      </c>
      <c r="M152" s="3" t="s">
        <v>1093</v>
      </c>
      <c r="N152" s="3">
        <v>58</v>
      </c>
      <c r="O152" s="3">
        <v>164</v>
      </c>
      <c r="P152" s="3" t="s">
        <v>33</v>
      </c>
      <c r="Q152" s="3" t="s">
        <v>26</v>
      </c>
      <c r="S152" s="3" t="s">
        <v>664</v>
      </c>
      <c r="T152" s="3" t="s">
        <v>79</v>
      </c>
      <c r="U152" s="3">
        <v>7</v>
      </c>
      <c r="V152" s="3">
        <v>1</v>
      </c>
      <c r="W152" s="3" t="s">
        <v>34</v>
      </c>
      <c r="X152" s="3" t="s">
        <v>170</v>
      </c>
      <c r="Y152" s="3">
        <v>7</v>
      </c>
      <c r="Z152" s="3">
        <v>1</v>
      </c>
      <c r="AA152" s="3" t="s">
        <v>36</v>
      </c>
      <c r="AB152" s="3" t="s">
        <v>29</v>
      </c>
      <c r="AC152" s="3" t="s">
        <v>664</v>
      </c>
      <c r="AD152" s="3" t="s">
        <v>30</v>
      </c>
      <c r="AE152" s="3" t="s">
        <v>38</v>
      </c>
      <c r="AF152" s="3" t="s">
        <v>664</v>
      </c>
      <c r="AG152" s="3" t="s">
        <v>39</v>
      </c>
    </row>
    <row r="153" spans="1:33" ht="15.75" customHeight="1">
      <c r="A153" s="1">
        <v>45168.630220405088</v>
      </c>
      <c r="B153" s="3" t="s">
        <v>1024</v>
      </c>
      <c r="C153" s="2">
        <v>32627</v>
      </c>
      <c r="D153" s="3">
        <v>34</v>
      </c>
      <c r="E153" s="3" t="s">
        <v>510</v>
      </c>
      <c r="F153" s="3" t="s">
        <v>520</v>
      </c>
      <c r="G153" s="3" t="s">
        <v>539</v>
      </c>
      <c r="H153" s="2">
        <v>44432</v>
      </c>
      <c r="I153" s="3">
        <v>1</v>
      </c>
      <c r="J153" s="3" t="s">
        <v>541</v>
      </c>
      <c r="K153" s="3">
        <v>3290</v>
      </c>
      <c r="L153" s="3" t="s">
        <v>650</v>
      </c>
      <c r="M153" s="3">
        <v>76</v>
      </c>
      <c r="N153" s="3">
        <v>81</v>
      </c>
      <c r="O153" s="3">
        <v>160</v>
      </c>
      <c r="P153" s="3" t="s">
        <v>33</v>
      </c>
      <c r="Q153" s="3" t="s">
        <v>26</v>
      </c>
      <c r="S153" s="3" t="s">
        <v>664</v>
      </c>
      <c r="T153" s="3" t="s">
        <v>43</v>
      </c>
      <c r="U153" s="3">
        <v>7</v>
      </c>
      <c r="V153" s="3">
        <v>1</v>
      </c>
      <c r="W153" s="3" t="s">
        <v>34</v>
      </c>
      <c r="Y153" s="3">
        <v>7</v>
      </c>
      <c r="Z153" s="3">
        <v>1</v>
      </c>
      <c r="AA153" s="3" t="s">
        <v>49</v>
      </c>
      <c r="AB153" s="3" t="s">
        <v>29</v>
      </c>
      <c r="AC153" s="3" t="s">
        <v>664</v>
      </c>
      <c r="AD153" s="3" t="s">
        <v>30</v>
      </c>
      <c r="AE153" s="3" t="s">
        <v>38</v>
      </c>
      <c r="AF153" s="3" t="s">
        <v>664</v>
      </c>
      <c r="AG153" s="3" t="s">
        <v>32</v>
      </c>
    </row>
    <row r="154" spans="1:33" ht="15.75" customHeight="1">
      <c r="A154" s="1">
        <v>45168.751578518517</v>
      </c>
      <c r="B154" s="3" t="s">
        <v>1024</v>
      </c>
      <c r="C154" s="2">
        <v>32792</v>
      </c>
      <c r="D154" s="3">
        <v>33</v>
      </c>
      <c r="E154" s="3" t="s">
        <v>510</v>
      </c>
      <c r="F154" s="3" t="s">
        <v>520</v>
      </c>
      <c r="G154" s="3" t="s">
        <v>539</v>
      </c>
      <c r="H154" s="2">
        <v>44573</v>
      </c>
      <c r="I154" s="3">
        <v>1</v>
      </c>
      <c r="J154" s="3" t="s">
        <v>541</v>
      </c>
      <c r="K154" s="3" t="s">
        <v>1094</v>
      </c>
      <c r="L154" s="3" t="s">
        <v>686</v>
      </c>
      <c r="M154" s="3">
        <v>65</v>
      </c>
      <c r="N154" s="3">
        <v>77</v>
      </c>
      <c r="O154" s="3">
        <v>160</v>
      </c>
      <c r="P154" s="3" t="s">
        <v>33</v>
      </c>
      <c r="Q154" s="3" t="s">
        <v>26</v>
      </c>
      <c r="S154" s="3" t="s">
        <v>664</v>
      </c>
      <c r="T154" s="3" t="s">
        <v>27</v>
      </c>
      <c r="U154" s="3">
        <v>7</v>
      </c>
      <c r="V154" s="3">
        <v>1</v>
      </c>
      <c r="W154" s="3" t="s">
        <v>34</v>
      </c>
      <c r="X154" s="3" t="s">
        <v>632</v>
      </c>
      <c r="Y154" s="3">
        <v>7</v>
      </c>
      <c r="Z154" s="3">
        <v>1</v>
      </c>
      <c r="AA154" s="3" t="s">
        <v>28</v>
      </c>
      <c r="AB154" s="3" t="s">
        <v>29</v>
      </c>
      <c r="AC154" s="3" t="s">
        <v>664</v>
      </c>
      <c r="AD154" s="3" t="s">
        <v>30</v>
      </c>
      <c r="AE154" s="3" t="s">
        <v>38</v>
      </c>
      <c r="AF154" s="3" t="s">
        <v>664</v>
      </c>
      <c r="AG154" s="3" t="s">
        <v>39</v>
      </c>
    </row>
    <row r="155" spans="1:33" ht="15.75" customHeight="1">
      <c r="A155" s="1">
        <v>45168.840385127318</v>
      </c>
      <c r="B155" s="3" t="s">
        <v>1024</v>
      </c>
      <c r="C155" s="2">
        <v>30774</v>
      </c>
      <c r="D155" s="3">
        <v>39</v>
      </c>
      <c r="E155" s="3" t="s">
        <v>510</v>
      </c>
      <c r="F155" s="3" t="s">
        <v>520</v>
      </c>
      <c r="G155" s="3" t="s">
        <v>540</v>
      </c>
      <c r="H155" s="2">
        <v>43754</v>
      </c>
      <c r="I155" s="3">
        <v>1</v>
      </c>
      <c r="J155" s="3" t="s">
        <v>542</v>
      </c>
      <c r="K155" s="3">
        <v>2520</v>
      </c>
      <c r="L155" s="3">
        <v>38</v>
      </c>
      <c r="M155" s="3">
        <v>62</v>
      </c>
      <c r="N155" s="3">
        <v>70</v>
      </c>
      <c r="O155" s="3">
        <v>155</v>
      </c>
      <c r="P155" s="3" t="s">
        <v>33</v>
      </c>
      <c r="Q155" s="3" t="s">
        <v>26</v>
      </c>
      <c r="S155" s="3" t="s">
        <v>664</v>
      </c>
      <c r="T155" s="3" t="s">
        <v>56</v>
      </c>
      <c r="U155" s="3">
        <v>7</v>
      </c>
      <c r="V155" s="3">
        <v>1</v>
      </c>
      <c r="W155" s="3" t="s">
        <v>26</v>
      </c>
      <c r="AA155" s="3" t="s">
        <v>28</v>
      </c>
      <c r="AB155" s="3" t="s">
        <v>29</v>
      </c>
      <c r="AC155" s="3" t="s">
        <v>664</v>
      </c>
      <c r="AD155" s="3" t="s">
        <v>37</v>
      </c>
      <c r="AE155" s="3" t="s">
        <v>38</v>
      </c>
      <c r="AF155" s="3" t="s">
        <v>664</v>
      </c>
      <c r="AG155" s="3" t="s">
        <v>32</v>
      </c>
    </row>
    <row r="156" spans="1:33" ht="15.75" customHeight="1">
      <c r="A156" s="1">
        <v>45168.983834178245</v>
      </c>
      <c r="B156" s="3" t="s">
        <v>1024</v>
      </c>
      <c r="C156" s="2">
        <v>30985</v>
      </c>
      <c r="D156" s="3">
        <v>38</v>
      </c>
      <c r="E156" s="3" t="s">
        <v>510</v>
      </c>
      <c r="F156" s="3" t="s">
        <v>520</v>
      </c>
      <c r="G156" s="3" t="s">
        <v>540</v>
      </c>
      <c r="H156" s="2">
        <v>43829</v>
      </c>
      <c r="I156" s="3">
        <v>1</v>
      </c>
      <c r="J156" s="3" t="s">
        <v>542</v>
      </c>
      <c r="K156" s="3">
        <v>3400</v>
      </c>
      <c r="L156" s="3">
        <v>39</v>
      </c>
      <c r="M156" s="3">
        <v>54</v>
      </c>
      <c r="N156" s="3">
        <v>61</v>
      </c>
      <c r="O156" s="3">
        <v>164</v>
      </c>
      <c r="P156" s="3" t="s">
        <v>44</v>
      </c>
      <c r="Q156" s="3" t="s">
        <v>26</v>
      </c>
      <c r="S156" s="3" t="s">
        <v>664</v>
      </c>
      <c r="T156" s="3" t="s">
        <v>316</v>
      </c>
      <c r="U156" s="3">
        <v>7</v>
      </c>
      <c r="V156" s="3">
        <v>1</v>
      </c>
      <c r="W156" s="3" t="s">
        <v>34</v>
      </c>
      <c r="X156" s="3" t="s">
        <v>687</v>
      </c>
      <c r="Y156" s="3">
        <v>7</v>
      </c>
      <c r="Z156" s="3">
        <v>1</v>
      </c>
      <c r="AA156" s="3" t="s">
        <v>28</v>
      </c>
      <c r="AB156" s="3" t="s">
        <v>561</v>
      </c>
      <c r="AC156" s="3" t="s">
        <v>664</v>
      </c>
      <c r="AD156" s="3" t="s">
        <v>37</v>
      </c>
      <c r="AE156" s="3" t="s">
        <v>87</v>
      </c>
      <c r="AF156" s="3" t="s">
        <v>664</v>
      </c>
      <c r="AG156" s="3" t="s">
        <v>39</v>
      </c>
    </row>
    <row r="157" spans="1:33" ht="15.75" customHeight="1">
      <c r="A157" s="1">
        <v>45169.385290104168</v>
      </c>
      <c r="B157" s="3" t="s">
        <v>1024</v>
      </c>
      <c r="C157" s="2">
        <v>33012</v>
      </c>
      <c r="D157" s="3" t="s">
        <v>1095</v>
      </c>
      <c r="E157" s="3" t="s">
        <v>510</v>
      </c>
      <c r="F157" s="3" t="s">
        <v>520</v>
      </c>
      <c r="G157" s="3" t="s">
        <v>539</v>
      </c>
      <c r="H157" s="2">
        <v>43989</v>
      </c>
      <c r="I157" s="3">
        <v>1</v>
      </c>
      <c r="J157" s="3" t="s">
        <v>541</v>
      </c>
      <c r="K157" s="3" t="s">
        <v>1096</v>
      </c>
      <c r="L157" s="3" t="s">
        <v>688</v>
      </c>
      <c r="M157" s="3" t="s">
        <v>1097</v>
      </c>
      <c r="N157" s="3" t="s">
        <v>1098</v>
      </c>
      <c r="O157" s="3">
        <v>149</v>
      </c>
      <c r="P157" s="3" t="s">
        <v>33</v>
      </c>
      <c r="Q157" s="3" t="s">
        <v>26</v>
      </c>
      <c r="S157" s="3" t="s">
        <v>664</v>
      </c>
      <c r="T157" s="3" t="s">
        <v>57</v>
      </c>
      <c r="U157" s="3">
        <v>7</v>
      </c>
      <c r="V157" s="3">
        <v>1</v>
      </c>
      <c r="W157" s="3" t="s">
        <v>26</v>
      </c>
      <c r="AA157" s="3" t="s">
        <v>28</v>
      </c>
      <c r="AB157" s="3" t="s">
        <v>29</v>
      </c>
      <c r="AC157" s="3" t="s">
        <v>664</v>
      </c>
      <c r="AD157" s="3" t="s">
        <v>37</v>
      </c>
      <c r="AE157" s="3" t="s">
        <v>60</v>
      </c>
      <c r="AF157" s="3" t="s">
        <v>664</v>
      </c>
      <c r="AG157" s="3" t="s">
        <v>39</v>
      </c>
    </row>
    <row r="158" spans="1:33" ht="15.75" customHeight="1">
      <c r="A158" s="1">
        <v>45169.441952280089</v>
      </c>
      <c r="B158" s="3" t="s">
        <v>1024</v>
      </c>
      <c r="C158" s="2">
        <v>30362</v>
      </c>
      <c r="D158" s="3">
        <v>40</v>
      </c>
      <c r="E158" s="3" t="s">
        <v>510</v>
      </c>
      <c r="F158" s="3" t="s">
        <v>523</v>
      </c>
      <c r="G158" s="3" t="s">
        <v>539</v>
      </c>
      <c r="H158" s="2">
        <v>43151</v>
      </c>
      <c r="I158" s="3">
        <v>1</v>
      </c>
      <c r="J158" s="3" t="s">
        <v>541</v>
      </c>
      <c r="K158" s="3">
        <v>3245</v>
      </c>
      <c r="L158" s="3" t="s">
        <v>661</v>
      </c>
      <c r="M158" s="3">
        <v>54</v>
      </c>
      <c r="N158" s="3">
        <v>57</v>
      </c>
      <c r="O158" s="3">
        <v>161</v>
      </c>
      <c r="P158" s="3" t="s">
        <v>33</v>
      </c>
      <c r="Q158" s="3" t="s">
        <v>26</v>
      </c>
      <c r="S158" s="3" t="s">
        <v>664</v>
      </c>
      <c r="T158" s="3" t="s">
        <v>56</v>
      </c>
      <c r="U158" s="3">
        <v>7</v>
      </c>
      <c r="V158" s="3">
        <v>1</v>
      </c>
      <c r="W158" s="3" t="s">
        <v>34</v>
      </c>
      <c r="X158" s="3" t="s">
        <v>689</v>
      </c>
      <c r="Y158" s="3">
        <v>7</v>
      </c>
      <c r="Z158" s="3">
        <v>1</v>
      </c>
      <c r="AA158" s="3" t="s">
        <v>28</v>
      </c>
      <c r="AB158" s="3" t="s">
        <v>83</v>
      </c>
      <c r="AC158" s="3" t="s">
        <v>664</v>
      </c>
      <c r="AD158" s="3" t="s">
        <v>55</v>
      </c>
      <c r="AE158" s="3" t="s">
        <v>38</v>
      </c>
      <c r="AF158" s="3" t="s">
        <v>664</v>
      </c>
      <c r="AG158" s="3" t="s">
        <v>48</v>
      </c>
    </row>
    <row r="159" spans="1:33" ht="15.75" customHeight="1">
      <c r="A159" s="1">
        <v>45169.469489664349</v>
      </c>
      <c r="B159" s="3" t="s">
        <v>1024</v>
      </c>
      <c r="C159" s="2">
        <v>33148</v>
      </c>
      <c r="D159" s="3" t="s">
        <v>1075</v>
      </c>
      <c r="E159" s="3" t="s">
        <v>510</v>
      </c>
      <c r="F159" s="3" t="s">
        <v>524</v>
      </c>
      <c r="G159" s="3" t="s">
        <v>539</v>
      </c>
      <c r="H159" s="2">
        <v>43839</v>
      </c>
      <c r="I159" s="3">
        <v>1</v>
      </c>
      <c r="J159" s="3" t="s">
        <v>541</v>
      </c>
      <c r="K159" s="3" t="s">
        <v>1099</v>
      </c>
      <c r="L159" s="3" t="s">
        <v>690</v>
      </c>
      <c r="M159" s="3" t="s">
        <v>1100</v>
      </c>
      <c r="N159" s="3" t="s">
        <v>1101</v>
      </c>
      <c r="O159" s="3" t="s">
        <v>1102</v>
      </c>
      <c r="P159" s="3" t="s">
        <v>33</v>
      </c>
      <c r="Q159" s="3" t="s">
        <v>26</v>
      </c>
      <c r="S159" s="3" t="s">
        <v>664</v>
      </c>
      <c r="T159" s="3" t="s">
        <v>79</v>
      </c>
      <c r="U159" s="3">
        <v>7</v>
      </c>
      <c r="V159" s="3">
        <v>1</v>
      </c>
      <c r="W159" s="3" t="s">
        <v>26</v>
      </c>
      <c r="AA159" s="3" t="s">
        <v>49</v>
      </c>
      <c r="AB159" s="3" t="s">
        <v>29</v>
      </c>
      <c r="AC159" s="3" t="s">
        <v>664</v>
      </c>
      <c r="AD159" s="3" t="s">
        <v>30</v>
      </c>
      <c r="AE159" s="3" t="s">
        <v>31</v>
      </c>
      <c r="AF159" s="3" t="s">
        <v>664</v>
      </c>
      <c r="AG159" s="3" t="s">
        <v>48</v>
      </c>
    </row>
    <row r="160" spans="1:33" ht="15.75" customHeight="1">
      <c r="A160" s="1">
        <v>45169.476581099538</v>
      </c>
      <c r="B160" s="3" t="s">
        <v>1024</v>
      </c>
      <c r="C160" s="2">
        <v>32370</v>
      </c>
      <c r="D160" s="3">
        <v>35</v>
      </c>
      <c r="E160" s="3" t="s">
        <v>510</v>
      </c>
      <c r="F160" s="3" t="s">
        <v>520</v>
      </c>
      <c r="G160" s="3" t="s">
        <v>540</v>
      </c>
      <c r="H160" s="2">
        <v>44245</v>
      </c>
      <c r="I160" s="3">
        <v>1</v>
      </c>
      <c r="J160" s="3" t="s">
        <v>541</v>
      </c>
      <c r="K160" s="3">
        <v>3650</v>
      </c>
      <c r="L160" s="3">
        <v>39</v>
      </c>
      <c r="M160" s="3">
        <v>62</v>
      </c>
      <c r="N160" s="3">
        <v>77</v>
      </c>
      <c r="O160" s="3">
        <v>162</v>
      </c>
      <c r="P160" s="3" t="s">
        <v>33</v>
      </c>
      <c r="Q160" s="3" t="s">
        <v>34</v>
      </c>
      <c r="S160" s="3" t="s">
        <v>26</v>
      </c>
      <c r="T160" s="3" t="s">
        <v>121</v>
      </c>
      <c r="W160" s="3" t="s">
        <v>26</v>
      </c>
      <c r="AA160" s="3" t="s">
        <v>51</v>
      </c>
      <c r="AB160" s="3" t="s">
        <v>29</v>
      </c>
      <c r="AC160" s="3" t="s">
        <v>664</v>
      </c>
      <c r="AD160" s="3" t="s">
        <v>63</v>
      </c>
      <c r="AE160" s="3" t="s">
        <v>38</v>
      </c>
      <c r="AF160" s="3" t="s">
        <v>664</v>
      </c>
      <c r="AG160" s="3" t="s">
        <v>48</v>
      </c>
    </row>
    <row r="161" spans="1:33" ht="15.75" customHeight="1">
      <c r="A161" s="1">
        <v>45169.512087060182</v>
      </c>
      <c r="B161" s="3" t="s">
        <v>1024</v>
      </c>
      <c r="C161" s="2">
        <v>30272</v>
      </c>
      <c r="D161" s="3">
        <v>40</v>
      </c>
      <c r="E161" s="3" t="s">
        <v>510</v>
      </c>
      <c r="F161" s="3" t="s">
        <v>520</v>
      </c>
      <c r="G161" s="3" t="s">
        <v>539</v>
      </c>
      <c r="H161" s="2">
        <v>43648</v>
      </c>
      <c r="I161" s="3">
        <v>2</v>
      </c>
      <c r="J161" s="3" t="s">
        <v>542</v>
      </c>
      <c r="K161" s="3">
        <v>2000</v>
      </c>
      <c r="L161" s="3">
        <v>36</v>
      </c>
      <c r="M161" s="3">
        <v>55</v>
      </c>
      <c r="N161" s="3">
        <v>68</v>
      </c>
      <c r="O161" s="3">
        <v>160</v>
      </c>
      <c r="P161" s="3" t="s">
        <v>33</v>
      </c>
      <c r="Q161" s="3" t="s">
        <v>26</v>
      </c>
      <c r="S161" s="3" t="s">
        <v>664</v>
      </c>
      <c r="T161" s="3" t="s">
        <v>56</v>
      </c>
      <c r="U161" s="3">
        <v>7</v>
      </c>
      <c r="V161" s="3">
        <v>1</v>
      </c>
      <c r="W161" s="3" t="s">
        <v>26</v>
      </c>
      <c r="AA161" s="3" t="s">
        <v>54</v>
      </c>
      <c r="AB161" s="3" t="s">
        <v>29</v>
      </c>
      <c r="AC161" s="3" t="s">
        <v>664</v>
      </c>
      <c r="AD161" s="3" t="s">
        <v>30</v>
      </c>
      <c r="AE161" s="3" t="s">
        <v>60</v>
      </c>
      <c r="AF161" s="3" t="s">
        <v>664</v>
      </c>
      <c r="AG161" s="3" t="s">
        <v>62</v>
      </c>
    </row>
    <row r="162" spans="1:33" ht="15.75" customHeight="1">
      <c r="A162" s="1">
        <v>45169.926647928238</v>
      </c>
      <c r="B162" s="3" t="s">
        <v>1024</v>
      </c>
      <c r="C162" s="2">
        <v>33554</v>
      </c>
      <c r="D162" s="3">
        <v>31</v>
      </c>
      <c r="E162" s="3" t="s">
        <v>510</v>
      </c>
      <c r="F162" s="3" t="s">
        <v>520</v>
      </c>
      <c r="G162" s="3" t="s">
        <v>539</v>
      </c>
      <c r="H162" s="2">
        <v>45050</v>
      </c>
      <c r="I162" s="3">
        <v>2</v>
      </c>
      <c r="J162" s="3" t="s">
        <v>542</v>
      </c>
      <c r="K162" s="3">
        <v>3305</v>
      </c>
      <c r="L162" s="3">
        <v>40</v>
      </c>
      <c r="M162" s="3">
        <v>63</v>
      </c>
      <c r="N162" s="3">
        <v>68</v>
      </c>
      <c r="O162" s="3">
        <v>161</v>
      </c>
      <c r="P162" s="3" t="s">
        <v>33</v>
      </c>
      <c r="Q162" s="3" t="s">
        <v>26</v>
      </c>
      <c r="S162" s="3" t="s">
        <v>664</v>
      </c>
      <c r="T162" s="3" t="s">
        <v>97</v>
      </c>
      <c r="U162" s="3">
        <v>7</v>
      </c>
      <c r="V162" s="3">
        <v>1</v>
      </c>
      <c r="W162" s="3" t="s">
        <v>34</v>
      </c>
      <c r="X162" s="3" t="s">
        <v>97</v>
      </c>
      <c r="Y162" s="3">
        <v>7</v>
      </c>
      <c r="Z162" s="3">
        <v>1</v>
      </c>
      <c r="AA162" s="3" t="s">
        <v>42</v>
      </c>
      <c r="AB162" s="3" t="s">
        <v>113</v>
      </c>
      <c r="AC162" s="3" t="s">
        <v>26</v>
      </c>
      <c r="AD162" s="3" t="s">
        <v>30</v>
      </c>
      <c r="AE162" s="3" t="s">
        <v>60</v>
      </c>
      <c r="AF162" s="3" t="s">
        <v>664</v>
      </c>
      <c r="AG162" s="3" t="s">
        <v>48</v>
      </c>
    </row>
    <row r="163" spans="1:33" ht="15.75" customHeight="1">
      <c r="A163" s="1">
        <v>45169.927254270835</v>
      </c>
      <c r="B163" s="3" t="s">
        <v>1024</v>
      </c>
      <c r="C163" s="2">
        <v>34139</v>
      </c>
      <c r="D163" s="3">
        <v>30</v>
      </c>
      <c r="E163" s="3" t="s">
        <v>510</v>
      </c>
      <c r="F163" s="3" t="s">
        <v>520</v>
      </c>
      <c r="G163" s="3" t="s">
        <v>539</v>
      </c>
      <c r="H163" s="2">
        <v>44780</v>
      </c>
      <c r="I163" s="3">
        <v>2</v>
      </c>
      <c r="J163" s="3" t="s">
        <v>541</v>
      </c>
      <c r="K163" s="3" t="s">
        <v>1103</v>
      </c>
      <c r="L163" s="3" t="s">
        <v>662</v>
      </c>
      <c r="M163" s="3">
        <v>82</v>
      </c>
      <c r="N163" s="3">
        <v>87</v>
      </c>
      <c r="O163" s="3">
        <v>162</v>
      </c>
      <c r="P163" s="3" t="s">
        <v>106</v>
      </c>
      <c r="Q163" s="3" t="s">
        <v>34</v>
      </c>
      <c r="R163" s="3" t="s">
        <v>550</v>
      </c>
      <c r="S163" s="3" t="s">
        <v>664</v>
      </c>
      <c r="T163" s="3" t="s">
        <v>632</v>
      </c>
      <c r="U163" s="3">
        <v>7</v>
      </c>
      <c r="V163" s="3">
        <v>1</v>
      </c>
      <c r="W163" s="3" t="s">
        <v>34</v>
      </c>
      <c r="X163" s="3" t="s">
        <v>61</v>
      </c>
      <c r="Y163" s="3">
        <v>7</v>
      </c>
      <c r="Z163" s="3">
        <v>1</v>
      </c>
      <c r="AA163" s="3" t="s">
        <v>49</v>
      </c>
      <c r="AB163" s="3" t="s">
        <v>346</v>
      </c>
      <c r="AC163" s="3" t="s">
        <v>664</v>
      </c>
      <c r="AD163" s="3" t="s">
        <v>30</v>
      </c>
      <c r="AE163" s="3" t="s">
        <v>31</v>
      </c>
      <c r="AF163" s="3" t="s">
        <v>664</v>
      </c>
      <c r="AG163" s="3" t="s">
        <v>39</v>
      </c>
    </row>
    <row r="164" spans="1:33" ht="15.75" customHeight="1">
      <c r="A164" s="1">
        <v>45169.929587986117</v>
      </c>
      <c r="B164" s="3" t="s">
        <v>1024</v>
      </c>
      <c r="C164" s="2">
        <v>34001</v>
      </c>
      <c r="D164" s="3">
        <v>30</v>
      </c>
      <c r="E164" s="3" t="s">
        <v>510</v>
      </c>
      <c r="F164" s="3" t="s">
        <v>520</v>
      </c>
      <c r="G164" s="3" t="s">
        <v>539</v>
      </c>
      <c r="H164" s="2">
        <v>43349</v>
      </c>
      <c r="I164" s="3">
        <v>1</v>
      </c>
      <c r="J164" s="3" t="s">
        <v>542</v>
      </c>
      <c r="K164" s="3">
        <v>3490</v>
      </c>
      <c r="L164" s="3" t="s">
        <v>681</v>
      </c>
      <c r="M164" s="3">
        <v>54</v>
      </c>
      <c r="N164" s="3">
        <v>75</v>
      </c>
      <c r="O164" s="3">
        <v>160</v>
      </c>
      <c r="P164" s="3" t="s">
        <v>50</v>
      </c>
      <c r="Q164" s="3" t="s">
        <v>26</v>
      </c>
      <c r="S164" s="3" t="s">
        <v>664</v>
      </c>
      <c r="T164" s="3" t="s">
        <v>79</v>
      </c>
      <c r="U164" s="3">
        <v>4</v>
      </c>
      <c r="V164" s="3">
        <v>1</v>
      </c>
      <c r="W164" s="3" t="s">
        <v>26</v>
      </c>
      <c r="AA164" s="3" t="s">
        <v>49</v>
      </c>
      <c r="AB164" s="3" t="s">
        <v>171</v>
      </c>
      <c r="AC164" s="3" t="s">
        <v>664</v>
      </c>
      <c r="AD164" s="3" t="s">
        <v>30</v>
      </c>
      <c r="AE164" s="3" t="s">
        <v>31</v>
      </c>
      <c r="AF164" s="3" t="s">
        <v>664</v>
      </c>
      <c r="AG164" s="3" t="s">
        <v>39</v>
      </c>
    </row>
    <row r="165" spans="1:33" ht="15.75" customHeight="1">
      <c r="A165" s="1">
        <v>45169.930322164349</v>
      </c>
      <c r="B165" s="3" t="s">
        <v>1024</v>
      </c>
      <c r="C165" s="2">
        <v>32833</v>
      </c>
      <c r="D165" s="3" t="s">
        <v>1095</v>
      </c>
      <c r="E165" s="3" t="s">
        <v>510</v>
      </c>
      <c r="F165" s="3" t="s">
        <v>520</v>
      </c>
      <c r="G165" s="3" t="s">
        <v>539</v>
      </c>
      <c r="H165" s="2">
        <v>44725</v>
      </c>
      <c r="I165" s="3">
        <v>1</v>
      </c>
      <c r="J165" s="3" t="s">
        <v>541</v>
      </c>
      <c r="K165" s="3">
        <v>2740</v>
      </c>
      <c r="L165" s="3" t="s">
        <v>691</v>
      </c>
      <c r="M165" s="3" t="s">
        <v>1104</v>
      </c>
      <c r="N165" s="3" t="s">
        <v>1105</v>
      </c>
      <c r="O165" s="3">
        <v>1.6</v>
      </c>
      <c r="P165" s="3" t="s">
        <v>33</v>
      </c>
      <c r="Q165" s="3" t="s">
        <v>26</v>
      </c>
      <c r="S165" s="3" t="s">
        <v>664</v>
      </c>
      <c r="T165" s="3" t="s">
        <v>41</v>
      </c>
      <c r="U165" s="3">
        <v>7</v>
      </c>
      <c r="V165" s="3">
        <v>1</v>
      </c>
      <c r="W165" s="3" t="s">
        <v>34</v>
      </c>
      <c r="X165" s="3" t="s">
        <v>58</v>
      </c>
      <c r="Y165" s="3">
        <v>7</v>
      </c>
      <c r="Z165" s="3">
        <v>1</v>
      </c>
      <c r="AA165" s="3" t="s">
        <v>49</v>
      </c>
      <c r="AB165" s="3" t="s">
        <v>172</v>
      </c>
      <c r="AC165" s="3" t="s">
        <v>664</v>
      </c>
      <c r="AD165" s="3" t="s">
        <v>37</v>
      </c>
      <c r="AE165" s="3" t="s">
        <v>31</v>
      </c>
      <c r="AF165" s="3" t="s">
        <v>664</v>
      </c>
      <c r="AG165" s="3" t="s">
        <v>39</v>
      </c>
    </row>
    <row r="166" spans="1:33" ht="15.75" customHeight="1">
      <c r="A166" s="1">
        <v>45169.93455041667</v>
      </c>
      <c r="B166" s="3" t="s">
        <v>1024</v>
      </c>
      <c r="C166" s="2">
        <v>33886</v>
      </c>
      <c r="D166" s="3">
        <v>30</v>
      </c>
      <c r="E166" s="3" t="s">
        <v>510</v>
      </c>
      <c r="F166" s="3" t="s">
        <v>520</v>
      </c>
      <c r="G166" s="3" t="s">
        <v>539</v>
      </c>
      <c r="H166" s="2">
        <v>44822</v>
      </c>
      <c r="I166" s="3">
        <v>1</v>
      </c>
      <c r="J166" s="3" t="s">
        <v>541</v>
      </c>
      <c r="K166" s="3" t="s">
        <v>1106</v>
      </c>
      <c r="L166" s="3" t="s">
        <v>688</v>
      </c>
      <c r="M166" s="3" t="s">
        <v>1107</v>
      </c>
      <c r="N166" s="3" t="s">
        <v>1108</v>
      </c>
      <c r="O166" s="3">
        <v>163</v>
      </c>
      <c r="P166" s="3" t="s">
        <v>173</v>
      </c>
      <c r="Q166" s="3" t="s">
        <v>26</v>
      </c>
      <c r="S166" s="3" t="s">
        <v>664</v>
      </c>
      <c r="T166" s="3" t="s">
        <v>43</v>
      </c>
      <c r="U166" s="3">
        <v>7</v>
      </c>
      <c r="V166" s="3">
        <v>1</v>
      </c>
      <c r="W166" s="3" t="s">
        <v>34</v>
      </c>
      <c r="X166" s="3" t="s">
        <v>58</v>
      </c>
      <c r="Y166" s="3">
        <v>7</v>
      </c>
      <c r="Z166" s="3">
        <v>1</v>
      </c>
      <c r="AA166" s="3" t="s">
        <v>49</v>
      </c>
      <c r="AB166" s="3" t="s">
        <v>174</v>
      </c>
      <c r="AC166" s="3" t="s">
        <v>664</v>
      </c>
      <c r="AD166" s="3" t="s">
        <v>30</v>
      </c>
      <c r="AE166" s="3" t="s">
        <v>87</v>
      </c>
      <c r="AF166" s="3" t="s">
        <v>664</v>
      </c>
      <c r="AG166" s="3" t="s">
        <v>32</v>
      </c>
    </row>
    <row r="167" spans="1:33" ht="15.75" customHeight="1">
      <c r="A167" s="1">
        <v>45169.935293796298</v>
      </c>
      <c r="B167" s="3" t="s">
        <v>1024</v>
      </c>
      <c r="C167" s="2">
        <v>32028</v>
      </c>
      <c r="D167" s="3">
        <v>35</v>
      </c>
      <c r="E167" s="3" t="s">
        <v>510</v>
      </c>
      <c r="F167" s="3" t="s">
        <v>523</v>
      </c>
      <c r="G167" s="3" t="s">
        <v>539</v>
      </c>
      <c r="H167" s="2">
        <v>44559</v>
      </c>
      <c r="I167" s="3">
        <v>1</v>
      </c>
      <c r="J167" s="3" t="s">
        <v>542</v>
      </c>
      <c r="K167" s="3">
        <v>3120</v>
      </c>
      <c r="L167" s="3">
        <v>38</v>
      </c>
      <c r="M167" s="3">
        <v>90</v>
      </c>
      <c r="N167" s="3" t="s">
        <v>1109</v>
      </c>
      <c r="O167" s="3">
        <v>163</v>
      </c>
      <c r="P167" s="3" t="s">
        <v>33</v>
      </c>
      <c r="Q167" s="3" t="s">
        <v>26</v>
      </c>
      <c r="S167" s="3" t="s">
        <v>664</v>
      </c>
      <c r="T167" s="3" t="s">
        <v>27</v>
      </c>
      <c r="U167" s="3">
        <v>7</v>
      </c>
      <c r="V167" s="3" t="s">
        <v>1110</v>
      </c>
      <c r="W167" s="3" t="s">
        <v>26</v>
      </c>
      <c r="AA167" s="3" t="s">
        <v>54</v>
      </c>
      <c r="AB167" s="3" t="s">
        <v>29</v>
      </c>
      <c r="AC167" s="3" t="s">
        <v>664</v>
      </c>
      <c r="AD167" s="3" t="s">
        <v>55</v>
      </c>
      <c r="AE167" s="3" t="s">
        <v>31</v>
      </c>
      <c r="AF167" s="3" t="s">
        <v>664</v>
      </c>
      <c r="AG167" s="3" t="s">
        <v>32</v>
      </c>
    </row>
    <row r="168" spans="1:33" ht="15.75" customHeight="1">
      <c r="A168" s="1">
        <v>45169.937252071759</v>
      </c>
      <c r="B168" s="3" t="s">
        <v>1024</v>
      </c>
      <c r="C168" s="2" t="s">
        <v>1111</v>
      </c>
      <c r="D168" s="3">
        <v>37</v>
      </c>
      <c r="E168" s="3" t="s">
        <v>510</v>
      </c>
      <c r="F168" s="3" t="s">
        <v>520</v>
      </c>
      <c r="G168" s="3" t="s">
        <v>539</v>
      </c>
      <c r="H168" s="2">
        <v>44872</v>
      </c>
      <c r="I168" s="3">
        <v>1</v>
      </c>
      <c r="J168" s="3" t="s">
        <v>541</v>
      </c>
      <c r="K168" s="3">
        <v>2960</v>
      </c>
      <c r="L168" s="3" t="s">
        <v>692</v>
      </c>
      <c r="M168" s="3">
        <v>70</v>
      </c>
      <c r="N168" s="3">
        <v>80</v>
      </c>
      <c r="O168" s="3">
        <v>155</v>
      </c>
      <c r="P168" s="3" t="s">
        <v>50</v>
      </c>
      <c r="Q168" s="3" t="s">
        <v>26</v>
      </c>
      <c r="S168" s="3" t="s">
        <v>664</v>
      </c>
      <c r="T168" s="3" t="s">
        <v>79</v>
      </c>
      <c r="U168" s="3">
        <v>4</v>
      </c>
      <c r="V168" s="3">
        <v>1</v>
      </c>
      <c r="W168" s="3" t="s">
        <v>26</v>
      </c>
      <c r="AA168" s="3" t="s">
        <v>36</v>
      </c>
      <c r="AB168" s="3" t="s">
        <v>29</v>
      </c>
      <c r="AC168" s="3" t="s">
        <v>664</v>
      </c>
      <c r="AD168" s="3" t="s">
        <v>30</v>
      </c>
      <c r="AE168" s="3" t="s">
        <v>31</v>
      </c>
      <c r="AF168" s="3" t="s">
        <v>664</v>
      </c>
      <c r="AG168" s="3" t="s">
        <v>39</v>
      </c>
    </row>
    <row r="169" spans="1:33" ht="15.75" customHeight="1">
      <c r="A169" s="1">
        <v>45169.938274201384</v>
      </c>
      <c r="B169" s="3" t="s">
        <v>1024</v>
      </c>
      <c r="C169" s="2">
        <v>34535</v>
      </c>
      <c r="D169" s="3">
        <v>29</v>
      </c>
      <c r="E169" s="3" t="s">
        <v>510</v>
      </c>
      <c r="F169" s="3" t="s">
        <v>520</v>
      </c>
      <c r="G169" s="3" t="s">
        <v>539</v>
      </c>
      <c r="H169" s="2">
        <v>44911</v>
      </c>
      <c r="I169" s="3">
        <v>1</v>
      </c>
      <c r="J169" s="3" t="s">
        <v>542</v>
      </c>
      <c r="K169" s="3">
        <v>4003</v>
      </c>
      <c r="L169" s="3">
        <v>40</v>
      </c>
      <c r="M169" s="3">
        <v>67</v>
      </c>
      <c r="N169" s="3">
        <v>83</v>
      </c>
      <c r="O169" s="3">
        <v>169</v>
      </c>
      <c r="P169" s="3" t="s">
        <v>33</v>
      </c>
      <c r="Q169" s="3" t="s">
        <v>26</v>
      </c>
      <c r="S169" s="3" t="s">
        <v>664</v>
      </c>
      <c r="T169" s="3" t="s">
        <v>27</v>
      </c>
      <c r="U169" s="3">
        <v>7</v>
      </c>
      <c r="V169" s="3">
        <v>1</v>
      </c>
      <c r="W169" s="3" t="s">
        <v>34</v>
      </c>
      <c r="X169" s="3" t="s">
        <v>175</v>
      </c>
      <c r="Y169" s="3">
        <v>7</v>
      </c>
      <c r="Z169" s="3">
        <v>1</v>
      </c>
      <c r="AA169" s="3" t="s">
        <v>42</v>
      </c>
      <c r="AB169" s="3" t="s">
        <v>176</v>
      </c>
      <c r="AC169" s="3" t="s">
        <v>664</v>
      </c>
      <c r="AD169" s="3" t="s">
        <v>30</v>
      </c>
      <c r="AE169" s="3" t="s">
        <v>38</v>
      </c>
      <c r="AF169" s="3" t="s">
        <v>664</v>
      </c>
      <c r="AG169" s="3" t="s">
        <v>62</v>
      </c>
    </row>
    <row r="170" spans="1:33" ht="15.75" customHeight="1">
      <c r="A170" s="1">
        <v>45169.943630277776</v>
      </c>
      <c r="B170" s="3" t="s">
        <v>1024</v>
      </c>
      <c r="C170" s="2">
        <v>33676</v>
      </c>
      <c r="D170" s="3" t="s">
        <v>1112</v>
      </c>
      <c r="E170" s="3" t="s">
        <v>510</v>
      </c>
      <c r="F170" s="3" t="s">
        <v>520</v>
      </c>
      <c r="G170" s="3" t="s">
        <v>537</v>
      </c>
      <c r="H170" s="2">
        <v>44767</v>
      </c>
      <c r="I170" s="3">
        <v>1</v>
      </c>
      <c r="J170" s="3" t="s">
        <v>542</v>
      </c>
      <c r="K170" s="3">
        <v>3105</v>
      </c>
      <c r="L170" s="3" t="s">
        <v>616</v>
      </c>
      <c r="M170" s="3" t="s">
        <v>1113</v>
      </c>
      <c r="N170" s="3">
        <v>114</v>
      </c>
      <c r="O170" s="3">
        <v>171</v>
      </c>
      <c r="P170" s="3" t="s">
        <v>123</v>
      </c>
      <c r="Q170" s="3" t="s">
        <v>26</v>
      </c>
      <c r="S170" s="3" t="s">
        <v>664</v>
      </c>
      <c r="T170" s="3" t="s">
        <v>43</v>
      </c>
      <c r="U170" s="3">
        <v>7</v>
      </c>
      <c r="V170" s="3">
        <v>1</v>
      </c>
      <c r="W170" s="3" t="s">
        <v>26</v>
      </c>
      <c r="AA170" s="3" t="s">
        <v>49</v>
      </c>
      <c r="AB170" s="3" t="s">
        <v>29</v>
      </c>
      <c r="AC170" s="3" t="s">
        <v>664</v>
      </c>
      <c r="AD170" s="3" t="s">
        <v>30</v>
      </c>
      <c r="AE170" s="3" t="s">
        <v>38</v>
      </c>
      <c r="AF170" s="3" t="s">
        <v>664</v>
      </c>
      <c r="AG170" s="3" t="s">
        <v>32</v>
      </c>
    </row>
    <row r="171" spans="1:33" ht="15.75" customHeight="1">
      <c r="A171" s="1">
        <v>45169.951296018524</v>
      </c>
      <c r="B171" s="3" t="s">
        <v>1024</v>
      </c>
      <c r="C171" s="2">
        <v>33262</v>
      </c>
      <c r="D171" s="3" t="s">
        <v>1075</v>
      </c>
      <c r="E171" s="3" t="s">
        <v>510</v>
      </c>
      <c r="F171" s="3" t="s">
        <v>521</v>
      </c>
      <c r="G171" s="3" t="s">
        <v>539</v>
      </c>
      <c r="H171" s="2">
        <v>44852</v>
      </c>
      <c r="I171" s="3">
        <v>2</v>
      </c>
      <c r="J171" s="3" t="s">
        <v>542</v>
      </c>
      <c r="K171" s="3" t="s">
        <v>1114</v>
      </c>
      <c r="L171" s="3" t="s">
        <v>616</v>
      </c>
      <c r="M171" s="3">
        <v>62</v>
      </c>
      <c r="N171" s="3">
        <v>75</v>
      </c>
      <c r="O171" s="3">
        <v>158</v>
      </c>
      <c r="P171" s="3" t="s">
        <v>33</v>
      </c>
      <c r="Q171" s="3" t="s">
        <v>26</v>
      </c>
      <c r="S171" s="3" t="s">
        <v>664</v>
      </c>
      <c r="T171" s="3" t="s">
        <v>79</v>
      </c>
      <c r="U171" s="3">
        <v>7</v>
      </c>
      <c r="V171" s="3">
        <v>1</v>
      </c>
      <c r="W171" s="3" t="s">
        <v>34</v>
      </c>
      <c r="X171" s="3" t="s">
        <v>97</v>
      </c>
      <c r="Y171" s="3">
        <v>7</v>
      </c>
      <c r="Z171" s="3">
        <v>1</v>
      </c>
      <c r="AA171" s="3" t="s">
        <v>49</v>
      </c>
      <c r="AB171" s="3" t="s">
        <v>29</v>
      </c>
      <c r="AC171" s="3" t="s">
        <v>664</v>
      </c>
      <c r="AD171" s="3" t="s">
        <v>55</v>
      </c>
      <c r="AE171" s="3" t="s">
        <v>38</v>
      </c>
      <c r="AF171" s="3" t="s">
        <v>664</v>
      </c>
      <c r="AG171" s="3" t="s">
        <v>39</v>
      </c>
    </row>
    <row r="172" spans="1:33" ht="15.75" customHeight="1">
      <c r="A172" s="1">
        <v>45169.952193622681</v>
      </c>
      <c r="B172" s="3" t="s">
        <v>1024</v>
      </c>
      <c r="C172" s="2">
        <v>31887</v>
      </c>
      <c r="D172" s="3">
        <v>36</v>
      </c>
      <c r="E172" s="3" t="s">
        <v>510</v>
      </c>
      <c r="F172" s="3" t="s">
        <v>520</v>
      </c>
      <c r="G172" s="3" t="s">
        <v>537</v>
      </c>
      <c r="H172" s="2">
        <v>44924</v>
      </c>
      <c r="I172" s="3">
        <v>2</v>
      </c>
      <c r="J172" s="3" t="s">
        <v>541</v>
      </c>
      <c r="K172" s="3" t="s">
        <v>1115</v>
      </c>
      <c r="L172" s="3" t="s">
        <v>643</v>
      </c>
      <c r="M172" s="3">
        <v>92</v>
      </c>
      <c r="N172" s="3">
        <v>80</v>
      </c>
      <c r="O172" s="3">
        <v>157</v>
      </c>
      <c r="P172" s="3" t="s">
        <v>33</v>
      </c>
      <c r="Q172" s="3" t="s">
        <v>26</v>
      </c>
      <c r="S172" s="3" t="s">
        <v>664</v>
      </c>
      <c r="T172" s="3" t="s">
        <v>27</v>
      </c>
      <c r="U172" s="3">
        <v>7</v>
      </c>
      <c r="V172" s="3">
        <v>1</v>
      </c>
      <c r="W172" s="3" t="s">
        <v>34</v>
      </c>
      <c r="X172" s="3" t="s">
        <v>177</v>
      </c>
      <c r="Y172" s="3">
        <v>7</v>
      </c>
      <c r="Z172" s="3">
        <v>1</v>
      </c>
      <c r="AA172" s="3" t="s">
        <v>114</v>
      </c>
      <c r="AB172" s="3" t="s">
        <v>29</v>
      </c>
      <c r="AC172" s="3" t="s">
        <v>664</v>
      </c>
      <c r="AD172" s="3" t="s">
        <v>30</v>
      </c>
      <c r="AE172" s="3" t="s">
        <v>60</v>
      </c>
      <c r="AF172" s="3" t="s">
        <v>664</v>
      </c>
      <c r="AG172" s="3" t="s">
        <v>39</v>
      </c>
    </row>
    <row r="173" spans="1:33" ht="15.75" customHeight="1">
      <c r="A173" s="1">
        <v>45169.954225381945</v>
      </c>
      <c r="B173" s="3" t="s">
        <v>1024</v>
      </c>
      <c r="C173" s="2">
        <v>32494</v>
      </c>
      <c r="D173" s="3">
        <v>34</v>
      </c>
      <c r="E173" s="3" t="s">
        <v>510</v>
      </c>
      <c r="F173" s="3" t="s">
        <v>520</v>
      </c>
      <c r="G173" s="3" t="s">
        <v>540</v>
      </c>
      <c r="H173" s="2">
        <v>44884</v>
      </c>
      <c r="I173" s="3">
        <v>2</v>
      </c>
      <c r="J173" s="3" t="s">
        <v>542</v>
      </c>
      <c r="K173" s="3">
        <v>3600</v>
      </c>
      <c r="L173" s="3">
        <v>38</v>
      </c>
      <c r="M173" s="3">
        <v>55</v>
      </c>
      <c r="N173" s="3">
        <v>65</v>
      </c>
      <c r="O173" s="3">
        <v>159</v>
      </c>
      <c r="P173" s="3" t="s">
        <v>33</v>
      </c>
      <c r="Q173" s="3" t="s">
        <v>26</v>
      </c>
      <c r="S173" s="3" t="s">
        <v>664</v>
      </c>
      <c r="T173" s="3" t="s">
        <v>43</v>
      </c>
      <c r="U173" s="3">
        <v>7</v>
      </c>
      <c r="V173" s="3">
        <v>1</v>
      </c>
      <c r="W173" s="3" t="s">
        <v>34</v>
      </c>
      <c r="X173" s="3" t="s">
        <v>178</v>
      </c>
      <c r="Y173" s="3">
        <v>7</v>
      </c>
      <c r="Z173" s="3">
        <v>1</v>
      </c>
      <c r="AA173" s="3" t="s">
        <v>49</v>
      </c>
      <c r="AB173" s="3" t="s">
        <v>29</v>
      </c>
      <c r="AC173" s="3" t="s">
        <v>664</v>
      </c>
      <c r="AD173" s="3" t="s">
        <v>30</v>
      </c>
      <c r="AE173" s="3" t="s">
        <v>31</v>
      </c>
      <c r="AF173" s="3" t="s">
        <v>664</v>
      </c>
      <c r="AG173" s="3" t="s">
        <v>62</v>
      </c>
    </row>
    <row r="174" spans="1:33" ht="15.75" customHeight="1">
      <c r="A174" s="1">
        <v>45169.957502777776</v>
      </c>
      <c r="B174" s="3" t="s">
        <v>1024</v>
      </c>
      <c r="C174" s="2">
        <v>31671</v>
      </c>
      <c r="D174" s="3">
        <v>36</v>
      </c>
      <c r="E174" s="3" t="s">
        <v>510</v>
      </c>
      <c r="F174" s="3" t="s">
        <v>520</v>
      </c>
      <c r="G174" s="3" t="s">
        <v>539</v>
      </c>
      <c r="H174" s="2">
        <v>43813</v>
      </c>
      <c r="I174" s="3">
        <v>2</v>
      </c>
      <c r="J174" s="3" t="s">
        <v>542</v>
      </c>
      <c r="K174" s="3">
        <v>3250</v>
      </c>
      <c r="L174" s="3">
        <v>40</v>
      </c>
      <c r="M174" s="3">
        <v>76</v>
      </c>
      <c r="N174" s="3">
        <v>93</v>
      </c>
      <c r="O174" s="3">
        <v>169</v>
      </c>
      <c r="P174" s="3" t="s">
        <v>33</v>
      </c>
      <c r="Q174" s="3" t="s">
        <v>26</v>
      </c>
      <c r="S174" s="3" t="s">
        <v>664</v>
      </c>
      <c r="T174" s="3" t="s">
        <v>41</v>
      </c>
      <c r="U174" s="3">
        <v>7</v>
      </c>
      <c r="V174" s="3">
        <v>1</v>
      </c>
      <c r="W174" s="3" t="s">
        <v>34</v>
      </c>
      <c r="X174" s="3" t="s">
        <v>58</v>
      </c>
      <c r="Y174" s="3">
        <v>7</v>
      </c>
      <c r="Z174" s="3">
        <v>1</v>
      </c>
      <c r="AA174" s="3" t="s">
        <v>42</v>
      </c>
      <c r="AB174" s="3" t="s">
        <v>29</v>
      </c>
      <c r="AC174" s="3" t="s">
        <v>664</v>
      </c>
      <c r="AD174" s="3" t="s">
        <v>30</v>
      </c>
      <c r="AE174" s="3" t="s">
        <v>31</v>
      </c>
      <c r="AF174" s="3" t="s">
        <v>664</v>
      </c>
      <c r="AG174" s="3" t="s">
        <v>62</v>
      </c>
    </row>
    <row r="175" spans="1:33" ht="15.75" customHeight="1">
      <c r="A175" s="1">
        <v>45169.970069733798</v>
      </c>
      <c r="B175" s="3" t="s">
        <v>1024</v>
      </c>
      <c r="C175" s="2">
        <v>32094</v>
      </c>
      <c r="D175" s="3">
        <v>35</v>
      </c>
      <c r="E175" s="3" t="s">
        <v>510</v>
      </c>
      <c r="F175" s="3" t="s">
        <v>520</v>
      </c>
      <c r="G175" s="3" t="s">
        <v>539</v>
      </c>
      <c r="H175" s="2">
        <v>44552</v>
      </c>
      <c r="I175" s="3">
        <v>3</v>
      </c>
      <c r="J175" s="3" t="s">
        <v>541</v>
      </c>
      <c r="K175" s="3">
        <v>2780</v>
      </c>
      <c r="L175" s="3">
        <v>38</v>
      </c>
      <c r="M175" s="3">
        <v>104</v>
      </c>
      <c r="N175" s="3">
        <v>104</v>
      </c>
      <c r="O175" s="3">
        <v>162</v>
      </c>
      <c r="P175" s="3" t="s">
        <v>25</v>
      </c>
      <c r="Q175" s="3" t="s">
        <v>26</v>
      </c>
      <c r="S175" s="3" t="s">
        <v>664</v>
      </c>
      <c r="T175" s="3" t="s">
        <v>79</v>
      </c>
      <c r="U175" s="3">
        <v>7</v>
      </c>
      <c r="V175" s="3">
        <v>1</v>
      </c>
      <c r="W175" s="3" t="s">
        <v>34</v>
      </c>
      <c r="Y175" s="3">
        <v>7</v>
      </c>
      <c r="Z175" s="3">
        <v>1</v>
      </c>
      <c r="AA175" s="3" t="s">
        <v>49</v>
      </c>
      <c r="AB175" s="3" t="s">
        <v>29</v>
      </c>
      <c r="AC175" s="3" t="s">
        <v>664</v>
      </c>
      <c r="AD175" s="3" t="s">
        <v>30</v>
      </c>
      <c r="AE175" s="3" t="s">
        <v>72</v>
      </c>
      <c r="AF175" s="3" t="s">
        <v>664</v>
      </c>
      <c r="AG175" s="3" t="s">
        <v>32</v>
      </c>
    </row>
    <row r="176" spans="1:33" ht="15.75" customHeight="1">
      <c r="A176" s="1">
        <v>45169.970514270834</v>
      </c>
      <c r="B176" s="3" t="s">
        <v>1024</v>
      </c>
      <c r="C176" s="2">
        <v>33190</v>
      </c>
      <c r="D176" s="3">
        <v>32</v>
      </c>
      <c r="E176" s="3" t="s">
        <v>510</v>
      </c>
      <c r="F176" s="3" t="s">
        <v>529</v>
      </c>
      <c r="G176" s="3" t="s">
        <v>539</v>
      </c>
      <c r="H176" s="2">
        <v>44742</v>
      </c>
      <c r="I176" s="3">
        <v>1</v>
      </c>
      <c r="J176" s="3" t="s">
        <v>542</v>
      </c>
      <c r="K176" s="3" t="s">
        <v>1116</v>
      </c>
      <c r="L176" s="3" t="s">
        <v>616</v>
      </c>
      <c r="M176" s="3">
        <v>67</v>
      </c>
      <c r="N176" s="3">
        <v>79</v>
      </c>
      <c r="O176" s="3">
        <v>164</v>
      </c>
      <c r="P176" s="3" t="s">
        <v>25</v>
      </c>
      <c r="Q176" s="3" t="s">
        <v>34</v>
      </c>
      <c r="R176" s="3" t="s">
        <v>179</v>
      </c>
      <c r="S176" s="3" t="s">
        <v>664</v>
      </c>
      <c r="T176" s="3" t="s">
        <v>43</v>
      </c>
      <c r="U176" s="3">
        <v>7</v>
      </c>
      <c r="V176" s="3">
        <v>1</v>
      </c>
      <c r="W176" s="3" t="s">
        <v>26</v>
      </c>
      <c r="AA176" s="3" t="s">
        <v>49</v>
      </c>
      <c r="AB176" s="3" t="s">
        <v>180</v>
      </c>
      <c r="AC176" s="3" t="s">
        <v>664</v>
      </c>
      <c r="AD176" s="3" t="s">
        <v>63</v>
      </c>
      <c r="AE176" s="3" t="s">
        <v>72</v>
      </c>
      <c r="AF176" s="3" t="s">
        <v>664</v>
      </c>
      <c r="AG176" s="3" t="s">
        <v>32</v>
      </c>
    </row>
    <row r="177" spans="1:33" ht="15.75" customHeight="1">
      <c r="A177" s="1">
        <v>45169.973116956018</v>
      </c>
      <c r="B177" s="3" t="s">
        <v>1024</v>
      </c>
      <c r="C177" s="2">
        <v>36202</v>
      </c>
      <c r="D177" s="3">
        <v>24</v>
      </c>
      <c r="E177" s="3" t="s">
        <v>510</v>
      </c>
      <c r="F177" s="3" t="s">
        <v>520</v>
      </c>
      <c r="G177" s="3" t="s">
        <v>539</v>
      </c>
      <c r="H177" s="2">
        <v>44753</v>
      </c>
      <c r="I177" s="3">
        <v>1</v>
      </c>
      <c r="J177" s="3" t="s">
        <v>542</v>
      </c>
      <c r="K177" s="3">
        <v>2565</v>
      </c>
      <c r="L177" s="3" t="s">
        <v>618</v>
      </c>
      <c r="M177" s="3">
        <v>47</v>
      </c>
      <c r="N177" s="3">
        <v>63</v>
      </c>
      <c r="O177" s="3">
        <v>149</v>
      </c>
      <c r="P177" s="3" t="s">
        <v>33</v>
      </c>
      <c r="Q177" s="3" t="s">
        <v>26</v>
      </c>
      <c r="S177" s="3" t="s">
        <v>664</v>
      </c>
      <c r="T177" s="3" t="s">
        <v>181</v>
      </c>
      <c r="U177" s="3">
        <v>7</v>
      </c>
      <c r="V177" s="3">
        <v>2</v>
      </c>
      <c r="W177" s="3" t="s">
        <v>34</v>
      </c>
      <c r="X177" s="3" t="s">
        <v>67</v>
      </c>
      <c r="Y177" s="3">
        <v>7</v>
      </c>
      <c r="Z177" s="3">
        <v>1</v>
      </c>
      <c r="AA177" s="3" t="s">
        <v>42</v>
      </c>
      <c r="AB177" s="3" t="s">
        <v>29</v>
      </c>
      <c r="AC177" s="3" t="s">
        <v>664</v>
      </c>
      <c r="AD177" s="3" t="s">
        <v>30</v>
      </c>
      <c r="AE177" s="3" t="s">
        <v>38</v>
      </c>
      <c r="AF177" s="3" t="s">
        <v>664</v>
      </c>
      <c r="AG177" s="3" t="s">
        <v>32</v>
      </c>
    </row>
    <row r="178" spans="1:33" ht="15.75" customHeight="1">
      <c r="A178" s="1">
        <v>45169.973510462965</v>
      </c>
      <c r="B178" s="3" t="s">
        <v>1024</v>
      </c>
      <c r="C178" s="2">
        <v>34338</v>
      </c>
      <c r="D178" s="3">
        <v>29</v>
      </c>
      <c r="E178" s="3" t="s">
        <v>510</v>
      </c>
      <c r="F178" s="3" t="s">
        <v>522</v>
      </c>
      <c r="G178" s="3" t="s">
        <v>539</v>
      </c>
      <c r="H178" s="2">
        <v>44726</v>
      </c>
      <c r="I178" s="3">
        <v>2</v>
      </c>
      <c r="J178" s="3" t="s">
        <v>542</v>
      </c>
      <c r="K178" s="3">
        <v>3380</v>
      </c>
      <c r="L178" s="3" t="s">
        <v>690</v>
      </c>
      <c r="M178" s="3">
        <v>80</v>
      </c>
      <c r="N178" s="3">
        <v>87</v>
      </c>
      <c r="O178" s="3">
        <v>154</v>
      </c>
      <c r="P178" s="3" t="s">
        <v>33</v>
      </c>
      <c r="Q178" s="3" t="s">
        <v>26</v>
      </c>
      <c r="S178" s="3" t="s">
        <v>664</v>
      </c>
      <c r="T178" s="3" t="s">
        <v>79</v>
      </c>
      <c r="U178" s="3">
        <v>7</v>
      </c>
      <c r="V178" s="3">
        <v>1</v>
      </c>
      <c r="W178" s="3" t="s">
        <v>26</v>
      </c>
      <c r="AA178" s="3" t="s">
        <v>49</v>
      </c>
      <c r="AB178" s="3" t="s">
        <v>29</v>
      </c>
      <c r="AC178" s="3" t="s">
        <v>664</v>
      </c>
      <c r="AD178" s="3" t="s">
        <v>182</v>
      </c>
      <c r="AE178" s="3" t="s">
        <v>31</v>
      </c>
      <c r="AF178" s="3" t="s">
        <v>664</v>
      </c>
      <c r="AG178" s="3" t="s">
        <v>39</v>
      </c>
    </row>
    <row r="179" spans="1:33" ht="15.75" customHeight="1">
      <c r="A179" s="1">
        <v>45169.977626111111</v>
      </c>
      <c r="B179" s="3" t="s">
        <v>1024</v>
      </c>
      <c r="C179" s="2">
        <v>35873</v>
      </c>
      <c r="D179" s="3">
        <v>25</v>
      </c>
      <c r="E179" s="3" t="s">
        <v>510</v>
      </c>
      <c r="F179" s="3" t="s">
        <v>520</v>
      </c>
      <c r="G179" s="3" t="s">
        <v>537</v>
      </c>
      <c r="H179" s="2">
        <v>44490</v>
      </c>
      <c r="I179" s="3">
        <v>2</v>
      </c>
      <c r="J179" s="3" t="s">
        <v>542</v>
      </c>
      <c r="K179" s="3">
        <v>3850</v>
      </c>
      <c r="L179" s="3" t="s">
        <v>616</v>
      </c>
      <c r="M179" s="3">
        <v>75</v>
      </c>
      <c r="N179" s="3">
        <v>89</v>
      </c>
      <c r="O179" s="3">
        <v>164</v>
      </c>
      <c r="P179" s="3" t="s">
        <v>33</v>
      </c>
      <c r="Q179" s="3" t="s">
        <v>26</v>
      </c>
      <c r="S179" s="3" t="s">
        <v>664</v>
      </c>
      <c r="T179" s="3" t="s">
        <v>56</v>
      </c>
      <c r="U179" s="3">
        <v>7</v>
      </c>
      <c r="V179" s="3">
        <v>1</v>
      </c>
      <c r="W179" s="3" t="s">
        <v>26</v>
      </c>
      <c r="AA179" s="3" t="s">
        <v>49</v>
      </c>
      <c r="AB179" s="3" t="s">
        <v>29</v>
      </c>
      <c r="AC179" s="3" t="s">
        <v>664</v>
      </c>
      <c r="AD179" s="3" t="s">
        <v>30</v>
      </c>
      <c r="AE179" s="3" t="s">
        <v>31</v>
      </c>
      <c r="AF179" s="3" t="s">
        <v>664</v>
      </c>
      <c r="AG179" s="3" t="s">
        <v>32</v>
      </c>
    </row>
    <row r="180" spans="1:33" ht="15.75" customHeight="1">
      <c r="A180" s="1">
        <v>45169.983089513888</v>
      </c>
      <c r="B180" s="3" t="s">
        <v>1024</v>
      </c>
      <c r="C180" s="2">
        <v>30482</v>
      </c>
      <c r="D180" s="3">
        <v>40</v>
      </c>
      <c r="E180" s="3" t="s">
        <v>510</v>
      </c>
      <c r="F180" s="3" t="s">
        <v>520</v>
      </c>
      <c r="G180" s="3" t="s">
        <v>539</v>
      </c>
      <c r="H180" s="2">
        <v>43878</v>
      </c>
      <c r="I180" s="3">
        <v>4</v>
      </c>
      <c r="J180" s="3" t="s">
        <v>541</v>
      </c>
      <c r="K180" s="3" t="s">
        <v>1076</v>
      </c>
      <c r="L180" s="3" t="s">
        <v>693</v>
      </c>
      <c r="M180" s="3">
        <v>75</v>
      </c>
      <c r="N180" s="3">
        <v>80</v>
      </c>
      <c r="O180" s="3">
        <v>159</v>
      </c>
      <c r="P180" s="3" t="s">
        <v>44</v>
      </c>
      <c r="Q180" s="3" t="s">
        <v>34</v>
      </c>
      <c r="R180" s="3" t="s">
        <v>551</v>
      </c>
      <c r="S180" s="3" t="s">
        <v>664</v>
      </c>
      <c r="T180" s="3" t="s">
        <v>56</v>
      </c>
      <c r="U180" s="3">
        <v>7</v>
      </c>
      <c r="V180" s="3">
        <v>1</v>
      </c>
      <c r="W180" s="3" t="s">
        <v>34</v>
      </c>
      <c r="X180" s="3" t="s">
        <v>655</v>
      </c>
      <c r="Y180" s="3">
        <v>7</v>
      </c>
      <c r="Z180" s="3">
        <v>1</v>
      </c>
      <c r="AA180" s="3" t="s">
        <v>49</v>
      </c>
      <c r="AB180" s="3" t="s">
        <v>29</v>
      </c>
      <c r="AC180" s="3" t="s">
        <v>664</v>
      </c>
      <c r="AD180" s="3" t="s">
        <v>30</v>
      </c>
      <c r="AE180" s="3" t="s">
        <v>31</v>
      </c>
      <c r="AF180" s="3" t="s">
        <v>664</v>
      </c>
      <c r="AG180" s="3" t="s">
        <v>48</v>
      </c>
    </row>
    <row r="181" spans="1:33" ht="15.75" customHeight="1">
      <c r="A181" s="1">
        <v>45169.985686412037</v>
      </c>
      <c r="B181" s="3" t="s">
        <v>1024</v>
      </c>
      <c r="C181" s="2">
        <v>33608</v>
      </c>
      <c r="D181" s="3">
        <v>31</v>
      </c>
      <c r="E181" s="3" t="s">
        <v>510</v>
      </c>
      <c r="F181" s="3" t="s">
        <v>528</v>
      </c>
      <c r="G181" s="3" t="s">
        <v>539</v>
      </c>
      <c r="H181" s="2">
        <v>45057</v>
      </c>
      <c r="I181" s="3">
        <v>3</v>
      </c>
      <c r="J181" s="3" t="s">
        <v>542</v>
      </c>
      <c r="K181" s="3" t="s">
        <v>1117</v>
      </c>
      <c r="L181" s="3" t="s">
        <v>694</v>
      </c>
      <c r="M181" s="3">
        <v>84</v>
      </c>
      <c r="N181" s="3">
        <v>89</v>
      </c>
      <c r="O181" s="3">
        <v>160</v>
      </c>
      <c r="P181" s="3" t="s">
        <v>33</v>
      </c>
      <c r="Q181" s="3" t="s">
        <v>26</v>
      </c>
      <c r="S181" s="3" t="s">
        <v>664</v>
      </c>
      <c r="T181" s="3" t="s">
        <v>27</v>
      </c>
      <c r="U181" s="3">
        <v>7</v>
      </c>
      <c r="V181" s="3">
        <v>1</v>
      </c>
      <c r="W181" s="3" t="s">
        <v>34</v>
      </c>
      <c r="X181" s="3" t="s">
        <v>58</v>
      </c>
      <c r="Y181" s="3">
        <v>7</v>
      </c>
      <c r="Z181" s="3">
        <v>1</v>
      </c>
      <c r="AA181" s="3" t="s">
        <v>49</v>
      </c>
      <c r="AB181" s="3" t="s">
        <v>29</v>
      </c>
      <c r="AC181" s="3" t="s">
        <v>664</v>
      </c>
      <c r="AD181" s="3" t="s">
        <v>55</v>
      </c>
      <c r="AE181" s="3" t="s">
        <v>31</v>
      </c>
      <c r="AF181" s="3" t="s">
        <v>664</v>
      </c>
      <c r="AG181" s="3" t="s">
        <v>48</v>
      </c>
    </row>
    <row r="182" spans="1:33" ht="15.75" customHeight="1">
      <c r="A182" s="1">
        <v>45169.9994356713</v>
      </c>
      <c r="B182" s="3" t="s">
        <v>1024</v>
      </c>
      <c r="C182" s="2">
        <v>34366</v>
      </c>
      <c r="D182" s="3">
        <v>29</v>
      </c>
      <c r="E182" s="3" t="s">
        <v>510</v>
      </c>
      <c r="F182" s="3" t="s">
        <v>520</v>
      </c>
      <c r="G182" s="3" t="s">
        <v>539</v>
      </c>
      <c r="H182" s="2">
        <v>44088</v>
      </c>
      <c r="I182" s="3">
        <v>1</v>
      </c>
      <c r="J182" s="3" t="s">
        <v>541</v>
      </c>
      <c r="K182" s="3">
        <v>3145</v>
      </c>
      <c r="L182" s="3">
        <v>39</v>
      </c>
      <c r="M182" s="3">
        <v>67</v>
      </c>
      <c r="N182" s="3">
        <v>78</v>
      </c>
      <c r="O182" s="3">
        <v>158</v>
      </c>
      <c r="P182" s="3" t="s">
        <v>33</v>
      </c>
      <c r="Q182" s="3" t="s">
        <v>26</v>
      </c>
      <c r="S182" s="3" t="s">
        <v>664</v>
      </c>
      <c r="T182" s="3" t="s">
        <v>43</v>
      </c>
      <c r="U182" s="3">
        <v>7</v>
      </c>
      <c r="V182" s="3">
        <v>1</v>
      </c>
      <c r="W182" s="3" t="s">
        <v>26</v>
      </c>
      <c r="AA182" s="3" t="s">
        <v>28</v>
      </c>
      <c r="AB182" s="3" t="s">
        <v>29</v>
      </c>
      <c r="AC182" s="3" t="s">
        <v>664</v>
      </c>
      <c r="AD182" s="3" t="s">
        <v>30</v>
      </c>
      <c r="AE182" s="3" t="s">
        <v>38</v>
      </c>
      <c r="AF182" s="3" t="s">
        <v>664</v>
      </c>
      <c r="AG182" s="3" t="s">
        <v>32</v>
      </c>
    </row>
    <row r="183" spans="1:33" ht="15.75" customHeight="1">
      <c r="A183" s="1">
        <v>45170.000501782408</v>
      </c>
      <c r="B183" s="3" t="s">
        <v>1024</v>
      </c>
      <c r="C183" s="2">
        <v>34719</v>
      </c>
      <c r="D183" s="3">
        <v>28</v>
      </c>
      <c r="E183" s="3" t="s">
        <v>510</v>
      </c>
      <c r="F183" s="3" t="s">
        <v>520</v>
      </c>
      <c r="G183" s="3" t="s">
        <v>537</v>
      </c>
      <c r="H183" s="2">
        <v>44747</v>
      </c>
      <c r="I183" s="3">
        <v>2</v>
      </c>
      <c r="J183" s="3" t="s">
        <v>541</v>
      </c>
      <c r="K183" s="3">
        <v>2070</v>
      </c>
      <c r="L183" s="3">
        <v>36</v>
      </c>
      <c r="M183" s="3">
        <v>78</v>
      </c>
      <c r="N183" s="3">
        <v>75</v>
      </c>
      <c r="O183" s="3">
        <v>165</v>
      </c>
      <c r="P183" s="3" t="s">
        <v>44</v>
      </c>
      <c r="Q183" s="3" t="s">
        <v>26</v>
      </c>
      <c r="S183" s="3" t="s">
        <v>664</v>
      </c>
      <c r="T183" s="3" t="s">
        <v>79</v>
      </c>
      <c r="U183" s="3">
        <v>7</v>
      </c>
      <c r="V183" s="3">
        <v>1</v>
      </c>
      <c r="W183" s="3" t="s">
        <v>26</v>
      </c>
      <c r="AA183" s="3" t="s">
        <v>49</v>
      </c>
      <c r="AB183" s="3" t="s">
        <v>29</v>
      </c>
      <c r="AC183" s="3" t="s">
        <v>26</v>
      </c>
      <c r="AD183" s="3" t="s">
        <v>59</v>
      </c>
      <c r="AE183" s="3" t="s">
        <v>31</v>
      </c>
      <c r="AF183" s="3" t="s">
        <v>664</v>
      </c>
      <c r="AG183" s="3" t="s">
        <v>62</v>
      </c>
    </row>
    <row r="184" spans="1:33" ht="15.75" customHeight="1">
      <c r="A184" s="1">
        <v>45170.004027581017</v>
      </c>
      <c r="B184" s="3" t="s">
        <v>1024</v>
      </c>
      <c r="C184" s="2">
        <v>33268</v>
      </c>
      <c r="D184" s="3">
        <v>32</v>
      </c>
      <c r="E184" s="3" t="s">
        <v>510</v>
      </c>
      <c r="F184" s="3" t="s">
        <v>528</v>
      </c>
      <c r="G184" s="3" t="s">
        <v>538</v>
      </c>
      <c r="H184" s="2">
        <v>44920</v>
      </c>
      <c r="I184" s="3">
        <v>3</v>
      </c>
      <c r="J184" s="3" t="s">
        <v>541</v>
      </c>
      <c r="K184" s="3" t="s">
        <v>1118</v>
      </c>
      <c r="L184" s="3">
        <v>35</v>
      </c>
      <c r="M184" s="3">
        <v>83</v>
      </c>
      <c r="N184" s="3">
        <v>85</v>
      </c>
      <c r="O184" s="3">
        <v>156</v>
      </c>
      <c r="P184" s="3" t="s">
        <v>173</v>
      </c>
      <c r="Q184" s="3" t="s">
        <v>26</v>
      </c>
      <c r="S184" s="3" t="s">
        <v>664</v>
      </c>
      <c r="T184" s="3" t="s">
        <v>27</v>
      </c>
      <c r="U184" s="3">
        <v>7</v>
      </c>
      <c r="V184" s="3">
        <v>1</v>
      </c>
      <c r="W184" s="3" t="s">
        <v>26</v>
      </c>
      <c r="AA184" s="3" t="s">
        <v>28</v>
      </c>
      <c r="AB184" s="3" t="s">
        <v>29</v>
      </c>
      <c r="AC184" s="3" t="s">
        <v>664</v>
      </c>
      <c r="AD184" s="3" t="s">
        <v>55</v>
      </c>
      <c r="AE184" s="3" t="s">
        <v>31</v>
      </c>
      <c r="AF184" s="3" t="s">
        <v>664</v>
      </c>
      <c r="AG184" s="3" t="s">
        <v>32</v>
      </c>
    </row>
    <row r="185" spans="1:33" ht="15.75" customHeight="1">
      <c r="A185" s="1">
        <v>45170.004243043979</v>
      </c>
      <c r="B185" s="3" t="s">
        <v>1024</v>
      </c>
      <c r="C185" s="2">
        <v>33555</v>
      </c>
      <c r="D185" s="3">
        <v>31</v>
      </c>
      <c r="E185" s="3" t="s">
        <v>510</v>
      </c>
      <c r="F185" s="3" t="s">
        <v>520</v>
      </c>
      <c r="G185" s="3" t="s">
        <v>539</v>
      </c>
      <c r="H185" s="2">
        <v>44838</v>
      </c>
      <c r="I185" s="3">
        <v>2</v>
      </c>
      <c r="J185" s="3" t="s">
        <v>541</v>
      </c>
      <c r="K185" s="3" t="s">
        <v>1119</v>
      </c>
      <c r="L185" s="3" t="s">
        <v>676</v>
      </c>
      <c r="M185" s="3">
        <v>84</v>
      </c>
      <c r="N185" s="3">
        <v>83</v>
      </c>
      <c r="O185" s="3">
        <v>161</v>
      </c>
      <c r="P185" s="3" t="s">
        <v>50</v>
      </c>
      <c r="Q185" s="3" t="s">
        <v>34</v>
      </c>
      <c r="R185" s="3" t="s">
        <v>183</v>
      </c>
      <c r="S185" s="3" t="s">
        <v>664</v>
      </c>
      <c r="T185" s="3" t="s">
        <v>41</v>
      </c>
      <c r="U185" s="3">
        <v>7</v>
      </c>
      <c r="V185" s="3">
        <v>1</v>
      </c>
      <c r="W185" s="3" t="s">
        <v>34</v>
      </c>
      <c r="X185" s="3" t="s">
        <v>58</v>
      </c>
      <c r="Y185" s="3">
        <v>7</v>
      </c>
      <c r="Z185" s="3">
        <v>1</v>
      </c>
      <c r="AA185" s="3" t="s">
        <v>42</v>
      </c>
      <c r="AB185" s="3" t="s">
        <v>29</v>
      </c>
      <c r="AC185" s="3" t="s">
        <v>664</v>
      </c>
      <c r="AD185" s="3" t="s">
        <v>59</v>
      </c>
      <c r="AE185" s="3" t="s">
        <v>31</v>
      </c>
      <c r="AF185" s="3" t="s">
        <v>664</v>
      </c>
      <c r="AG185" s="3" t="s">
        <v>32</v>
      </c>
    </row>
    <row r="186" spans="1:33" ht="15.75" customHeight="1">
      <c r="A186" s="1">
        <v>45170.011521979162</v>
      </c>
      <c r="B186" s="3" t="s">
        <v>1024</v>
      </c>
      <c r="C186" s="2">
        <v>33880</v>
      </c>
      <c r="D186" s="3">
        <v>30</v>
      </c>
      <c r="E186" s="3" t="s">
        <v>510</v>
      </c>
      <c r="F186" s="3" t="s">
        <v>520</v>
      </c>
      <c r="G186" s="3" t="s">
        <v>539</v>
      </c>
      <c r="H186" s="2">
        <v>44398</v>
      </c>
      <c r="I186" s="3">
        <v>1</v>
      </c>
      <c r="J186" s="3" t="s">
        <v>542</v>
      </c>
      <c r="K186" s="3" t="s">
        <v>1120</v>
      </c>
      <c r="L186" s="3" t="s">
        <v>695</v>
      </c>
      <c r="M186" s="3">
        <v>58</v>
      </c>
      <c r="N186" s="3" t="s">
        <v>1061</v>
      </c>
      <c r="O186" s="3">
        <v>152</v>
      </c>
      <c r="P186" s="3" t="s">
        <v>25</v>
      </c>
      <c r="Q186" s="3" t="s">
        <v>26</v>
      </c>
      <c r="S186" s="3" t="s">
        <v>664</v>
      </c>
      <c r="T186" s="3" t="s">
        <v>689</v>
      </c>
      <c r="U186" s="3">
        <v>7</v>
      </c>
      <c r="V186" s="3">
        <v>1</v>
      </c>
      <c r="W186" s="3" t="s">
        <v>26</v>
      </c>
      <c r="AA186" s="3" t="s">
        <v>42</v>
      </c>
      <c r="AB186" s="3" t="s">
        <v>29</v>
      </c>
      <c r="AC186" s="3" t="s">
        <v>664</v>
      </c>
      <c r="AD186" s="3" t="s">
        <v>30</v>
      </c>
      <c r="AE186" s="3" t="s">
        <v>31</v>
      </c>
      <c r="AF186" s="3" t="s">
        <v>664</v>
      </c>
      <c r="AG186" s="3" t="s">
        <v>48</v>
      </c>
    </row>
    <row r="187" spans="1:33" ht="15.75" customHeight="1">
      <c r="A187" s="1">
        <v>45170.01210547454</v>
      </c>
      <c r="B187" s="3" t="s">
        <v>1024</v>
      </c>
      <c r="C187" s="2">
        <v>36824</v>
      </c>
      <c r="D187" s="3">
        <v>22</v>
      </c>
      <c r="E187" s="3" t="s">
        <v>510</v>
      </c>
      <c r="F187" s="3" t="s">
        <v>524</v>
      </c>
      <c r="G187" s="3" t="s">
        <v>538</v>
      </c>
      <c r="H187" s="2">
        <v>44718</v>
      </c>
      <c r="I187" s="3">
        <v>1</v>
      </c>
      <c r="J187" s="3" t="s">
        <v>541</v>
      </c>
      <c r="K187" s="3">
        <v>3850</v>
      </c>
      <c r="L187" s="3">
        <v>37</v>
      </c>
      <c r="M187" s="3">
        <v>75</v>
      </c>
      <c r="N187" s="3">
        <v>82</v>
      </c>
      <c r="O187" s="3">
        <v>159</v>
      </c>
      <c r="P187" s="3" t="s">
        <v>123</v>
      </c>
      <c r="Q187" s="3" t="s">
        <v>26</v>
      </c>
      <c r="S187" s="3" t="s">
        <v>664</v>
      </c>
      <c r="T187" s="3" t="s">
        <v>184</v>
      </c>
      <c r="U187" s="3">
        <v>7</v>
      </c>
      <c r="V187" s="3">
        <v>1</v>
      </c>
      <c r="W187" s="3" t="s">
        <v>26</v>
      </c>
      <c r="AA187" s="3" t="s">
        <v>42</v>
      </c>
      <c r="AB187" s="3" t="s">
        <v>185</v>
      </c>
      <c r="AC187" s="3" t="s">
        <v>664</v>
      </c>
      <c r="AD187" s="3" t="s">
        <v>30</v>
      </c>
      <c r="AE187" s="3" t="s">
        <v>31</v>
      </c>
      <c r="AF187" s="3" t="s">
        <v>664</v>
      </c>
      <c r="AG187" s="3" t="s">
        <v>76</v>
      </c>
    </row>
    <row r="188" spans="1:33" ht="15.75" customHeight="1">
      <c r="A188" s="1">
        <v>45170.014082453708</v>
      </c>
      <c r="B188" s="3" t="s">
        <v>1024</v>
      </c>
      <c r="C188" s="2">
        <v>33176</v>
      </c>
      <c r="D188" s="3">
        <v>32</v>
      </c>
      <c r="E188" s="3" t="s">
        <v>510</v>
      </c>
      <c r="F188" s="3" t="s">
        <v>529</v>
      </c>
      <c r="G188" s="3" t="s">
        <v>540</v>
      </c>
      <c r="H188" s="2">
        <v>44756</v>
      </c>
      <c r="I188" s="3">
        <v>1</v>
      </c>
      <c r="J188" s="3" t="s">
        <v>541</v>
      </c>
      <c r="K188" s="3" t="s">
        <v>1121</v>
      </c>
      <c r="L188" s="3" t="s">
        <v>696</v>
      </c>
      <c r="M188" s="3">
        <v>97</v>
      </c>
      <c r="N188" s="3">
        <v>105</v>
      </c>
      <c r="O188" s="3">
        <v>151</v>
      </c>
      <c r="P188" s="3" t="s">
        <v>33</v>
      </c>
      <c r="Q188" s="3" t="s">
        <v>26</v>
      </c>
      <c r="S188" s="3" t="s">
        <v>664</v>
      </c>
      <c r="T188" s="3" t="s">
        <v>79</v>
      </c>
      <c r="U188" s="3">
        <v>7</v>
      </c>
      <c r="V188" s="3">
        <v>1</v>
      </c>
      <c r="W188" s="3" t="s">
        <v>26</v>
      </c>
      <c r="AA188" s="3" t="s">
        <v>42</v>
      </c>
      <c r="AB188" s="3" t="s">
        <v>185</v>
      </c>
      <c r="AC188" s="3" t="s">
        <v>664</v>
      </c>
      <c r="AD188" s="3" t="s">
        <v>30</v>
      </c>
      <c r="AE188" s="3" t="s">
        <v>38</v>
      </c>
      <c r="AF188" s="3" t="s">
        <v>664</v>
      </c>
      <c r="AG188" s="3" t="s">
        <v>39</v>
      </c>
    </row>
    <row r="189" spans="1:33" ht="15.75" customHeight="1">
      <c r="A189" s="1">
        <v>45170.16160861111</v>
      </c>
      <c r="B189" s="3" t="s">
        <v>1024</v>
      </c>
      <c r="C189" s="2">
        <v>32792</v>
      </c>
      <c r="D189" s="3" t="s">
        <v>1095</v>
      </c>
      <c r="E189" s="3" t="s">
        <v>510</v>
      </c>
      <c r="F189" s="3" t="s">
        <v>520</v>
      </c>
      <c r="G189" s="3" t="s">
        <v>539</v>
      </c>
      <c r="H189" s="2">
        <v>44693</v>
      </c>
      <c r="I189" s="3">
        <v>1</v>
      </c>
      <c r="J189" s="3" t="s">
        <v>541</v>
      </c>
      <c r="K189" s="3" t="s">
        <v>1121</v>
      </c>
      <c r="L189" s="3" t="s">
        <v>659</v>
      </c>
      <c r="M189" s="3">
        <v>62</v>
      </c>
      <c r="N189" s="3">
        <v>62</v>
      </c>
      <c r="O189" s="3">
        <v>156</v>
      </c>
      <c r="P189" s="3" t="s">
        <v>33</v>
      </c>
      <c r="Q189" s="3" t="s">
        <v>26</v>
      </c>
      <c r="S189" s="3" t="s">
        <v>664</v>
      </c>
      <c r="T189" s="3" t="s">
        <v>43</v>
      </c>
      <c r="U189" s="3">
        <v>7</v>
      </c>
      <c r="V189" s="3">
        <v>1</v>
      </c>
      <c r="W189" s="3" t="s">
        <v>34</v>
      </c>
      <c r="X189" s="3" t="s">
        <v>128</v>
      </c>
      <c r="Y189" s="3">
        <v>7</v>
      </c>
      <c r="Z189" s="3">
        <v>1</v>
      </c>
      <c r="AA189" s="3" t="s">
        <v>36</v>
      </c>
      <c r="AB189" s="3" t="s">
        <v>29</v>
      </c>
      <c r="AC189" s="3" t="s">
        <v>664</v>
      </c>
      <c r="AD189" s="3" t="s">
        <v>55</v>
      </c>
      <c r="AE189" s="3" t="s">
        <v>38</v>
      </c>
      <c r="AF189" s="3" t="s">
        <v>664</v>
      </c>
      <c r="AG189" s="3" t="s">
        <v>48</v>
      </c>
    </row>
    <row r="190" spans="1:33" ht="15.75" customHeight="1">
      <c r="A190" s="1">
        <v>45170.206469386569</v>
      </c>
      <c r="B190" s="3" t="s">
        <v>1024</v>
      </c>
      <c r="C190" s="2">
        <v>35495</v>
      </c>
      <c r="D190" s="3">
        <v>26</v>
      </c>
      <c r="E190" s="3" t="s">
        <v>510</v>
      </c>
      <c r="F190" s="3" t="s">
        <v>520</v>
      </c>
      <c r="G190" s="3" t="s">
        <v>539</v>
      </c>
      <c r="H190" s="2">
        <v>44861</v>
      </c>
      <c r="I190" s="3">
        <v>1</v>
      </c>
      <c r="J190" s="3" t="s">
        <v>541</v>
      </c>
      <c r="K190" s="3" t="s">
        <v>1122</v>
      </c>
      <c r="L190" s="3" t="s">
        <v>618</v>
      </c>
      <c r="M190" s="3">
        <v>76</v>
      </c>
      <c r="N190" s="3">
        <v>110</v>
      </c>
      <c r="O190" s="3">
        <v>162</v>
      </c>
      <c r="P190" s="3" t="s">
        <v>44</v>
      </c>
      <c r="Q190" s="3" t="s">
        <v>26</v>
      </c>
      <c r="S190" s="3" t="s">
        <v>664</v>
      </c>
      <c r="T190" s="3" t="s">
        <v>27</v>
      </c>
      <c r="U190" s="3">
        <v>7</v>
      </c>
      <c r="V190" s="3">
        <v>1</v>
      </c>
      <c r="W190" s="3" t="s">
        <v>34</v>
      </c>
      <c r="X190" s="3" t="s">
        <v>58</v>
      </c>
      <c r="Y190" s="3">
        <v>7</v>
      </c>
      <c r="Z190" s="3">
        <v>1</v>
      </c>
      <c r="AA190" s="3" t="s">
        <v>42</v>
      </c>
      <c r="AB190" s="3" t="s">
        <v>174</v>
      </c>
      <c r="AC190" s="3" t="s">
        <v>664</v>
      </c>
      <c r="AD190" s="3" t="s">
        <v>30</v>
      </c>
      <c r="AE190" s="3" t="s">
        <v>31</v>
      </c>
      <c r="AF190" s="3" t="s">
        <v>664</v>
      </c>
      <c r="AG190" s="3" t="s">
        <v>39</v>
      </c>
    </row>
    <row r="191" spans="1:33" ht="15.75" customHeight="1">
      <c r="A191" s="1">
        <v>45170.209909270838</v>
      </c>
      <c r="B191" s="3" t="s">
        <v>1024</v>
      </c>
      <c r="C191" s="2">
        <v>33640</v>
      </c>
      <c r="D191" s="3">
        <v>31</v>
      </c>
      <c r="E191" s="3" t="s">
        <v>510</v>
      </c>
      <c r="F191" s="3" t="s">
        <v>520</v>
      </c>
      <c r="G191" s="3" t="s">
        <v>539</v>
      </c>
      <c r="H191" s="2">
        <v>44746</v>
      </c>
      <c r="I191" s="3">
        <v>2</v>
      </c>
      <c r="J191" s="3" t="s">
        <v>542</v>
      </c>
      <c r="K191" s="3" t="s">
        <v>1123</v>
      </c>
      <c r="L191" s="3" t="s">
        <v>618</v>
      </c>
      <c r="M191" s="3">
        <v>49</v>
      </c>
      <c r="N191" s="3">
        <v>65</v>
      </c>
      <c r="O191" s="3">
        <v>148</v>
      </c>
      <c r="P191" s="3" t="s">
        <v>33</v>
      </c>
      <c r="Q191" s="3" t="s">
        <v>26</v>
      </c>
      <c r="S191" s="3" t="s">
        <v>664</v>
      </c>
      <c r="T191" s="3" t="s">
        <v>56</v>
      </c>
      <c r="U191" s="3">
        <v>7</v>
      </c>
      <c r="V191" s="3">
        <v>1</v>
      </c>
      <c r="W191" s="3" t="s">
        <v>34</v>
      </c>
      <c r="X191" s="3" t="s">
        <v>186</v>
      </c>
      <c r="Y191" s="3">
        <v>7</v>
      </c>
      <c r="Z191" s="3">
        <v>1</v>
      </c>
      <c r="AA191" s="3" t="s">
        <v>49</v>
      </c>
      <c r="AB191" s="3" t="s">
        <v>29</v>
      </c>
      <c r="AC191" s="3" t="s">
        <v>26</v>
      </c>
      <c r="AD191" s="3" t="s">
        <v>30</v>
      </c>
      <c r="AE191" s="3" t="s">
        <v>38</v>
      </c>
      <c r="AF191" s="3" t="s">
        <v>664</v>
      </c>
      <c r="AG191" s="3" t="s">
        <v>32</v>
      </c>
    </row>
    <row r="192" spans="1:33" ht="15.75" customHeight="1">
      <c r="A192" s="1">
        <v>45170.231449953702</v>
      </c>
      <c r="B192" s="3" t="s">
        <v>1024</v>
      </c>
      <c r="C192" s="2">
        <v>34681</v>
      </c>
      <c r="D192" s="3">
        <v>28</v>
      </c>
      <c r="E192" s="3" t="s">
        <v>510</v>
      </c>
      <c r="F192" s="3" t="s">
        <v>528</v>
      </c>
      <c r="G192" s="3" t="s">
        <v>539</v>
      </c>
      <c r="H192" s="2">
        <v>44449</v>
      </c>
      <c r="I192" s="3">
        <v>1</v>
      </c>
      <c r="J192" s="3" t="s">
        <v>541</v>
      </c>
      <c r="K192" s="3">
        <v>3160</v>
      </c>
      <c r="L192" s="3">
        <v>37</v>
      </c>
      <c r="M192" s="3">
        <v>92</v>
      </c>
      <c r="N192" s="3">
        <v>118</v>
      </c>
      <c r="O192" s="3">
        <v>163</v>
      </c>
      <c r="P192" s="3" t="s">
        <v>25</v>
      </c>
      <c r="Q192" s="3" t="s">
        <v>26</v>
      </c>
      <c r="S192" s="3" t="s">
        <v>26</v>
      </c>
      <c r="T192" s="3" t="s">
        <v>121</v>
      </c>
      <c r="W192" s="3" t="s">
        <v>26</v>
      </c>
      <c r="AA192" s="3" t="s">
        <v>51</v>
      </c>
      <c r="AB192" s="3" t="s">
        <v>29</v>
      </c>
      <c r="AC192" s="3" t="s">
        <v>664</v>
      </c>
      <c r="AD192" s="3" t="s">
        <v>55</v>
      </c>
      <c r="AE192" s="3" t="s">
        <v>31</v>
      </c>
      <c r="AF192" s="3" t="s">
        <v>664</v>
      </c>
      <c r="AG192" s="3" t="s">
        <v>48</v>
      </c>
    </row>
    <row r="193" spans="1:33" ht="15.75" customHeight="1">
      <c r="A193" s="1">
        <v>45170.272265081017</v>
      </c>
      <c r="B193" s="3" t="s">
        <v>1024</v>
      </c>
      <c r="C193" s="2">
        <v>32412</v>
      </c>
      <c r="D193" s="3">
        <v>34</v>
      </c>
      <c r="E193" s="3" t="s">
        <v>510</v>
      </c>
      <c r="F193" s="3" t="s">
        <v>520</v>
      </c>
      <c r="G193" s="3" t="s">
        <v>539</v>
      </c>
      <c r="H193" s="2">
        <v>43231</v>
      </c>
      <c r="I193" s="3">
        <v>1</v>
      </c>
      <c r="J193" s="3" t="s">
        <v>541</v>
      </c>
      <c r="K193" s="3">
        <v>2950</v>
      </c>
      <c r="L193" s="3" t="s">
        <v>697</v>
      </c>
      <c r="M193" s="3">
        <v>57</v>
      </c>
      <c r="N193" s="3">
        <v>63</v>
      </c>
      <c r="O193" s="3">
        <v>150</v>
      </c>
      <c r="P193" s="3" t="s">
        <v>33</v>
      </c>
      <c r="Q193" s="3" t="s">
        <v>26</v>
      </c>
      <c r="S193" s="3" t="s">
        <v>664</v>
      </c>
      <c r="T193" s="3" t="s">
        <v>56</v>
      </c>
      <c r="U193" s="3">
        <v>7</v>
      </c>
      <c r="V193" s="3">
        <v>1</v>
      </c>
      <c r="W193" s="3" t="s">
        <v>34</v>
      </c>
      <c r="X193" s="3" t="s">
        <v>128</v>
      </c>
      <c r="Y193" s="3">
        <v>7</v>
      </c>
      <c r="Z193" s="3">
        <v>1</v>
      </c>
      <c r="AA193" s="3" t="s">
        <v>42</v>
      </c>
      <c r="AB193" s="3" t="s">
        <v>187</v>
      </c>
      <c r="AC193" s="3" t="s">
        <v>664</v>
      </c>
      <c r="AD193" s="3" t="s">
        <v>30</v>
      </c>
      <c r="AE193" s="3" t="s">
        <v>38</v>
      </c>
      <c r="AF193" s="3" t="s">
        <v>664</v>
      </c>
      <c r="AG193" s="3" t="s">
        <v>32</v>
      </c>
    </row>
    <row r="194" spans="1:33" ht="15.75" customHeight="1">
      <c r="A194" s="1">
        <v>45170.273563124996</v>
      </c>
      <c r="B194" s="3" t="s">
        <v>1024</v>
      </c>
      <c r="C194" s="2">
        <v>32033</v>
      </c>
      <c r="D194" s="3">
        <v>35</v>
      </c>
      <c r="E194" s="3" t="s">
        <v>510</v>
      </c>
      <c r="F194" s="3" t="s">
        <v>528</v>
      </c>
      <c r="G194" s="3" t="s">
        <v>539</v>
      </c>
      <c r="H194" s="2">
        <v>44780</v>
      </c>
      <c r="I194" s="3">
        <v>2</v>
      </c>
      <c r="J194" s="3" t="s">
        <v>541</v>
      </c>
      <c r="K194" s="3" t="s">
        <v>1124</v>
      </c>
      <c r="L194" s="3" t="s">
        <v>698</v>
      </c>
      <c r="M194" s="3">
        <v>81</v>
      </c>
      <c r="N194" s="3">
        <v>92</v>
      </c>
      <c r="O194" s="3">
        <v>166</v>
      </c>
      <c r="P194" s="3" t="s">
        <v>44</v>
      </c>
      <c r="Q194" s="3" t="s">
        <v>26</v>
      </c>
      <c r="S194" s="3" t="s">
        <v>664</v>
      </c>
      <c r="T194" s="3" t="s">
        <v>79</v>
      </c>
      <c r="U194" s="3">
        <v>7</v>
      </c>
      <c r="V194" s="3">
        <v>1</v>
      </c>
      <c r="W194" s="3" t="s">
        <v>34</v>
      </c>
      <c r="AA194" s="3" t="s">
        <v>49</v>
      </c>
      <c r="AB194" s="3" t="s">
        <v>29</v>
      </c>
      <c r="AC194" s="3" t="s">
        <v>664</v>
      </c>
      <c r="AD194" s="3" t="s">
        <v>30</v>
      </c>
      <c r="AE194" s="3" t="s">
        <v>31</v>
      </c>
      <c r="AF194" s="3" t="s">
        <v>664</v>
      </c>
      <c r="AG194" s="3" t="s">
        <v>39</v>
      </c>
    </row>
    <row r="195" spans="1:33" ht="15.75" customHeight="1">
      <c r="A195" s="1">
        <v>45170.329321458332</v>
      </c>
      <c r="B195" s="3" t="s">
        <v>1024</v>
      </c>
      <c r="C195" s="2">
        <v>35978</v>
      </c>
      <c r="D195" s="3" t="s">
        <v>1125</v>
      </c>
      <c r="E195" s="3" t="s">
        <v>513</v>
      </c>
      <c r="F195" s="3" t="s">
        <v>529</v>
      </c>
      <c r="G195" s="3" t="s">
        <v>536</v>
      </c>
      <c r="H195" s="2">
        <v>44724</v>
      </c>
      <c r="I195" s="3">
        <v>3</v>
      </c>
      <c r="J195" s="3" t="s">
        <v>542</v>
      </c>
      <c r="K195" s="3" t="s">
        <v>1126</v>
      </c>
      <c r="L195" s="3" t="s">
        <v>1127</v>
      </c>
      <c r="M195" s="3" t="s">
        <v>1128</v>
      </c>
      <c r="N195" s="3" t="s">
        <v>1129</v>
      </c>
      <c r="O195" s="3">
        <v>165</v>
      </c>
      <c r="P195" s="3" t="s">
        <v>33</v>
      </c>
      <c r="Q195" s="3" t="s">
        <v>26</v>
      </c>
      <c r="S195" s="3" t="s">
        <v>664</v>
      </c>
      <c r="T195" s="3" t="s">
        <v>79</v>
      </c>
      <c r="U195" s="3">
        <v>7</v>
      </c>
      <c r="V195" s="3">
        <v>1</v>
      </c>
      <c r="W195" s="3" t="s">
        <v>34</v>
      </c>
      <c r="X195" s="3" t="s">
        <v>188</v>
      </c>
      <c r="Y195" s="3">
        <v>7</v>
      </c>
      <c r="Z195" s="3">
        <v>1</v>
      </c>
      <c r="AA195" s="3" t="s">
        <v>42</v>
      </c>
      <c r="AB195" s="3" t="s">
        <v>189</v>
      </c>
      <c r="AC195" s="3" t="s">
        <v>664</v>
      </c>
      <c r="AD195" s="3" t="s">
        <v>37</v>
      </c>
      <c r="AE195" s="3" t="s">
        <v>31</v>
      </c>
      <c r="AF195" s="3" t="s">
        <v>664</v>
      </c>
      <c r="AG195" s="3" t="s">
        <v>62</v>
      </c>
    </row>
    <row r="196" spans="1:33" ht="15.75" customHeight="1">
      <c r="A196" s="1">
        <v>45170.349282141207</v>
      </c>
      <c r="B196" s="3" t="s">
        <v>1024</v>
      </c>
      <c r="C196" s="2">
        <v>33490</v>
      </c>
      <c r="D196" s="3">
        <v>32</v>
      </c>
      <c r="E196" s="3" t="s">
        <v>510</v>
      </c>
      <c r="F196" s="3" t="s">
        <v>527</v>
      </c>
      <c r="G196" s="3" t="s">
        <v>539</v>
      </c>
      <c r="H196" s="2">
        <v>44779</v>
      </c>
      <c r="I196" s="3">
        <v>1</v>
      </c>
      <c r="J196" s="3" t="s">
        <v>541</v>
      </c>
      <c r="K196" s="3">
        <v>3240</v>
      </c>
      <c r="L196" s="3" t="s">
        <v>699</v>
      </c>
      <c r="M196" s="3">
        <v>64</v>
      </c>
      <c r="N196" s="3">
        <v>74</v>
      </c>
      <c r="O196" s="3">
        <v>158</v>
      </c>
      <c r="P196" s="3" t="s">
        <v>33</v>
      </c>
      <c r="Q196" s="3" t="s">
        <v>26</v>
      </c>
      <c r="S196" s="3" t="s">
        <v>664</v>
      </c>
      <c r="T196" s="3" t="s">
        <v>27</v>
      </c>
      <c r="U196" s="3">
        <v>7</v>
      </c>
      <c r="V196" s="3">
        <v>1</v>
      </c>
      <c r="W196" s="3" t="s">
        <v>34</v>
      </c>
      <c r="X196" s="3" t="s">
        <v>35</v>
      </c>
      <c r="Y196" s="3">
        <v>7</v>
      </c>
      <c r="Z196" s="3">
        <v>1</v>
      </c>
      <c r="AA196" s="3" t="s">
        <v>28</v>
      </c>
      <c r="AB196" s="3" t="s">
        <v>190</v>
      </c>
      <c r="AC196" s="3" t="s">
        <v>664</v>
      </c>
      <c r="AD196" s="3" t="s">
        <v>30</v>
      </c>
      <c r="AE196" s="3" t="s">
        <v>31</v>
      </c>
      <c r="AF196" s="3" t="s">
        <v>664</v>
      </c>
      <c r="AG196" s="3" t="s">
        <v>94</v>
      </c>
    </row>
    <row r="197" spans="1:33" ht="15.75" customHeight="1">
      <c r="A197" s="1">
        <v>45170.363506689813</v>
      </c>
      <c r="B197" s="3" t="s">
        <v>1024</v>
      </c>
      <c r="C197" s="2">
        <v>32437</v>
      </c>
      <c r="D197" s="3">
        <v>34</v>
      </c>
      <c r="E197" s="3" t="s">
        <v>510</v>
      </c>
      <c r="F197" s="3" t="s">
        <v>528</v>
      </c>
      <c r="G197" s="3" t="s">
        <v>540</v>
      </c>
      <c r="H197" s="2">
        <v>45028</v>
      </c>
      <c r="I197" s="3">
        <v>2</v>
      </c>
      <c r="J197" s="3" t="s">
        <v>542</v>
      </c>
      <c r="K197" s="3" t="s">
        <v>1130</v>
      </c>
      <c r="L197" s="3" t="s">
        <v>700</v>
      </c>
      <c r="M197" s="3">
        <v>63</v>
      </c>
      <c r="N197" s="3">
        <v>79</v>
      </c>
      <c r="O197" s="3">
        <v>157</v>
      </c>
      <c r="P197" s="3" t="s">
        <v>191</v>
      </c>
      <c r="Q197" s="3" t="s">
        <v>26</v>
      </c>
      <c r="S197" s="3" t="s">
        <v>664</v>
      </c>
      <c r="T197" s="3" t="s">
        <v>43</v>
      </c>
      <c r="U197" s="3">
        <v>7</v>
      </c>
      <c r="V197" s="3">
        <v>1</v>
      </c>
      <c r="W197" s="3" t="s">
        <v>34</v>
      </c>
      <c r="X197" s="3" t="s">
        <v>192</v>
      </c>
      <c r="Y197" s="3">
        <v>1</v>
      </c>
      <c r="Z197" s="3">
        <v>1</v>
      </c>
      <c r="AA197" s="3" t="s">
        <v>28</v>
      </c>
      <c r="AB197" s="3" t="s">
        <v>193</v>
      </c>
      <c r="AC197" s="3" t="s">
        <v>664</v>
      </c>
      <c r="AD197" s="3" t="s">
        <v>30</v>
      </c>
      <c r="AE197" s="3" t="s">
        <v>38</v>
      </c>
      <c r="AF197" s="3" t="s">
        <v>664</v>
      </c>
      <c r="AG197" s="3" t="s">
        <v>48</v>
      </c>
    </row>
    <row r="198" spans="1:33" ht="15.75" customHeight="1">
      <c r="A198" s="1">
        <v>45170.376103668983</v>
      </c>
      <c r="B198" s="3" t="s">
        <v>1024</v>
      </c>
      <c r="C198" s="2">
        <v>31301</v>
      </c>
      <c r="D198" s="3">
        <v>37</v>
      </c>
      <c r="E198" s="3" t="s">
        <v>510</v>
      </c>
      <c r="F198" s="3" t="s">
        <v>533</v>
      </c>
      <c r="G198" s="3" t="s">
        <v>540</v>
      </c>
      <c r="H198" s="2">
        <v>44924</v>
      </c>
      <c r="I198" s="3">
        <v>2</v>
      </c>
      <c r="J198" s="3" t="s">
        <v>541</v>
      </c>
      <c r="K198" s="3" t="s">
        <v>1131</v>
      </c>
      <c r="L198" s="3">
        <v>38</v>
      </c>
      <c r="M198" s="3">
        <v>63</v>
      </c>
      <c r="N198" s="3">
        <v>75</v>
      </c>
      <c r="O198" s="3">
        <v>1.7</v>
      </c>
      <c r="P198" s="3" t="s">
        <v>33</v>
      </c>
      <c r="Q198" s="3" t="s">
        <v>26</v>
      </c>
      <c r="S198" s="3" t="s">
        <v>664</v>
      </c>
      <c r="T198" s="3" t="s">
        <v>27</v>
      </c>
      <c r="U198" s="3">
        <v>7</v>
      </c>
      <c r="V198" s="3">
        <v>1</v>
      </c>
      <c r="W198" s="3" t="s">
        <v>34</v>
      </c>
      <c r="X198" s="3" t="s">
        <v>35</v>
      </c>
      <c r="Y198" s="3">
        <v>7</v>
      </c>
      <c r="Z198" s="3">
        <v>1</v>
      </c>
      <c r="AA198" s="3" t="s">
        <v>28</v>
      </c>
      <c r="AB198" s="3" t="s">
        <v>29</v>
      </c>
      <c r="AC198" s="3" t="s">
        <v>664</v>
      </c>
      <c r="AD198" s="3" t="s">
        <v>194</v>
      </c>
      <c r="AE198" s="3" t="s">
        <v>31</v>
      </c>
      <c r="AF198" s="3" t="s">
        <v>664</v>
      </c>
      <c r="AG198" s="3" t="s">
        <v>32</v>
      </c>
    </row>
    <row r="199" spans="1:33" ht="15.75" customHeight="1">
      <c r="A199" s="1">
        <v>45170.377180740739</v>
      </c>
      <c r="B199" s="3" t="s">
        <v>1024</v>
      </c>
      <c r="C199" s="2">
        <v>36998</v>
      </c>
      <c r="D199" s="3">
        <v>22</v>
      </c>
      <c r="E199" s="3" t="s">
        <v>510</v>
      </c>
      <c r="F199" s="3" t="s">
        <v>520</v>
      </c>
      <c r="G199" s="3" t="s">
        <v>539</v>
      </c>
      <c r="H199" s="2">
        <v>45009</v>
      </c>
      <c r="I199" s="3">
        <v>1</v>
      </c>
      <c r="J199" s="3" t="s">
        <v>542</v>
      </c>
      <c r="K199" s="3" t="s">
        <v>1132</v>
      </c>
      <c r="L199" s="3" t="s">
        <v>636</v>
      </c>
      <c r="M199" s="3">
        <v>110</v>
      </c>
      <c r="N199" s="3">
        <v>100</v>
      </c>
      <c r="O199" s="3">
        <v>168</v>
      </c>
      <c r="P199" s="3" t="s">
        <v>50</v>
      </c>
      <c r="Q199" s="3" t="s">
        <v>26</v>
      </c>
      <c r="S199" s="3" t="s">
        <v>664</v>
      </c>
      <c r="T199" s="3" t="s">
        <v>43</v>
      </c>
      <c r="U199" s="3">
        <v>7</v>
      </c>
      <c r="V199" s="3">
        <v>1</v>
      </c>
      <c r="W199" s="3" t="s">
        <v>26</v>
      </c>
      <c r="AA199" s="3" t="s">
        <v>49</v>
      </c>
      <c r="AB199" s="3" t="s">
        <v>29</v>
      </c>
      <c r="AC199" s="3" t="s">
        <v>664</v>
      </c>
      <c r="AD199" s="3" t="s">
        <v>30</v>
      </c>
      <c r="AE199" s="3" t="s">
        <v>38</v>
      </c>
      <c r="AF199" s="3" t="s">
        <v>664</v>
      </c>
      <c r="AG199" s="3" t="s">
        <v>39</v>
      </c>
    </row>
    <row r="200" spans="1:33" ht="15.75" customHeight="1">
      <c r="A200" s="1">
        <v>45170.390991886576</v>
      </c>
      <c r="B200" s="3" t="s">
        <v>1024</v>
      </c>
      <c r="C200" s="2">
        <v>30435</v>
      </c>
      <c r="D200" s="3">
        <v>40</v>
      </c>
      <c r="E200" s="3" t="s">
        <v>510</v>
      </c>
      <c r="F200" s="3" t="s">
        <v>521</v>
      </c>
      <c r="G200" s="3" t="s">
        <v>539</v>
      </c>
      <c r="H200" s="2">
        <v>44152</v>
      </c>
      <c r="I200" s="3">
        <v>2</v>
      </c>
      <c r="J200" s="3" t="s">
        <v>542</v>
      </c>
      <c r="K200" s="3">
        <v>2950</v>
      </c>
      <c r="L200" s="3" t="s">
        <v>623</v>
      </c>
      <c r="M200" s="3">
        <v>63</v>
      </c>
      <c r="N200" s="3">
        <v>69</v>
      </c>
      <c r="O200" s="3">
        <v>149</v>
      </c>
      <c r="P200" s="3" t="s">
        <v>33</v>
      </c>
      <c r="Q200" s="3" t="s">
        <v>26</v>
      </c>
      <c r="S200" s="3" t="s">
        <v>664</v>
      </c>
      <c r="T200" s="3" t="s">
        <v>57</v>
      </c>
      <c r="U200" s="3">
        <v>7</v>
      </c>
      <c r="V200" s="3">
        <v>1</v>
      </c>
      <c r="W200" s="3" t="s">
        <v>34</v>
      </c>
      <c r="Y200" s="3">
        <v>7</v>
      </c>
      <c r="Z200" s="3">
        <v>1</v>
      </c>
      <c r="AA200" s="3" t="s">
        <v>49</v>
      </c>
      <c r="AB200" s="3" t="s">
        <v>29</v>
      </c>
      <c r="AC200" s="3" t="s">
        <v>664</v>
      </c>
      <c r="AD200" s="3" t="s">
        <v>55</v>
      </c>
      <c r="AE200" s="3" t="s">
        <v>72</v>
      </c>
      <c r="AF200" s="3" t="s">
        <v>664</v>
      </c>
      <c r="AG200" s="3" t="s">
        <v>39</v>
      </c>
    </row>
    <row r="201" spans="1:33" ht="15.75" customHeight="1">
      <c r="A201" s="1">
        <v>45170.395062453703</v>
      </c>
      <c r="B201" s="3" t="s">
        <v>1024</v>
      </c>
      <c r="C201" s="2">
        <v>34325</v>
      </c>
      <c r="D201" s="3">
        <v>29</v>
      </c>
      <c r="E201" s="3" t="s">
        <v>510</v>
      </c>
      <c r="F201" s="3" t="s">
        <v>525</v>
      </c>
      <c r="G201" s="3" t="s">
        <v>539</v>
      </c>
      <c r="H201" s="2">
        <v>44916</v>
      </c>
      <c r="I201" s="3">
        <v>1</v>
      </c>
      <c r="J201" s="3" t="s">
        <v>541</v>
      </c>
      <c r="K201" s="3">
        <v>4219</v>
      </c>
      <c r="L201" s="3">
        <v>41</v>
      </c>
      <c r="M201" s="3">
        <v>57</v>
      </c>
      <c r="N201" s="3">
        <v>64</v>
      </c>
      <c r="O201" s="3">
        <v>163</v>
      </c>
      <c r="P201" s="3" t="s">
        <v>33</v>
      </c>
      <c r="Q201" s="3" t="s">
        <v>26</v>
      </c>
      <c r="S201" s="3" t="s">
        <v>664</v>
      </c>
      <c r="T201" s="3" t="s">
        <v>43</v>
      </c>
      <c r="U201" s="3">
        <v>7</v>
      </c>
      <c r="V201" s="3">
        <v>1</v>
      </c>
      <c r="W201" s="3" t="s">
        <v>34</v>
      </c>
      <c r="X201" s="3" t="s">
        <v>128</v>
      </c>
      <c r="Y201" s="3">
        <v>7</v>
      </c>
      <c r="Z201" s="3">
        <v>1</v>
      </c>
      <c r="AA201" s="3" t="s">
        <v>49</v>
      </c>
      <c r="AB201" s="3" t="s">
        <v>29</v>
      </c>
      <c r="AC201" s="3" t="s">
        <v>664</v>
      </c>
      <c r="AD201" s="3" t="s">
        <v>37</v>
      </c>
      <c r="AE201" s="3" t="s">
        <v>72</v>
      </c>
      <c r="AF201" s="3" t="s">
        <v>664</v>
      </c>
      <c r="AG201" s="3" t="s">
        <v>32</v>
      </c>
    </row>
    <row r="202" spans="1:33" ht="15.75" customHeight="1">
      <c r="A202" s="1">
        <v>45170.432111539354</v>
      </c>
      <c r="B202" s="3" t="s">
        <v>1024</v>
      </c>
      <c r="C202" s="2">
        <v>34552</v>
      </c>
      <c r="D202" s="3">
        <v>29</v>
      </c>
      <c r="E202" s="3" t="s">
        <v>510</v>
      </c>
      <c r="F202" s="3" t="s">
        <v>520</v>
      </c>
      <c r="G202" s="3" t="s">
        <v>537</v>
      </c>
      <c r="H202" s="2">
        <v>44720</v>
      </c>
      <c r="I202" s="3">
        <v>1</v>
      </c>
      <c r="J202" s="3" t="s">
        <v>542</v>
      </c>
      <c r="K202" s="3" t="s">
        <v>1133</v>
      </c>
      <c r="L202" s="3" t="s">
        <v>1134</v>
      </c>
      <c r="M202" s="3">
        <v>84</v>
      </c>
      <c r="N202" s="3">
        <v>100</v>
      </c>
      <c r="O202" s="3" t="s">
        <v>1135</v>
      </c>
      <c r="P202" s="3" t="s">
        <v>173</v>
      </c>
      <c r="Q202" s="3" t="s">
        <v>26</v>
      </c>
      <c r="S202" s="3" t="s">
        <v>664</v>
      </c>
      <c r="T202" s="3" t="s">
        <v>43</v>
      </c>
      <c r="U202" s="3">
        <v>7</v>
      </c>
      <c r="V202" s="3">
        <v>1</v>
      </c>
      <c r="W202" s="3" t="s">
        <v>34</v>
      </c>
      <c r="X202" s="3" t="s">
        <v>195</v>
      </c>
      <c r="Y202" s="3">
        <v>7</v>
      </c>
      <c r="Z202" s="3">
        <v>1</v>
      </c>
      <c r="AA202" s="3" t="s">
        <v>114</v>
      </c>
      <c r="AB202" s="3" t="s">
        <v>83</v>
      </c>
      <c r="AC202" s="3" t="s">
        <v>664</v>
      </c>
      <c r="AD202" s="3" t="s">
        <v>196</v>
      </c>
      <c r="AE202" s="3" t="s">
        <v>38</v>
      </c>
      <c r="AF202" s="3" t="s">
        <v>664</v>
      </c>
      <c r="AG202" s="3" t="s">
        <v>62</v>
      </c>
    </row>
    <row r="203" spans="1:33" ht="15.75" customHeight="1">
      <c r="A203" s="1">
        <v>45170.506960949075</v>
      </c>
      <c r="B203" s="3" t="s">
        <v>1024</v>
      </c>
      <c r="C203" s="2">
        <v>36267</v>
      </c>
      <c r="D203" s="3">
        <v>24</v>
      </c>
      <c r="E203" s="3" t="s">
        <v>510</v>
      </c>
      <c r="F203" s="3" t="s">
        <v>520</v>
      </c>
      <c r="G203" s="3" t="s">
        <v>538</v>
      </c>
      <c r="H203" s="2">
        <v>44756</v>
      </c>
      <c r="I203" s="3">
        <v>1</v>
      </c>
      <c r="J203" s="3" t="s">
        <v>541</v>
      </c>
      <c r="K203" s="3" t="s">
        <v>1136</v>
      </c>
      <c r="L203" s="3" t="s">
        <v>701</v>
      </c>
      <c r="M203" s="3">
        <v>84</v>
      </c>
      <c r="N203" s="3">
        <v>102</v>
      </c>
      <c r="O203" s="3">
        <v>162</v>
      </c>
      <c r="P203" s="3" t="s">
        <v>50</v>
      </c>
      <c r="Q203" s="3" t="s">
        <v>26</v>
      </c>
      <c r="S203" s="3" t="s">
        <v>664</v>
      </c>
      <c r="T203" s="3" t="s">
        <v>79</v>
      </c>
      <c r="U203" s="3">
        <v>7</v>
      </c>
      <c r="V203" s="3">
        <v>1</v>
      </c>
      <c r="W203" s="3" t="s">
        <v>26</v>
      </c>
      <c r="AA203" s="3" t="s">
        <v>49</v>
      </c>
      <c r="AB203" s="3" t="s">
        <v>29</v>
      </c>
      <c r="AC203" s="3" t="s">
        <v>664</v>
      </c>
      <c r="AD203" s="3" t="s">
        <v>30</v>
      </c>
      <c r="AE203" s="3" t="s">
        <v>38</v>
      </c>
      <c r="AF203" s="3" t="s">
        <v>664</v>
      </c>
      <c r="AG203" s="3" t="s">
        <v>39</v>
      </c>
    </row>
    <row r="204" spans="1:33" ht="15.75" customHeight="1">
      <c r="A204" s="1">
        <v>45170.530502187496</v>
      </c>
      <c r="B204" s="3" t="s">
        <v>1024</v>
      </c>
      <c r="C204" s="2">
        <v>33421</v>
      </c>
      <c r="D204" s="3">
        <v>32</v>
      </c>
      <c r="E204" s="3" t="s">
        <v>510</v>
      </c>
      <c r="F204" s="3" t="s">
        <v>520</v>
      </c>
      <c r="G204" s="3" t="s">
        <v>539</v>
      </c>
      <c r="H204" s="2">
        <v>44500</v>
      </c>
      <c r="I204" s="3">
        <v>1</v>
      </c>
      <c r="J204" s="3" t="s">
        <v>541</v>
      </c>
      <c r="K204" s="3">
        <v>1895</v>
      </c>
      <c r="L204" s="3" t="s">
        <v>702</v>
      </c>
      <c r="M204" s="3">
        <v>58</v>
      </c>
      <c r="N204" s="3">
        <v>65</v>
      </c>
      <c r="O204" s="3">
        <v>154</v>
      </c>
      <c r="P204" s="3" t="s">
        <v>33</v>
      </c>
      <c r="Q204" s="3" t="s">
        <v>26</v>
      </c>
      <c r="S204" s="3" t="s">
        <v>664</v>
      </c>
      <c r="T204" s="3" t="s">
        <v>43</v>
      </c>
      <c r="U204" s="3">
        <v>7</v>
      </c>
      <c r="V204" s="3">
        <v>1</v>
      </c>
      <c r="W204" s="3" t="s">
        <v>34</v>
      </c>
      <c r="X204" s="3" t="s">
        <v>197</v>
      </c>
      <c r="Y204" s="3">
        <v>7</v>
      </c>
      <c r="Z204" s="3">
        <v>1</v>
      </c>
      <c r="AA204" s="3" t="s">
        <v>28</v>
      </c>
      <c r="AB204" s="3" t="s">
        <v>198</v>
      </c>
      <c r="AC204" s="3" t="s">
        <v>664</v>
      </c>
      <c r="AD204" s="3" t="s">
        <v>30</v>
      </c>
      <c r="AE204" s="3" t="s">
        <v>38</v>
      </c>
      <c r="AF204" s="3" t="s">
        <v>664</v>
      </c>
      <c r="AG204" s="3" t="s">
        <v>32</v>
      </c>
    </row>
    <row r="205" spans="1:33" ht="15.75" customHeight="1">
      <c r="A205" s="1">
        <v>45170.531803124999</v>
      </c>
      <c r="B205" s="3" t="s">
        <v>1024</v>
      </c>
      <c r="C205" s="2">
        <v>44596</v>
      </c>
      <c r="D205" s="3">
        <v>33</v>
      </c>
      <c r="E205" s="3" t="s">
        <v>510</v>
      </c>
      <c r="F205" s="3" t="s">
        <v>521</v>
      </c>
      <c r="G205" s="3" t="s">
        <v>539</v>
      </c>
      <c r="H205" s="2">
        <v>44596</v>
      </c>
      <c r="I205" s="3">
        <v>1</v>
      </c>
      <c r="J205" s="3" t="s">
        <v>541</v>
      </c>
      <c r="K205" s="3">
        <v>4150</v>
      </c>
      <c r="L205" s="3" t="s">
        <v>650</v>
      </c>
      <c r="M205" s="3">
        <v>83</v>
      </c>
      <c r="N205" s="3">
        <v>89</v>
      </c>
      <c r="O205" s="3">
        <v>163</v>
      </c>
      <c r="P205" s="3" t="s">
        <v>33</v>
      </c>
      <c r="Q205" s="3" t="s">
        <v>26</v>
      </c>
      <c r="S205" s="3" t="s">
        <v>664</v>
      </c>
      <c r="T205" s="3" t="s">
        <v>56</v>
      </c>
      <c r="U205" s="3">
        <v>7</v>
      </c>
      <c r="V205" s="3">
        <v>1</v>
      </c>
      <c r="W205" s="3" t="s">
        <v>26</v>
      </c>
      <c r="AA205" s="3" t="s">
        <v>28</v>
      </c>
      <c r="AB205" s="3" t="s">
        <v>29</v>
      </c>
      <c r="AC205" s="3" t="s">
        <v>664</v>
      </c>
      <c r="AD205" s="3" t="s">
        <v>55</v>
      </c>
      <c r="AE205" s="3" t="s">
        <v>31</v>
      </c>
      <c r="AF205" s="3" t="s">
        <v>664</v>
      </c>
      <c r="AG205" s="3" t="s">
        <v>32</v>
      </c>
    </row>
    <row r="206" spans="1:33" ht="15.75" customHeight="1">
      <c r="A206" s="1">
        <v>45170.614335358798</v>
      </c>
      <c r="B206" s="3" t="s">
        <v>1024</v>
      </c>
      <c r="C206" s="2">
        <v>33225</v>
      </c>
      <c r="D206" s="3">
        <v>32</v>
      </c>
      <c r="E206" s="3" t="s">
        <v>510</v>
      </c>
      <c r="F206" s="3" t="s">
        <v>523</v>
      </c>
      <c r="G206" s="3" t="s">
        <v>538</v>
      </c>
      <c r="H206" s="2">
        <v>44186</v>
      </c>
      <c r="I206" s="3">
        <v>1</v>
      </c>
      <c r="J206" s="3" t="s">
        <v>542</v>
      </c>
      <c r="K206" s="3">
        <v>3250</v>
      </c>
      <c r="L206" s="3" t="s">
        <v>661</v>
      </c>
      <c r="M206" s="3">
        <v>62</v>
      </c>
      <c r="N206" s="3">
        <v>78</v>
      </c>
      <c r="O206" s="3">
        <v>158</v>
      </c>
      <c r="P206" s="3" t="s">
        <v>50</v>
      </c>
      <c r="Q206" s="3" t="s">
        <v>26</v>
      </c>
      <c r="S206" s="3" t="s">
        <v>664</v>
      </c>
      <c r="T206" s="3" t="s">
        <v>79</v>
      </c>
      <c r="U206" s="3">
        <v>7</v>
      </c>
      <c r="V206" s="3">
        <v>1</v>
      </c>
      <c r="W206" s="3" t="s">
        <v>34</v>
      </c>
      <c r="X206" s="3" t="s">
        <v>689</v>
      </c>
      <c r="Y206" s="3">
        <v>7</v>
      </c>
      <c r="Z206" s="3">
        <v>1</v>
      </c>
      <c r="AA206" s="3" t="s">
        <v>49</v>
      </c>
      <c r="AB206" s="3" t="s">
        <v>29</v>
      </c>
      <c r="AC206" s="3" t="s">
        <v>664</v>
      </c>
      <c r="AD206" s="3" t="s">
        <v>30</v>
      </c>
      <c r="AE206" s="3" t="s">
        <v>31</v>
      </c>
      <c r="AF206" s="3" t="s">
        <v>664</v>
      </c>
      <c r="AG206" s="3" t="s">
        <v>32</v>
      </c>
    </row>
    <row r="207" spans="1:33" ht="15.75" customHeight="1">
      <c r="A207" s="1">
        <v>45170.647222037034</v>
      </c>
      <c r="B207" s="3" t="s">
        <v>1024</v>
      </c>
      <c r="C207" s="2">
        <v>35001</v>
      </c>
      <c r="D207" s="3">
        <v>27</v>
      </c>
      <c r="E207" s="3" t="s">
        <v>510</v>
      </c>
      <c r="F207" s="3" t="s">
        <v>520</v>
      </c>
      <c r="G207" s="3" t="s">
        <v>539</v>
      </c>
      <c r="H207" s="2">
        <v>44896</v>
      </c>
      <c r="I207" s="3">
        <v>1</v>
      </c>
      <c r="J207" s="3" t="s">
        <v>542</v>
      </c>
      <c r="K207" s="3" t="s">
        <v>1137</v>
      </c>
      <c r="L207" s="3" t="s">
        <v>703</v>
      </c>
      <c r="M207" s="3">
        <v>64</v>
      </c>
      <c r="N207" s="3">
        <v>90</v>
      </c>
      <c r="O207" s="3">
        <v>165</v>
      </c>
      <c r="P207" s="3" t="s">
        <v>50</v>
      </c>
      <c r="Q207" s="3" t="s">
        <v>26</v>
      </c>
      <c r="S207" s="3" t="s">
        <v>664</v>
      </c>
      <c r="T207" s="3" t="s">
        <v>27</v>
      </c>
      <c r="U207" s="3">
        <v>7</v>
      </c>
      <c r="V207" s="3">
        <v>1</v>
      </c>
      <c r="W207" s="3" t="s">
        <v>26</v>
      </c>
      <c r="AA207" s="3" t="s">
        <v>36</v>
      </c>
      <c r="AB207" s="3" t="s">
        <v>29</v>
      </c>
      <c r="AC207" s="3" t="s">
        <v>664</v>
      </c>
      <c r="AD207" s="3" t="s">
        <v>30</v>
      </c>
      <c r="AE207" s="3" t="s">
        <v>31</v>
      </c>
      <c r="AF207" s="3" t="s">
        <v>664</v>
      </c>
      <c r="AG207" s="3" t="s">
        <v>76</v>
      </c>
    </row>
    <row r="208" spans="1:33" ht="15.75" customHeight="1">
      <c r="A208" s="1">
        <v>45170.649883923616</v>
      </c>
      <c r="B208" s="3" t="s">
        <v>1024</v>
      </c>
      <c r="C208" s="2">
        <v>32099</v>
      </c>
      <c r="D208" s="3">
        <v>35</v>
      </c>
      <c r="E208" s="3" t="s">
        <v>510</v>
      </c>
      <c r="F208" s="3" t="s">
        <v>520</v>
      </c>
      <c r="G208" s="3" t="s">
        <v>539</v>
      </c>
      <c r="H208" s="2">
        <v>44322</v>
      </c>
      <c r="I208" s="3">
        <v>3</v>
      </c>
      <c r="J208" s="3" t="s">
        <v>542</v>
      </c>
      <c r="K208" s="3">
        <v>3250</v>
      </c>
      <c r="L208" s="3" t="s">
        <v>627</v>
      </c>
      <c r="M208" s="3">
        <v>70</v>
      </c>
      <c r="N208" s="3">
        <v>77</v>
      </c>
      <c r="O208" s="3">
        <v>144</v>
      </c>
      <c r="P208" s="3" t="s">
        <v>33</v>
      </c>
      <c r="Q208" s="3" t="s">
        <v>26</v>
      </c>
      <c r="S208" s="3" t="s">
        <v>664</v>
      </c>
      <c r="T208" s="3" t="s">
        <v>166</v>
      </c>
      <c r="U208" s="3">
        <v>7</v>
      </c>
      <c r="V208" s="3">
        <v>1</v>
      </c>
      <c r="W208" s="3" t="s">
        <v>26</v>
      </c>
      <c r="AA208" s="3" t="s">
        <v>42</v>
      </c>
      <c r="AB208" s="3" t="s">
        <v>29</v>
      </c>
      <c r="AC208" s="3" t="s">
        <v>664</v>
      </c>
      <c r="AD208" s="3" t="s">
        <v>30</v>
      </c>
      <c r="AE208" s="3" t="s">
        <v>31</v>
      </c>
      <c r="AF208" s="3" t="s">
        <v>664</v>
      </c>
      <c r="AG208" s="3" t="s">
        <v>62</v>
      </c>
    </row>
    <row r="209" spans="1:33" ht="15.75" customHeight="1">
      <c r="A209" s="1">
        <v>45170.661409976849</v>
      </c>
      <c r="B209" s="3" t="s">
        <v>1024</v>
      </c>
      <c r="C209" s="2">
        <v>31980</v>
      </c>
      <c r="D209" s="3">
        <v>36</v>
      </c>
      <c r="E209" s="3" t="s">
        <v>510</v>
      </c>
      <c r="F209" s="3" t="s">
        <v>520</v>
      </c>
      <c r="G209" s="3" t="s">
        <v>540</v>
      </c>
      <c r="H209" s="2">
        <v>43435</v>
      </c>
      <c r="I209" s="3">
        <v>1</v>
      </c>
      <c r="J209" s="3" t="s">
        <v>541</v>
      </c>
      <c r="K209" s="3">
        <v>3330</v>
      </c>
      <c r="L209" s="3">
        <v>40</v>
      </c>
      <c r="M209" s="3">
        <v>50</v>
      </c>
      <c r="N209" s="3">
        <v>60</v>
      </c>
      <c r="O209" s="3">
        <v>163</v>
      </c>
      <c r="P209" s="3" t="s">
        <v>33</v>
      </c>
      <c r="Q209" s="3" t="s">
        <v>26</v>
      </c>
      <c r="S209" s="3" t="s">
        <v>664</v>
      </c>
      <c r="T209" s="3" t="s">
        <v>41</v>
      </c>
      <c r="U209" s="3">
        <v>7</v>
      </c>
      <c r="V209" s="3">
        <v>1</v>
      </c>
      <c r="W209" s="3" t="s">
        <v>34</v>
      </c>
      <c r="X209" s="3" t="s">
        <v>58</v>
      </c>
      <c r="Y209" s="3">
        <v>7</v>
      </c>
      <c r="Z209" s="3">
        <v>1</v>
      </c>
      <c r="AA209" s="3" t="s">
        <v>36</v>
      </c>
      <c r="AB209" s="3" t="s">
        <v>199</v>
      </c>
      <c r="AC209" s="3" t="s">
        <v>664</v>
      </c>
      <c r="AD209" s="3" t="s">
        <v>37</v>
      </c>
      <c r="AE209" s="3" t="s">
        <v>38</v>
      </c>
      <c r="AF209" s="3" t="s">
        <v>664</v>
      </c>
      <c r="AG209" s="3" t="s">
        <v>39</v>
      </c>
    </row>
    <row r="210" spans="1:33" ht="15.75" customHeight="1">
      <c r="A210" s="1">
        <v>45170.671496585652</v>
      </c>
      <c r="B210" s="3" t="s">
        <v>1024</v>
      </c>
      <c r="C210" s="2">
        <v>34529</v>
      </c>
      <c r="D210" s="3">
        <v>29</v>
      </c>
      <c r="E210" s="3" t="s">
        <v>510</v>
      </c>
      <c r="F210" s="3" t="s">
        <v>521</v>
      </c>
      <c r="G210" s="3" t="s">
        <v>539</v>
      </c>
      <c r="H210" s="2">
        <v>44909</v>
      </c>
      <c r="I210" s="3">
        <v>2</v>
      </c>
      <c r="J210" s="3" t="s">
        <v>541</v>
      </c>
      <c r="K210" s="3" t="s">
        <v>1138</v>
      </c>
      <c r="L210" s="3" t="s">
        <v>618</v>
      </c>
      <c r="M210" s="3">
        <v>94</v>
      </c>
      <c r="N210" s="3">
        <v>99</v>
      </c>
      <c r="O210" s="3">
        <v>158</v>
      </c>
      <c r="P210" s="3" t="s">
        <v>44</v>
      </c>
      <c r="Q210" s="3" t="s">
        <v>26</v>
      </c>
      <c r="S210" s="3" t="s">
        <v>664</v>
      </c>
      <c r="T210" s="3" t="s">
        <v>79</v>
      </c>
      <c r="U210" s="3">
        <v>7</v>
      </c>
      <c r="V210" s="3">
        <v>1</v>
      </c>
      <c r="W210" s="3" t="s">
        <v>26</v>
      </c>
      <c r="AA210" s="3" t="s">
        <v>28</v>
      </c>
      <c r="AB210" s="3" t="s">
        <v>29</v>
      </c>
      <c r="AC210" s="3" t="s">
        <v>664</v>
      </c>
      <c r="AD210" s="3" t="s">
        <v>30</v>
      </c>
      <c r="AE210" s="3" t="s">
        <v>38</v>
      </c>
      <c r="AF210" s="3" t="s">
        <v>664</v>
      </c>
      <c r="AG210" s="3" t="s">
        <v>32</v>
      </c>
    </row>
    <row r="211" spans="1:33" ht="15.75" customHeight="1">
      <c r="A211" s="1">
        <v>45170.696509606481</v>
      </c>
      <c r="B211" s="3" t="s">
        <v>1024</v>
      </c>
      <c r="C211" s="2">
        <v>30641</v>
      </c>
      <c r="D211" s="3">
        <v>39</v>
      </c>
      <c r="E211" s="3" t="s">
        <v>510</v>
      </c>
      <c r="F211" s="3" t="s">
        <v>520</v>
      </c>
      <c r="G211" s="3" t="s">
        <v>537</v>
      </c>
      <c r="H211" s="2">
        <v>44236</v>
      </c>
      <c r="I211" s="3">
        <v>1</v>
      </c>
      <c r="J211" s="3" t="s">
        <v>541</v>
      </c>
      <c r="K211" s="3" t="s">
        <v>1139</v>
      </c>
      <c r="L211" s="3" t="s">
        <v>704</v>
      </c>
      <c r="M211" s="3">
        <v>86</v>
      </c>
      <c r="N211" s="3">
        <v>90</v>
      </c>
      <c r="O211" s="3">
        <v>167</v>
      </c>
      <c r="P211" s="3" t="s">
        <v>33</v>
      </c>
      <c r="Q211" s="3" t="s">
        <v>26</v>
      </c>
      <c r="S211" s="3" t="s">
        <v>26</v>
      </c>
      <c r="T211" s="3" t="s">
        <v>121</v>
      </c>
      <c r="W211" s="3" t="s">
        <v>34</v>
      </c>
      <c r="X211" s="3" t="s">
        <v>35</v>
      </c>
      <c r="Y211" s="3">
        <v>7</v>
      </c>
      <c r="Z211" s="3">
        <v>1</v>
      </c>
      <c r="AA211" s="3" t="s">
        <v>36</v>
      </c>
      <c r="AB211" s="3" t="s">
        <v>29</v>
      </c>
      <c r="AC211" s="3" t="s">
        <v>664</v>
      </c>
      <c r="AD211" s="3" t="s">
        <v>30</v>
      </c>
      <c r="AE211" s="3" t="s">
        <v>31</v>
      </c>
      <c r="AF211" s="3" t="s">
        <v>664</v>
      </c>
      <c r="AG211" s="3" t="s">
        <v>32</v>
      </c>
    </row>
    <row r="212" spans="1:33" ht="15.75" customHeight="1">
      <c r="A212" s="1">
        <v>45170.732403402777</v>
      </c>
      <c r="B212" s="3" t="s">
        <v>1024</v>
      </c>
      <c r="C212" s="2">
        <v>32642</v>
      </c>
      <c r="D212" s="3">
        <v>34</v>
      </c>
      <c r="E212" s="3" t="s">
        <v>510</v>
      </c>
      <c r="F212" s="3" t="s">
        <v>520</v>
      </c>
      <c r="G212" s="3" t="s">
        <v>539</v>
      </c>
      <c r="H212" s="2">
        <v>44685</v>
      </c>
      <c r="I212" s="3">
        <v>1</v>
      </c>
      <c r="J212" s="3" t="s">
        <v>542</v>
      </c>
      <c r="K212" s="3">
        <v>2960</v>
      </c>
      <c r="L212" s="3">
        <v>39</v>
      </c>
      <c r="M212" s="3">
        <v>71</v>
      </c>
      <c r="N212" s="3">
        <v>81</v>
      </c>
      <c r="O212" s="3">
        <v>160</v>
      </c>
      <c r="P212" s="3" t="s">
        <v>33</v>
      </c>
      <c r="Q212" s="3" t="s">
        <v>26</v>
      </c>
      <c r="S212" s="3" t="s">
        <v>664</v>
      </c>
      <c r="T212" s="3" t="s">
        <v>200</v>
      </c>
      <c r="U212" s="3">
        <v>7</v>
      </c>
      <c r="V212" s="3">
        <v>1</v>
      </c>
      <c r="W212" s="3" t="s">
        <v>26</v>
      </c>
      <c r="AA212" s="3" t="s">
        <v>42</v>
      </c>
      <c r="AB212" s="3" t="s">
        <v>29</v>
      </c>
      <c r="AC212" s="3" t="s">
        <v>664</v>
      </c>
      <c r="AD212" s="3" t="s">
        <v>37</v>
      </c>
      <c r="AE212" s="3" t="s">
        <v>31</v>
      </c>
      <c r="AF212" s="3" t="s">
        <v>664</v>
      </c>
      <c r="AG212" s="3" t="s">
        <v>94</v>
      </c>
    </row>
    <row r="213" spans="1:33" ht="15.75" customHeight="1">
      <c r="A213" s="1">
        <v>45170.801967928244</v>
      </c>
      <c r="B213" s="3" t="s">
        <v>1024</v>
      </c>
      <c r="C213" s="2">
        <v>33835</v>
      </c>
      <c r="D213" s="3">
        <v>31</v>
      </c>
      <c r="E213" s="3" t="s">
        <v>510</v>
      </c>
      <c r="F213" s="3" t="s">
        <v>520</v>
      </c>
      <c r="G213" s="3" t="s">
        <v>539</v>
      </c>
      <c r="H213" s="2">
        <v>43866</v>
      </c>
      <c r="I213" s="3">
        <v>2</v>
      </c>
      <c r="J213" s="3" t="s">
        <v>542</v>
      </c>
      <c r="K213" s="3">
        <v>3190</v>
      </c>
      <c r="L213" s="3">
        <v>39.5</v>
      </c>
      <c r="M213" s="3">
        <v>56</v>
      </c>
      <c r="N213" s="3">
        <v>65</v>
      </c>
      <c r="O213" s="3">
        <v>162</v>
      </c>
      <c r="P213" s="3" t="s">
        <v>33</v>
      </c>
      <c r="Q213" s="3" t="s">
        <v>26</v>
      </c>
      <c r="S213" s="3" t="s">
        <v>664</v>
      </c>
      <c r="T213" s="3" t="s">
        <v>56</v>
      </c>
      <c r="U213" s="3">
        <v>7</v>
      </c>
      <c r="V213" s="3">
        <v>1</v>
      </c>
      <c r="W213" s="3" t="s">
        <v>26</v>
      </c>
      <c r="AA213" s="3" t="s">
        <v>49</v>
      </c>
      <c r="AB213" s="3" t="s">
        <v>29</v>
      </c>
      <c r="AC213" s="3" t="s">
        <v>26</v>
      </c>
      <c r="AD213" s="3" t="s">
        <v>55</v>
      </c>
      <c r="AE213" s="3" t="s">
        <v>31</v>
      </c>
      <c r="AF213" s="3" t="s">
        <v>664</v>
      </c>
      <c r="AG213" s="3" t="s">
        <v>39</v>
      </c>
    </row>
    <row r="214" spans="1:33" ht="15.75" customHeight="1">
      <c r="A214" s="1">
        <v>45170.831036423609</v>
      </c>
      <c r="B214" s="3" t="s">
        <v>1024</v>
      </c>
      <c r="C214" s="2">
        <v>31515</v>
      </c>
      <c r="D214" s="3">
        <v>37</v>
      </c>
      <c r="E214" s="3" t="s">
        <v>510</v>
      </c>
      <c r="F214" s="3" t="s">
        <v>520</v>
      </c>
      <c r="G214" s="3" t="s">
        <v>539</v>
      </c>
      <c r="H214" s="2">
        <v>44608</v>
      </c>
      <c r="I214" s="3">
        <v>2</v>
      </c>
      <c r="J214" s="3" t="s">
        <v>542</v>
      </c>
      <c r="K214" s="3">
        <v>3190</v>
      </c>
      <c r="L214" s="3">
        <v>38</v>
      </c>
      <c r="M214" s="3">
        <v>70</v>
      </c>
      <c r="N214" s="3">
        <v>78</v>
      </c>
      <c r="O214" s="3">
        <v>172</v>
      </c>
      <c r="P214" s="3" t="s">
        <v>33</v>
      </c>
      <c r="Q214" s="3" t="s">
        <v>26</v>
      </c>
      <c r="S214" s="3" t="s">
        <v>664</v>
      </c>
      <c r="T214" s="3" t="s">
        <v>27</v>
      </c>
      <c r="U214" s="3">
        <v>7</v>
      </c>
      <c r="V214" s="3">
        <v>1</v>
      </c>
      <c r="W214" s="3" t="s">
        <v>34</v>
      </c>
      <c r="X214" s="3" t="s">
        <v>201</v>
      </c>
      <c r="Y214" s="3">
        <v>7</v>
      </c>
      <c r="Z214" s="3" t="s">
        <v>1140</v>
      </c>
      <c r="AA214" s="3" t="s">
        <v>49</v>
      </c>
      <c r="AB214" s="3" t="s">
        <v>202</v>
      </c>
      <c r="AC214" s="3" t="s">
        <v>664</v>
      </c>
      <c r="AD214" s="3" t="s">
        <v>30</v>
      </c>
      <c r="AE214" s="3" t="s">
        <v>38</v>
      </c>
      <c r="AF214" s="3" t="s">
        <v>664</v>
      </c>
      <c r="AG214" s="3" t="s">
        <v>39</v>
      </c>
    </row>
    <row r="215" spans="1:33" ht="15.75" customHeight="1">
      <c r="A215" s="1">
        <v>45170.840560682875</v>
      </c>
      <c r="B215" s="3" t="s">
        <v>1024</v>
      </c>
      <c r="C215" s="2">
        <v>32613</v>
      </c>
      <c r="D215" s="3">
        <v>34</v>
      </c>
      <c r="E215" s="3" t="s">
        <v>510</v>
      </c>
      <c r="F215" s="3" t="s">
        <v>521</v>
      </c>
      <c r="G215" s="3" t="s">
        <v>540</v>
      </c>
      <c r="H215" s="2">
        <v>44034</v>
      </c>
      <c r="I215" s="3">
        <v>1</v>
      </c>
      <c r="J215" s="3" t="s">
        <v>542</v>
      </c>
      <c r="K215" s="3">
        <v>3950</v>
      </c>
      <c r="L215" s="3" t="s">
        <v>705</v>
      </c>
      <c r="M215" s="3">
        <v>63</v>
      </c>
      <c r="N215" s="3">
        <v>74</v>
      </c>
      <c r="O215" s="3">
        <v>161</v>
      </c>
      <c r="P215" s="3" t="s">
        <v>123</v>
      </c>
      <c r="Q215" s="3" t="s">
        <v>26</v>
      </c>
      <c r="S215" s="3" t="s">
        <v>664</v>
      </c>
      <c r="T215" s="3" t="s">
        <v>41</v>
      </c>
      <c r="U215" s="3">
        <v>7</v>
      </c>
      <c r="V215" s="3">
        <v>1</v>
      </c>
      <c r="W215" s="3" t="s">
        <v>34</v>
      </c>
      <c r="X215" s="3" t="s">
        <v>203</v>
      </c>
      <c r="Y215" s="3">
        <v>7</v>
      </c>
      <c r="Z215" s="3">
        <v>1</v>
      </c>
      <c r="AA215" s="3" t="s">
        <v>42</v>
      </c>
      <c r="AB215" s="3" t="s">
        <v>29</v>
      </c>
      <c r="AC215" s="3" t="s">
        <v>664</v>
      </c>
      <c r="AD215" s="3" t="s">
        <v>37</v>
      </c>
      <c r="AE215" s="3" t="s">
        <v>38</v>
      </c>
      <c r="AF215" s="3" t="s">
        <v>664</v>
      </c>
      <c r="AG215" s="3" t="s">
        <v>39</v>
      </c>
    </row>
    <row r="216" spans="1:33" ht="15.75" customHeight="1">
      <c r="A216" s="1">
        <v>45170.848678344904</v>
      </c>
      <c r="B216" s="3" t="s">
        <v>1024</v>
      </c>
      <c r="C216" s="2">
        <v>34652</v>
      </c>
      <c r="D216" s="3">
        <v>28</v>
      </c>
      <c r="E216" s="3" t="s">
        <v>510</v>
      </c>
      <c r="F216" s="3" t="s">
        <v>523</v>
      </c>
      <c r="G216" s="3" t="s">
        <v>539</v>
      </c>
      <c r="H216" s="2">
        <v>45137</v>
      </c>
      <c r="I216" s="3">
        <v>2</v>
      </c>
      <c r="J216" s="3" t="s">
        <v>542</v>
      </c>
      <c r="K216" s="3">
        <v>3300</v>
      </c>
      <c r="L216" s="3" t="s">
        <v>673</v>
      </c>
      <c r="M216" s="3">
        <v>55</v>
      </c>
      <c r="N216" s="3">
        <v>73</v>
      </c>
      <c r="O216" s="3">
        <v>65</v>
      </c>
      <c r="P216" s="3" t="s">
        <v>33</v>
      </c>
      <c r="Q216" s="3" t="s">
        <v>26</v>
      </c>
      <c r="S216" s="3" t="s">
        <v>26</v>
      </c>
      <c r="W216" s="3" t="s">
        <v>34</v>
      </c>
      <c r="X216" s="3" t="s">
        <v>96</v>
      </c>
      <c r="Y216" s="3">
        <v>7</v>
      </c>
      <c r="Z216" s="3">
        <v>1</v>
      </c>
      <c r="AA216" s="3" t="s">
        <v>49</v>
      </c>
      <c r="AB216" s="3" t="s">
        <v>29</v>
      </c>
      <c r="AC216" s="3" t="s">
        <v>664</v>
      </c>
      <c r="AD216" s="3" t="s">
        <v>30</v>
      </c>
      <c r="AE216" s="3" t="s">
        <v>72</v>
      </c>
      <c r="AF216" s="3" t="s">
        <v>664</v>
      </c>
      <c r="AG216" s="3" t="s">
        <v>32</v>
      </c>
    </row>
    <row r="217" spans="1:33" ht="15.75" customHeight="1">
      <c r="A217" s="1">
        <v>45170.850033680559</v>
      </c>
      <c r="B217" s="3" t="s">
        <v>1024</v>
      </c>
      <c r="C217" s="2">
        <v>33420</v>
      </c>
      <c r="D217" s="3">
        <v>32</v>
      </c>
      <c r="E217" s="3" t="s">
        <v>510</v>
      </c>
      <c r="F217" s="3" t="s">
        <v>530</v>
      </c>
      <c r="G217" s="3" t="s">
        <v>539</v>
      </c>
      <c r="H217" s="2">
        <v>44896</v>
      </c>
      <c r="I217" s="3">
        <v>1</v>
      </c>
      <c r="J217" s="3" t="s">
        <v>542</v>
      </c>
      <c r="K217" s="3">
        <v>2950</v>
      </c>
      <c r="L217" s="3">
        <v>39</v>
      </c>
      <c r="M217" s="3">
        <v>64</v>
      </c>
      <c r="N217" s="3">
        <v>76</v>
      </c>
      <c r="O217" s="3">
        <v>150</v>
      </c>
      <c r="P217" s="3" t="s">
        <v>33</v>
      </c>
      <c r="Q217" s="3" t="s">
        <v>26</v>
      </c>
      <c r="S217" s="3" t="s">
        <v>664</v>
      </c>
      <c r="T217" s="3" t="s">
        <v>79</v>
      </c>
      <c r="U217" s="3">
        <v>7</v>
      </c>
      <c r="V217" s="3">
        <v>1</v>
      </c>
      <c r="W217" s="3" t="s">
        <v>34</v>
      </c>
      <c r="X217" s="3" t="s">
        <v>655</v>
      </c>
      <c r="Y217" s="3">
        <v>7</v>
      </c>
      <c r="Z217" s="3">
        <v>1</v>
      </c>
      <c r="AA217" s="3" t="s">
        <v>49</v>
      </c>
      <c r="AB217" s="3" t="s">
        <v>558</v>
      </c>
      <c r="AC217" s="3" t="s">
        <v>664</v>
      </c>
      <c r="AD217" s="3" t="s">
        <v>30</v>
      </c>
      <c r="AE217" s="3" t="s">
        <v>31</v>
      </c>
      <c r="AF217" s="3" t="s">
        <v>664</v>
      </c>
      <c r="AG217" s="3" t="s">
        <v>39</v>
      </c>
    </row>
    <row r="218" spans="1:33" ht="15.75" customHeight="1">
      <c r="A218" s="1">
        <v>45170.867131689811</v>
      </c>
      <c r="B218" s="3" t="s">
        <v>1024</v>
      </c>
      <c r="C218" s="2">
        <v>31156</v>
      </c>
      <c r="D218" s="3">
        <v>38</v>
      </c>
      <c r="E218" s="3" t="s">
        <v>510</v>
      </c>
      <c r="F218" s="3" t="s">
        <v>520</v>
      </c>
      <c r="G218" s="3" t="s">
        <v>540</v>
      </c>
      <c r="H218" s="2">
        <v>43665</v>
      </c>
      <c r="I218" s="3">
        <v>1</v>
      </c>
      <c r="J218" s="3" t="s">
        <v>542</v>
      </c>
      <c r="K218" s="3">
        <v>3040</v>
      </c>
      <c r="L218" s="3" t="s">
        <v>706</v>
      </c>
      <c r="M218" s="3">
        <v>67</v>
      </c>
      <c r="N218" s="3">
        <v>72</v>
      </c>
      <c r="O218" s="3">
        <v>158</v>
      </c>
      <c r="P218" s="3" t="s">
        <v>44</v>
      </c>
      <c r="Q218" s="3" t="s">
        <v>26</v>
      </c>
      <c r="S218" s="3" t="s">
        <v>664</v>
      </c>
      <c r="T218" s="3" t="s">
        <v>43</v>
      </c>
      <c r="U218" s="3">
        <v>7</v>
      </c>
      <c r="V218" s="3">
        <v>1</v>
      </c>
      <c r="W218" s="3" t="s">
        <v>34</v>
      </c>
      <c r="X218" s="3" t="s">
        <v>204</v>
      </c>
      <c r="Y218" s="3">
        <v>7</v>
      </c>
      <c r="Z218" s="3">
        <v>1</v>
      </c>
      <c r="AA218" s="3" t="s">
        <v>49</v>
      </c>
      <c r="AB218" s="3" t="s">
        <v>205</v>
      </c>
      <c r="AC218" s="3" t="s">
        <v>664</v>
      </c>
      <c r="AD218" s="3" t="s">
        <v>37</v>
      </c>
      <c r="AE218" s="3" t="s">
        <v>87</v>
      </c>
      <c r="AF218" s="3" t="s">
        <v>664</v>
      </c>
      <c r="AG218" s="3" t="s">
        <v>39</v>
      </c>
    </row>
    <row r="219" spans="1:33" ht="15.75" customHeight="1">
      <c r="A219" s="1">
        <v>45170.887350844903</v>
      </c>
      <c r="B219" s="3" t="s">
        <v>1024</v>
      </c>
      <c r="C219" s="2">
        <v>34623</v>
      </c>
      <c r="D219" s="3">
        <v>28</v>
      </c>
      <c r="E219" s="3" t="s">
        <v>510</v>
      </c>
      <c r="F219" s="3" t="s">
        <v>523</v>
      </c>
      <c r="G219" s="3" t="s">
        <v>537</v>
      </c>
      <c r="H219" s="2">
        <v>45109</v>
      </c>
      <c r="I219" s="3">
        <v>2</v>
      </c>
      <c r="J219" s="3" t="s">
        <v>541</v>
      </c>
      <c r="K219" s="3" t="s">
        <v>1141</v>
      </c>
      <c r="L219" s="3" t="s">
        <v>707</v>
      </c>
      <c r="M219" s="3">
        <v>63</v>
      </c>
      <c r="N219" s="3">
        <v>73</v>
      </c>
      <c r="O219" s="3">
        <v>161</v>
      </c>
      <c r="P219" s="3" t="s">
        <v>33</v>
      </c>
      <c r="Q219" s="3" t="s">
        <v>26</v>
      </c>
      <c r="S219" s="3" t="s">
        <v>664</v>
      </c>
      <c r="T219" s="3" t="s">
        <v>206</v>
      </c>
      <c r="U219" s="3">
        <v>7</v>
      </c>
      <c r="V219" s="3">
        <v>1</v>
      </c>
      <c r="W219" s="3" t="s">
        <v>34</v>
      </c>
      <c r="X219" s="3" t="s">
        <v>207</v>
      </c>
      <c r="Y219" s="3">
        <v>7</v>
      </c>
      <c r="Z219" s="3">
        <v>1</v>
      </c>
      <c r="AA219" s="3" t="s">
        <v>49</v>
      </c>
      <c r="AB219" s="3" t="s">
        <v>29</v>
      </c>
      <c r="AC219" s="3" t="s">
        <v>664</v>
      </c>
      <c r="AD219" s="3" t="s">
        <v>55</v>
      </c>
      <c r="AE219" s="3" t="s">
        <v>72</v>
      </c>
      <c r="AF219" s="3" t="s">
        <v>664</v>
      </c>
      <c r="AG219" s="3" t="s">
        <v>48</v>
      </c>
    </row>
    <row r="220" spans="1:33" ht="15.75" customHeight="1">
      <c r="A220" s="1">
        <v>45170.893454467594</v>
      </c>
      <c r="B220" s="3" t="s">
        <v>1024</v>
      </c>
      <c r="C220" s="2">
        <v>32216</v>
      </c>
      <c r="D220" s="3">
        <v>35</v>
      </c>
      <c r="E220" s="3" t="s">
        <v>510</v>
      </c>
      <c r="F220" s="3" t="s">
        <v>520</v>
      </c>
      <c r="G220" s="3" t="s">
        <v>540</v>
      </c>
      <c r="H220" s="2">
        <v>44840</v>
      </c>
      <c r="I220" s="3">
        <v>1</v>
      </c>
      <c r="J220" s="3" t="s">
        <v>542</v>
      </c>
      <c r="K220" s="3">
        <v>2870</v>
      </c>
      <c r="L220" s="3">
        <v>39</v>
      </c>
      <c r="M220" s="3">
        <v>66</v>
      </c>
      <c r="N220" s="3">
        <v>70</v>
      </c>
      <c r="O220" s="3">
        <v>156</v>
      </c>
      <c r="P220" s="3" t="s">
        <v>33</v>
      </c>
      <c r="Q220" s="3" t="s">
        <v>26</v>
      </c>
      <c r="S220" s="3" t="s">
        <v>664</v>
      </c>
      <c r="T220" s="3" t="s">
        <v>79</v>
      </c>
      <c r="U220" s="3">
        <v>7</v>
      </c>
      <c r="V220" s="3">
        <v>1</v>
      </c>
      <c r="W220" s="3" t="s">
        <v>34</v>
      </c>
      <c r="X220" s="3" t="s">
        <v>208</v>
      </c>
      <c r="Y220" s="3">
        <v>7</v>
      </c>
      <c r="Z220" s="3">
        <v>1</v>
      </c>
      <c r="AA220" s="3" t="s">
        <v>28</v>
      </c>
      <c r="AB220" s="3" t="s">
        <v>154</v>
      </c>
      <c r="AC220" s="3" t="s">
        <v>664</v>
      </c>
      <c r="AD220" s="3" t="s">
        <v>30</v>
      </c>
      <c r="AE220" s="3" t="s">
        <v>87</v>
      </c>
      <c r="AF220" s="3" t="s">
        <v>664</v>
      </c>
      <c r="AG220" s="3" t="s">
        <v>39</v>
      </c>
    </row>
    <row r="221" spans="1:33" ht="15.75" customHeight="1">
      <c r="A221" s="1">
        <v>45170.893878692128</v>
      </c>
      <c r="B221" s="3" t="s">
        <v>1024</v>
      </c>
      <c r="C221" s="2">
        <v>33508</v>
      </c>
      <c r="D221" s="3">
        <v>31</v>
      </c>
      <c r="E221" s="3" t="s">
        <v>510</v>
      </c>
      <c r="F221" s="3" t="s">
        <v>528</v>
      </c>
      <c r="G221" s="3" t="s">
        <v>539</v>
      </c>
      <c r="H221" s="2">
        <v>44016</v>
      </c>
      <c r="I221" s="3">
        <v>1</v>
      </c>
      <c r="J221" s="3" t="s">
        <v>542</v>
      </c>
      <c r="K221" s="3">
        <v>3005</v>
      </c>
      <c r="L221" s="3">
        <v>38</v>
      </c>
      <c r="M221" s="3">
        <v>57</v>
      </c>
      <c r="N221" s="3">
        <v>67</v>
      </c>
      <c r="O221" s="3">
        <v>157</v>
      </c>
      <c r="P221" s="3" t="s">
        <v>33</v>
      </c>
      <c r="Q221" s="3" t="s">
        <v>26</v>
      </c>
      <c r="S221" s="3" t="s">
        <v>664</v>
      </c>
      <c r="T221" s="3" t="s">
        <v>209</v>
      </c>
      <c r="U221" s="3">
        <v>7</v>
      </c>
      <c r="V221" s="3">
        <v>1</v>
      </c>
      <c r="W221" s="3" t="s">
        <v>26</v>
      </c>
      <c r="AA221" s="3" t="s">
        <v>36</v>
      </c>
      <c r="AB221" s="3" t="s">
        <v>29</v>
      </c>
      <c r="AC221" s="3" t="s">
        <v>664</v>
      </c>
      <c r="AD221" s="3" t="s">
        <v>30</v>
      </c>
      <c r="AE221" s="3" t="s">
        <v>38</v>
      </c>
      <c r="AF221" s="3" t="s">
        <v>664</v>
      </c>
      <c r="AG221" s="3" t="s">
        <v>62</v>
      </c>
    </row>
    <row r="222" spans="1:33" ht="15.75" customHeight="1">
      <c r="A222" s="1">
        <v>45170.900291099533</v>
      </c>
      <c r="B222" s="3" t="s">
        <v>1024</v>
      </c>
      <c r="C222" s="2">
        <v>32526</v>
      </c>
      <c r="D222" s="3">
        <v>34</v>
      </c>
      <c r="E222" s="3" t="s">
        <v>510</v>
      </c>
      <c r="F222" s="3" t="s">
        <v>520</v>
      </c>
      <c r="G222" s="3" t="s">
        <v>539</v>
      </c>
      <c r="H222" s="2">
        <v>44970</v>
      </c>
      <c r="I222" s="3">
        <v>1</v>
      </c>
      <c r="J222" s="3" t="s">
        <v>542</v>
      </c>
      <c r="K222" s="3">
        <v>3720</v>
      </c>
      <c r="L222" s="3">
        <v>39</v>
      </c>
      <c r="M222" s="3">
        <v>78</v>
      </c>
      <c r="N222" s="3">
        <v>85</v>
      </c>
      <c r="O222" s="3">
        <v>162</v>
      </c>
      <c r="P222" s="3" t="s">
        <v>44</v>
      </c>
      <c r="Q222" s="3" t="s">
        <v>26</v>
      </c>
      <c r="S222" s="3" t="s">
        <v>664</v>
      </c>
      <c r="T222" s="3" t="s">
        <v>81</v>
      </c>
      <c r="U222" s="3">
        <v>7</v>
      </c>
      <c r="V222" s="3">
        <v>1</v>
      </c>
      <c r="W222" s="3" t="s">
        <v>34</v>
      </c>
      <c r="X222" s="3" t="s">
        <v>96</v>
      </c>
      <c r="Y222" s="3">
        <v>7</v>
      </c>
      <c r="Z222" s="3">
        <v>1</v>
      </c>
      <c r="AA222" s="3" t="s">
        <v>28</v>
      </c>
      <c r="AB222" s="3" t="s">
        <v>210</v>
      </c>
      <c r="AC222" s="3" t="s">
        <v>664</v>
      </c>
      <c r="AD222" s="3" t="s">
        <v>211</v>
      </c>
      <c r="AE222" s="3" t="s">
        <v>31</v>
      </c>
      <c r="AF222" s="3" t="s">
        <v>664</v>
      </c>
      <c r="AG222" s="3" t="s">
        <v>32</v>
      </c>
    </row>
    <row r="223" spans="1:33" ht="15.75" customHeight="1">
      <c r="A223" s="1">
        <v>45170.905985069447</v>
      </c>
      <c r="B223" s="3" t="s">
        <v>1024</v>
      </c>
      <c r="C223" s="2">
        <v>29753</v>
      </c>
      <c r="D223" s="3">
        <v>42</v>
      </c>
      <c r="E223" s="3" t="s">
        <v>510</v>
      </c>
      <c r="F223" s="3" t="s">
        <v>520</v>
      </c>
      <c r="G223" s="3" t="s">
        <v>540</v>
      </c>
      <c r="H223" s="2">
        <v>44897</v>
      </c>
      <c r="I223" s="3">
        <v>2</v>
      </c>
      <c r="J223" s="3" t="s">
        <v>542</v>
      </c>
      <c r="K223" s="3">
        <v>3560</v>
      </c>
      <c r="L223" s="3">
        <v>39</v>
      </c>
      <c r="M223" s="3">
        <v>82</v>
      </c>
      <c r="N223" s="3">
        <v>86</v>
      </c>
      <c r="O223" s="3">
        <v>159</v>
      </c>
      <c r="P223" s="3" t="s">
        <v>50</v>
      </c>
      <c r="Q223" s="3" t="s">
        <v>26</v>
      </c>
      <c r="S223" s="3" t="s">
        <v>664</v>
      </c>
      <c r="T223" s="3" t="s">
        <v>41</v>
      </c>
      <c r="U223" s="3">
        <v>7</v>
      </c>
      <c r="V223" s="3">
        <v>1</v>
      </c>
      <c r="W223" s="3" t="s">
        <v>26</v>
      </c>
      <c r="AA223" s="3" t="s">
        <v>42</v>
      </c>
      <c r="AB223" s="3" t="s">
        <v>29</v>
      </c>
      <c r="AC223" s="3" t="s">
        <v>664</v>
      </c>
      <c r="AD223" s="3" t="s">
        <v>30</v>
      </c>
      <c r="AE223" s="3" t="s">
        <v>38</v>
      </c>
      <c r="AF223" s="3" t="s">
        <v>664</v>
      </c>
      <c r="AG223" s="3" t="s">
        <v>39</v>
      </c>
    </row>
    <row r="224" spans="1:33" ht="15.75" customHeight="1">
      <c r="A224" s="1">
        <v>45170.953327499999</v>
      </c>
      <c r="B224" s="3" t="s">
        <v>1024</v>
      </c>
      <c r="C224" s="2">
        <v>34965</v>
      </c>
      <c r="D224" s="3">
        <v>27</v>
      </c>
      <c r="E224" s="3" t="s">
        <v>510</v>
      </c>
      <c r="F224" s="3" t="s">
        <v>529</v>
      </c>
      <c r="G224" s="3" t="s">
        <v>539</v>
      </c>
      <c r="H224" s="2">
        <v>45091</v>
      </c>
      <c r="I224" s="3">
        <v>1</v>
      </c>
      <c r="J224" s="3" t="s">
        <v>542</v>
      </c>
      <c r="K224" s="3" t="s">
        <v>1142</v>
      </c>
      <c r="L224" s="3" t="s">
        <v>708</v>
      </c>
      <c r="M224" s="3">
        <v>68</v>
      </c>
      <c r="N224" s="3" t="s">
        <v>1143</v>
      </c>
      <c r="O224" s="3">
        <v>155</v>
      </c>
      <c r="P224" s="3" t="s">
        <v>50</v>
      </c>
      <c r="Q224" s="3" t="s">
        <v>34</v>
      </c>
      <c r="R224" s="3" t="s">
        <v>212</v>
      </c>
      <c r="S224" s="3" t="s">
        <v>664</v>
      </c>
      <c r="T224" s="3" t="s">
        <v>213</v>
      </c>
      <c r="U224" s="3">
        <v>7</v>
      </c>
      <c r="V224" s="3">
        <v>1</v>
      </c>
      <c r="W224" s="3" t="s">
        <v>34</v>
      </c>
      <c r="X224" s="3" t="s">
        <v>213</v>
      </c>
      <c r="Y224" s="3">
        <v>7</v>
      </c>
      <c r="Z224" s="3">
        <v>1</v>
      </c>
      <c r="AA224" s="3" t="s">
        <v>42</v>
      </c>
      <c r="AB224" s="3" t="s">
        <v>185</v>
      </c>
      <c r="AC224" s="3" t="s">
        <v>664</v>
      </c>
      <c r="AD224" s="3" t="s">
        <v>30</v>
      </c>
      <c r="AE224" s="3" t="s">
        <v>38</v>
      </c>
      <c r="AF224" s="3" t="s">
        <v>664</v>
      </c>
      <c r="AG224" s="3" t="s">
        <v>62</v>
      </c>
    </row>
    <row r="225" spans="1:33" ht="15.75" customHeight="1">
      <c r="A225" s="1">
        <v>45171.718439374999</v>
      </c>
      <c r="B225" s="3" t="s">
        <v>1024</v>
      </c>
      <c r="C225" s="2">
        <v>32216</v>
      </c>
      <c r="D225" s="3">
        <v>35</v>
      </c>
      <c r="E225" s="3" t="s">
        <v>510</v>
      </c>
      <c r="F225" s="3" t="s">
        <v>523</v>
      </c>
      <c r="G225" s="3" t="s">
        <v>540</v>
      </c>
      <c r="H225" s="2">
        <v>44365</v>
      </c>
      <c r="I225" s="3">
        <v>1</v>
      </c>
      <c r="J225" s="3" t="s">
        <v>542</v>
      </c>
      <c r="K225" s="3">
        <v>3165</v>
      </c>
      <c r="L225" s="3">
        <v>38</v>
      </c>
      <c r="M225" s="3">
        <v>67</v>
      </c>
      <c r="N225" s="3">
        <v>78</v>
      </c>
      <c r="O225" s="3">
        <v>165</v>
      </c>
      <c r="P225" s="3" t="s">
        <v>33</v>
      </c>
      <c r="Q225" s="3" t="s">
        <v>26</v>
      </c>
      <c r="S225" s="3" t="s">
        <v>664</v>
      </c>
      <c r="T225" s="3" t="s">
        <v>27</v>
      </c>
      <c r="U225" s="3">
        <v>7</v>
      </c>
      <c r="V225" s="3">
        <v>1</v>
      </c>
      <c r="W225" s="3" t="s">
        <v>34</v>
      </c>
      <c r="X225" s="3" t="s">
        <v>35</v>
      </c>
      <c r="Y225" s="3">
        <v>7</v>
      </c>
      <c r="Z225" s="3">
        <v>1</v>
      </c>
      <c r="AA225" s="3" t="s">
        <v>49</v>
      </c>
      <c r="AB225" s="3" t="s">
        <v>214</v>
      </c>
      <c r="AC225" s="3" t="s">
        <v>664</v>
      </c>
      <c r="AD225" s="3" t="s">
        <v>55</v>
      </c>
      <c r="AE225" s="3" t="s">
        <v>38</v>
      </c>
      <c r="AF225" s="3" t="s">
        <v>664</v>
      </c>
      <c r="AG225" s="3" t="s">
        <v>39</v>
      </c>
    </row>
    <row r="226" spans="1:33" ht="15.75" customHeight="1">
      <c r="A226" s="1">
        <v>45171.722022592592</v>
      </c>
      <c r="B226" s="3" t="s">
        <v>1024</v>
      </c>
      <c r="C226" s="2">
        <v>35159</v>
      </c>
      <c r="D226" s="3">
        <v>27</v>
      </c>
      <c r="E226" s="3" t="s">
        <v>510</v>
      </c>
      <c r="F226" s="3" t="s">
        <v>523</v>
      </c>
      <c r="G226" s="3" t="s">
        <v>539</v>
      </c>
      <c r="H226" s="2">
        <v>43419</v>
      </c>
      <c r="I226" s="3">
        <v>2</v>
      </c>
      <c r="J226" s="3" t="s">
        <v>542</v>
      </c>
      <c r="K226" s="3">
        <v>4.0599999999999996</v>
      </c>
      <c r="L226" s="3" t="s">
        <v>634</v>
      </c>
      <c r="M226" s="3">
        <v>60</v>
      </c>
      <c r="N226" s="3">
        <v>68</v>
      </c>
      <c r="O226" s="3">
        <v>162</v>
      </c>
      <c r="P226" s="3" t="s">
        <v>33</v>
      </c>
      <c r="Q226" s="3" t="s">
        <v>26</v>
      </c>
      <c r="S226" s="3" t="s">
        <v>664</v>
      </c>
      <c r="T226" s="3" t="s">
        <v>505</v>
      </c>
      <c r="U226" s="3">
        <v>1</v>
      </c>
      <c r="V226" s="3">
        <v>1</v>
      </c>
      <c r="W226" s="3" t="s">
        <v>26</v>
      </c>
      <c r="AA226" s="3" t="s">
        <v>28</v>
      </c>
      <c r="AB226" s="3" t="s">
        <v>29</v>
      </c>
      <c r="AC226" s="3" t="s">
        <v>664</v>
      </c>
      <c r="AD226" s="3" t="s">
        <v>30</v>
      </c>
      <c r="AE226" s="3" t="s">
        <v>38</v>
      </c>
      <c r="AF226" s="3" t="s">
        <v>664</v>
      </c>
      <c r="AG226" s="3" t="s">
        <v>39</v>
      </c>
    </row>
    <row r="227" spans="1:33" ht="15.75" customHeight="1">
      <c r="A227" s="1">
        <v>45174.015434085653</v>
      </c>
      <c r="B227" s="3" t="s">
        <v>1024</v>
      </c>
      <c r="C227" s="2">
        <v>32659</v>
      </c>
      <c r="D227" s="3">
        <v>35</v>
      </c>
      <c r="E227" s="3" t="s">
        <v>510</v>
      </c>
      <c r="F227" s="3" t="s">
        <v>522</v>
      </c>
      <c r="G227" s="3" t="s">
        <v>539</v>
      </c>
      <c r="H227" s="2">
        <v>42846</v>
      </c>
      <c r="I227" s="3">
        <v>2</v>
      </c>
      <c r="J227" s="3" t="s">
        <v>542</v>
      </c>
      <c r="K227" s="3">
        <v>3420</v>
      </c>
      <c r="L227" s="3" t="s">
        <v>709</v>
      </c>
      <c r="M227" s="3">
        <v>101</v>
      </c>
      <c r="N227" s="3">
        <v>110</v>
      </c>
      <c r="O227" s="3">
        <v>158</v>
      </c>
      <c r="P227" s="3" t="s">
        <v>25</v>
      </c>
      <c r="Q227" s="3" t="s">
        <v>26</v>
      </c>
      <c r="S227" s="3" t="s">
        <v>26</v>
      </c>
      <c r="T227" s="3" t="s">
        <v>121</v>
      </c>
      <c r="W227" s="3" t="s">
        <v>26</v>
      </c>
      <c r="AA227" s="3" t="s">
        <v>51</v>
      </c>
      <c r="AB227" s="3" t="s">
        <v>29</v>
      </c>
      <c r="AC227" s="3" t="s">
        <v>664</v>
      </c>
      <c r="AD227" s="3" t="s">
        <v>55</v>
      </c>
      <c r="AE227" s="3" t="s">
        <v>72</v>
      </c>
      <c r="AF227" s="3" t="s">
        <v>664</v>
      </c>
      <c r="AG227" s="3" t="s">
        <v>48</v>
      </c>
    </row>
    <row r="228" spans="1:33" ht="15.75" customHeight="1">
      <c r="A228" s="1">
        <v>45174.637420405095</v>
      </c>
      <c r="B228" s="3" t="s">
        <v>1024</v>
      </c>
      <c r="C228" s="2">
        <v>29850</v>
      </c>
      <c r="D228" s="3">
        <v>41</v>
      </c>
      <c r="E228" s="3" t="s">
        <v>510</v>
      </c>
      <c r="F228" s="3" t="s">
        <v>520</v>
      </c>
      <c r="G228" s="3" t="s">
        <v>539</v>
      </c>
      <c r="H228" s="2">
        <v>44718</v>
      </c>
      <c r="I228" s="3">
        <v>4</v>
      </c>
      <c r="J228" s="3" t="s">
        <v>542</v>
      </c>
      <c r="K228" s="3" t="s">
        <v>1144</v>
      </c>
      <c r="L228" s="3" t="s">
        <v>710</v>
      </c>
      <c r="M228" s="3">
        <v>94</v>
      </c>
      <c r="N228" s="3">
        <v>86</v>
      </c>
      <c r="O228" s="3">
        <v>169</v>
      </c>
      <c r="P228" s="3" t="s">
        <v>106</v>
      </c>
      <c r="Q228" s="3" t="s">
        <v>26</v>
      </c>
      <c r="S228" s="3" t="s">
        <v>664</v>
      </c>
      <c r="T228" s="3" t="s">
        <v>27</v>
      </c>
      <c r="U228" s="3">
        <v>7</v>
      </c>
      <c r="V228" s="3">
        <v>1</v>
      </c>
      <c r="W228" s="3" t="s">
        <v>34</v>
      </c>
      <c r="X228" s="3" t="s">
        <v>58</v>
      </c>
      <c r="Y228" s="3">
        <v>7</v>
      </c>
      <c r="Z228" s="3">
        <v>1</v>
      </c>
      <c r="AA228" s="3" t="s">
        <v>49</v>
      </c>
      <c r="AB228" s="3" t="s">
        <v>29</v>
      </c>
      <c r="AC228" s="3" t="s">
        <v>664</v>
      </c>
      <c r="AD228" s="3" t="s">
        <v>37</v>
      </c>
      <c r="AE228" s="3" t="s">
        <v>31</v>
      </c>
      <c r="AF228" s="3" t="s">
        <v>664</v>
      </c>
      <c r="AG228" s="3" t="s">
        <v>32</v>
      </c>
    </row>
    <row r="229" spans="1:33" ht="15.75" customHeight="1">
      <c r="A229" s="1">
        <v>45174.697748611114</v>
      </c>
      <c r="B229" s="3" t="s">
        <v>1024</v>
      </c>
      <c r="C229" s="2">
        <v>30820</v>
      </c>
      <c r="D229" s="3">
        <v>39</v>
      </c>
      <c r="E229" s="3" t="s">
        <v>510</v>
      </c>
      <c r="F229" s="3" t="s">
        <v>520</v>
      </c>
      <c r="G229" s="3" t="s">
        <v>540</v>
      </c>
      <c r="H229" s="2">
        <v>43589</v>
      </c>
      <c r="I229" s="3">
        <v>2</v>
      </c>
      <c r="J229" s="3" t="s">
        <v>541</v>
      </c>
      <c r="K229" s="3">
        <v>3551</v>
      </c>
      <c r="L229" s="3">
        <v>38</v>
      </c>
      <c r="M229" s="3">
        <v>58</v>
      </c>
      <c r="N229" s="3">
        <v>65</v>
      </c>
      <c r="O229" s="3">
        <v>156</v>
      </c>
      <c r="P229" s="3" t="s">
        <v>44</v>
      </c>
      <c r="Q229" s="3" t="s">
        <v>26</v>
      </c>
      <c r="S229" s="3" t="s">
        <v>664</v>
      </c>
      <c r="T229" s="3" t="s">
        <v>41</v>
      </c>
      <c r="U229" s="3">
        <v>7</v>
      </c>
      <c r="V229" s="3">
        <v>1</v>
      </c>
      <c r="W229" s="3" t="s">
        <v>26</v>
      </c>
      <c r="AA229" s="3" t="s">
        <v>49</v>
      </c>
      <c r="AB229" s="3" t="s">
        <v>29</v>
      </c>
      <c r="AC229" s="3" t="s">
        <v>664</v>
      </c>
      <c r="AD229" s="3" t="s">
        <v>30</v>
      </c>
      <c r="AE229" s="3" t="s">
        <v>60</v>
      </c>
      <c r="AF229" s="3" t="s">
        <v>664</v>
      </c>
      <c r="AG229" s="3" t="s">
        <v>39</v>
      </c>
    </row>
    <row r="230" spans="1:33" ht="15.75" customHeight="1">
      <c r="A230" s="1">
        <v>45176.880795590274</v>
      </c>
      <c r="B230" s="3" t="s">
        <v>1024</v>
      </c>
      <c r="C230" s="2">
        <v>31379</v>
      </c>
      <c r="D230" s="3">
        <v>37</v>
      </c>
      <c r="E230" s="3" t="s">
        <v>510</v>
      </c>
      <c r="F230" s="3" t="s">
        <v>520</v>
      </c>
      <c r="G230" s="3" t="s">
        <v>540</v>
      </c>
      <c r="H230" s="2">
        <v>42857</v>
      </c>
      <c r="I230" s="3">
        <v>1</v>
      </c>
      <c r="J230" s="3" t="s">
        <v>541</v>
      </c>
      <c r="K230" s="3">
        <v>2750</v>
      </c>
      <c r="L230" s="3" t="s">
        <v>618</v>
      </c>
      <c r="M230" s="3">
        <v>72</v>
      </c>
      <c r="N230" s="3">
        <v>86</v>
      </c>
      <c r="O230" s="3">
        <v>165</v>
      </c>
      <c r="P230" s="3" t="s">
        <v>123</v>
      </c>
      <c r="Q230" s="3" t="s">
        <v>26</v>
      </c>
      <c r="S230" s="3" t="s">
        <v>664</v>
      </c>
      <c r="T230" s="3" t="s">
        <v>27</v>
      </c>
      <c r="U230" s="3">
        <v>7</v>
      </c>
      <c r="V230" s="3">
        <v>1</v>
      </c>
      <c r="W230" s="3" t="s">
        <v>26</v>
      </c>
      <c r="AA230" s="3" t="s">
        <v>49</v>
      </c>
      <c r="AB230" s="3" t="s">
        <v>29</v>
      </c>
      <c r="AC230" s="3" t="s">
        <v>664</v>
      </c>
      <c r="AD230" s="3" t="s">
        <v>59</v>
      </c>
      <c r="AE230" s="3" t="s">
        <v>31</v>
      </c>
      <c r="AF230" s="3" t="s">
        <v>664</v>
      </c>
      <c r="AG230" s="3" t="s">
        <v>76</v>
      </c>
    </row>
    <row r="231" spans="1:33" ht="15.75" customHeight="1">
      <c r="A231" s="1">
        <v>45176.892015624995</v>
      </c>
      <c r="B231" s="3" t="s">
        <v>1024</v>
      </c>
      <c r="C231" s="2">
        <v>32659</v>
      </c>
      <c r="D231" s="3">
        <v>34</v>
      </c>
      <c r="E231" s="3" t="s">
        <v>510</v>
      </c>
      <c r="F231" s="3" t="s">
        <v>523</v>
      </c>
      <c r="G231" s="3" t="s">
        <v>540</v>
      </c>
      <c r="H231" s="2">
        <v>45183</v>
      </c>
      <c r="I231" s="3">
        <v>1</v>
      </c>
      <c r="J231" s="3" t="s">
        <v>541</v>
      </c>
      <c r="K231" s="3">
        <v>2710</v>
      </c>
      <c r="L231" s="3" t="s">
        <v>652</v>
      </c>
      <c r="M231" s="3">
        <v>61</v>
      </c>
      <c r="N231" s="3">
        <v>73</v>
      </c>
      <c r="O231" s="3">
        <v>156</v>
      </c>
      <c r="P231" s="3" t="s">
        <v>33</v>
      </c>
      <c r="Q231" s="3" t="s">
        <v>26</v>
      </c>
      <c r="S231" s="3" t="s">
        <v>664</v>
      </c>
      <c r="T231" s="3" t="s">
        <v>56</v>
      </c>
      <c r="U231" s="3">
        <v>7</v>
      </c>
      <c r="V231" s="3">
        <v>1</v>
      </c>
      <c r="W231" s="3" t="s">
        <v>34</v>
      </c>
      <c r="X231" s="3" t="s">
        <v>128</v>
      </c>
      <c r="Y231" s="3">
        <v>7</v>
      </c>
      <c r="Z231" s="3">
        <v>2</v>
      </c>
      <c r="AA231" s="3" t="s">
        <v>36</v>
      </c>
      <c r="AB231" s="3" t="s">
        <v>29</v>
      </c>
      <c r="AC231" s="3" t="s">
        <v>664</v>
      </c>
      <c r="AD231" s="3" t="s">
        <v>30</v>
      </c>
      <c r="AE231" s="3" t="s">
        <v>31</v>
      </c>
      <c r="AF231" s="3" t="s">
        <v>664</v>
      </c>
      <c r="AG231" s="3" t="s">
        <v>39</v>
      </c>
    </row>
    <row r="232" spans="1:33" ht="15.75" customHeight="1">
      <c r="A232" s="1">
        <v>45176.892741631949</v>
      </c>
      <c r="B232" s="3" t="s">
        <v>1024</v>
      </c>
      <c r="C232" s="2">
        <v>32617</v>
      </c>
      <c r="D232" s="3">
        <v>34</v>
      </c>
      <c r="E232" s="3" t="s">
        <v>510</v>
      </c>
      <c r="F232" s="3" t="s">
        <v>520</v>
      </c>
      <c r="G232" s="3" t="s">
        <v>537</v>
      </c>
      <c r="H232" s="2">
        <v>43345</v>
      </c>
      <c r="I232" s="3">
        <v>2</v>
      </c>
      <c r="J232" s="3" t="s">
        <v>541</v>
      </c>
      <c r="K232" s="3" t="s">
        <v>1145</v>
      </c>
      <c r="L232" s="3" t="s">
        <v>711</v>
      </c>
      <c r="M232" s="3">
        <v>80</v>
      </c>
      <c r="N232" s="3">
        <v>70</v>
      </c>
      <c r="O232" s="3">
        <v>152</v>
      </c>
      <c r="P232" s="3" t="s">
        <v>44</v>
      </c>
      <c r="Q232" s="3" t="s">
        <v>34</v>
      </c>
      <c r="R232" s="3" t="s">
        <v>215</v>
      </c>
      <c r="S232" s="3" t="s">
        <v>26</v>
      </c>
      <c r="W232" s="3" t="s">
        <v>26</v>
      </c>
      <c r="AA232" s="3" t="s">
        <v>51</v>
      </c>
      <c r="AB232" s="3" t="s">
        <v>216</v>
      </c>
      <c r="AC232" s="3" t="s">
        <v>26</v>
      </c>
      <c r="AD232" s="3" t="s">
        <v>63</v>
      </c>
      <c r="AE232" s="3" t="s">
        <v>60</v>
      </c>
      <c r="AF232" s="3" t="s">
        <v>26</v>
      </c>
      <c r="AG232" s="3" t="s">
        <v>39</v>
      </c>
    </row>
    <row r="233" spans="1:33" ht="15.75" customHeight="1">
      <c r="A233" s="1">
        <v>45176.893988564814</v>
      </c>
      <c r="B233" s="3" t="s">
        <v>1024</v>
      </c>
      <c r="C233" s="2">
        <v>31115</v>
      </c>
      <c r="D233" s="3">
        <v>38</v>
      </c>
      <c r="E233" s="3" t="s">
        <v>510</v>
      </c>
      <c r="F233" s="3" t="s">
        <v>520</v>
      </c>
      <c r="G233" s="3" t="s">
        <v>539</v>
      </c>
      <c r="H233" s="2">
        <v>43181</v>
      </c>
      <c r="I233" s="3">
        <v>3</v>
      </c>
      <c r="J233" s="3" t="s">
        <v>542</v>
      </c>
      <c r="K233" s="3">
        <v>2850</v>
      </c>
      <c r="L233" s="3" t="s">
        <v>636</v>
      </c>
      <c r="M233" s="3">
        <v>80</v>
      </c>
      <c r="N233" s="3">
        <v>68</v>
      </c>
      <c r="O233" s="3">
        <v>163</v>
      </c>
      <c r="P233" s="3" t="s">
        <v>44</v>
      </c>
      <c r="Q233" s="3" t="s">
        <v>26</v>
      </c>
      <c r="S233" s="3" t="s">
        <v>664</v>
      </c>
      <c r="T233" s="3" t="s">
        <v>217</v>
      </c>
      <c r="U233" s="3">
        <v>7</v>
      </c>
      <c r="V233" s="3">
        <v>1</v>
      </c>
      <c r="W233" s="3" t="s">
        <v>26</v>
      </c>
      <c r="AA233" s="3" t="s">
        <v>42</v>
      </c>
      <c r="AB233" s="3" t="s">
        <v>29</v>
      </c>
      <c r="AC233" s="3" t="s">
        <v>664</v>
      </c>
      <c r="AD233" s="3" t="s">
        <v>30</v>
      </c>
      <c r="AE233" s="3" t="s">
        <v>38</v>
      </c>
      <c r="AF233" s="3" t="s">
        <v>664</v>
      </c>
      <c r="AG233" s="3" t="s">
        <v>39</v>
      </c>
    </row>
    <row r="234" spans="1:33" ht="15.75" customHeight="1">
      <c r="A234" s="1">
        <v>45176.910870312495</v>
      </c>
      <c r="B234" s="3" t="s">
        <v>1024</v>
      </c>
      <c r="C234" s="2">
        <v>29546</v>
      </c>
      <c r="D234" s="3">
        <v>42</v>
      </c>
      <c r="E234" s="3" t="s">
        <v>510</v>
      </c>
      <c r="F234" s="3" t="s">
        <v>520</v>
      </c>
      <c r="G234" s="3" t="s">
        <v>539</v>
      </c>
      <c r="H234" s="2">
        <v>44594</v>
      </c>
      <c r="I234" s="3">
        <v>3</v>
      </c>
      <c r="J234" s="3" t="s">
        <v>542</v>
      </c>
      <c r="K234" s="3" t="s">
        <v>1146</v>
      </c>
      <c r="L234" s="3">
        <v>37</v>
      </c>
      <c r="M234" s="3">
        <v>53</v>
      </c>
      <c r="N234" s="3">
        <v>62</v>
      </c>
      <c r="O234" s="3">
        <v>156</v>
      </c>
      <c r="P234" s="3" t="s">
        <v>44</v>
      </c>
      <c r="Q234" s="3" t="s">
        <v>26</v>
      </c>
      <c r="S234" s="3" t="s">
        <v>664</v>
      </c>
      <c r="T234" s="3" t="s">
        <v>57</v>
      </c>
      <c r="U234" s="3">
        <v>7</v>
      </c>
      <c r="V234" s="3">
        <v>1</v>
      </c>
      <c r="W234" s="3" t="s">
        <v>26</v>
      </c>
      <c r="AA234" s="3" t="s">
        <v>49</v>
      </c>
      <c r="AB234" s="3" t="s">
        <v>218</v>
      </c>
      <c r="AC234" s="3" t="s">
        <v>664</v>
      </c>
      <c r="AD234" s="3" t="s">
        <v>30</v>
      </c>
      <c r="AE234" s="3" t="s">
        <v>31</v>
      </c>
      <c r="AF234" s="3" t="s">
        <v>664</v>
      </c>
      <c r="AG234" s="3" t="s">
        <v>48</v>
      </c>
    </row>
    <row r="235" spans="1:33" ht="15.75" customHeight="1">
      <c r="A235" s="1">
        <v>45176.91527986111</v>
      </c>
      <c r="B235" s="3" t="s">
        <v>1024</v>
      </c>
      <c r="C235" s="2">
        <v>31455</v>
      </c>
      <c r="D235" s="3">
        <v>37</v>
      </c>
      <c r="E235" s="3" t="s">
        <v>510</v>
      </c>
      <c r="F235" s="3" t="s">
        <v>525</v>
      </c>
      <c r="G235" s="3" t="s">
        <v>539</v>
      </c>
      <c r="H235" s="2">
        <v>44099</v>
      </c>
      <c r="I235" s="3">
        <v>1</v>
      </c>
      <c r="J235" s="3" t="s">
        <v>542</v>
      </c>
      <c r="K235" s="3">
        <v>2735</v>
      </c>
      <c r="L235" s="3">
        <v>34</v>
      </c>
      <c r="M235" s="3">
        <v>49</v>
      </c>
      <c r="N235" s="3">
        <v>59</v>
      </c>
      <c r="O235" s="3">
        <v>152</v>
      </c>
      <c r="P235" s="3" t="s">
        <v>33</v>
      </c>
      <c r="Q235" s="3" t="s">
        <v>26</v>
      </c>
      <c r="S235" s="3" t="s">
        <v>664</v>
      </c>
      <c r="T235" s="3" t="s">
        <v>41</v>
      </c>
      <c r="U235" s="3">
        <v>7</v>
      </c>
      <c r="V235" s="3">
        <v>1</v>
      </c>
      <c r="W235" s="3" t="s">
        <v>26</v>
      </c>
      <c r="AA235" s="3" t="s">
        <v>42</v>
      </c>
      <c r="AB235" s="3" t="s">
        <v>29</v>
      </c>
      <c r="AC235" s="3" t="s">
        <v>664</v>
      </c>
      <c r="AD235" s="3" t="s">
        <v>30</v>
      </c>
      <c r="AE235" s="3" t="s">
        <v>31</v>
      </c>
      <c r="AF235" s="3" t="s">
        <v>664</v>
      </c>
      <c r="AG235" s="3" t="s">
        <v>32</v>
      </c>
    </row>
    <row r="236" spans="1:33" ht="15.75" customHeight="1">
      <c r="A236" s="1">
        <v>45176.93141237268</v>
      </c>
      <c r="B236" s="3" t="s">
        <v>1024</v>
      </c>
      <c r="C236" s="2">
        <v>35077</v>
      </c>
      <c r="D236" s="3">
        <v>27</v>
      </c>
      <c r="E236" s="3" t="s">
        <v>510</v>
      </c>
      <c r="F236" s="3" t="s">
        <v>523</v>
      </c>
      <c r="G236" s="3" t="s">
        <v>539</v>
      </c>
      <c r="H236" s="2">
        <v>44088</v>
      </c>
      <c r="I236" s="3">
        <v>1</v>
      </c>
      <c r="J236" s="3" t="s">
        <v>542</v>
      </c>
      <c r="K236" s="3">
        <v>3360</v>
      </c>
      <c r="L236" s="3" t="s">
        <v>697</v>
      </c>
      <c r="M236" s="3">
        <v>75</v>
      </c>
      <c r="N236" s="3">
        <v>83</v>
      </c>
      <c r="O236" s="3">
        <v>169</v>
      </c>
      <c r="P236" s="3" t="s">
        <v>33</v>
      </c>
      <c r="Q236" s="3" t="s">
        <v>26</v>
      </c>
      <c r="S236" s="3" t="s">
        <v>664</v>
      </c>
      <c r="T236" s="3" t="s">
        <v>79</v>
      </c>
      <c r="U236" s="3">
        <v>7</v>
      </c>
      <c r="V236" s="3">
        <v>1</v>
      </c>
      <c r="W236" s="3" t="s">
        <v>26</v>
      </c>
      <c r="AA236" s="3" t="s">
        <v>49</v>
      </c>
      <c r="AB236" s="3" t="s">
        <v>29</v>
      </c>
      <c r="AC236" s="3" t="s">
        <v>664</v>
      </c>
      <c r="AD236" s="3" t="s">
        <v>30</v>
      </c>
      <c r="AE236" s="3" t="s">
        <v>31</v>
      </c>
      <c r="AF236" s="3" t="s">
        <v>664</v>
      </c>
      <c r="AG236" s="3" t="s">
        <v>39</v>
      </c>
    </row>
    <row r="237" spans="1:33" ht="15.75" customHeight="1">
      <c r="A237" s="1">
        <v>45176.961380729168</v>
      </c>
      <c r="B237" s="3" t="s">
        <v>1024</v>
      </c>
      <c r="C237" s="2">
        <v>31610</v>
      </c>
      <c r="D237" s="3">
        <v>37</v>
      </c>
      <c r="E237" s="3" t="s">
        <v>510</v>
      </c>
      <c r="F237" s="3" t="s">
        <v>520</v>
      </c>
      <c r="G237" s="3" t="s">
        <v>538</v>
      </c>
      <c r="H237" s="2">
        <v>45102</v>
      </c>
      <c r="I237" s="3">
        <v>2</v>
      </c>
      <c r="J237" s="3" t="s">
        <v>542</v>
      </c>
      <c r="K237" s="3" t="s">
        <v>1147</v>
      </c>
      <c r="L237" s="3" t="s">
        <v>712</v>
      </c>
      <c r="M237" s="3" t="s">
        <v>1148</v>
      </c>
      <c r="N237" s="3" t="s">
        <v>1148</v>
      </c>
      <c r="O237" s="3">
        <v>164</v>
      </c>
      <c r="P237" s="3" t="s">
        <v>33</v>
      </c>
      <c r="Q237" s="3" t="s">
        <v>26</v>
      </c>
      <c r="S237" s="3" t="s">
        <v>664</v>
      </c>
      <c r="T237" s="3" t="s">
        <v>79</v>
      </c>
      <c r="U237" s="3">
        <v>7</v>
      </c>
      <c r="V237" s="3">
        <v>1</v>
      </c>
      <c r="W237" s="3" t="s">
        <v>34</v>
      </c>
      <c r="X237" s="3" t="s">
        <v>316</v>
      </c>
      <c r="Y237" s="3">
        <v>7</v>
      </c>
      <c r="Z237" s="3">
        <v>1</v>
      </c>
      <c r="AA237" s="3" t="s">
        <v>49</v>
      </c>
      <c r="AB237" s="3" t="s">
        <v>29</v>
      </c>
      <c r="AC237" s="3" t="s">
        <v>664</v>
      </c>
      <c r="AD237" s="3" t="s">
        <v>55</v>
      </c>
      <c r="AE237" s="3" t="s">
        <v>31</v>
      </c>
      <c r="AF237" s="3" t="s">
        <v>664</v>
      </c>
      <c r="AG237" s="3" t="s">
        <v>32</v>
      </c>
    </row>
    <row r="238" spans="1:33" ht="15.75" customHeight="1">
      <c r="A238" s="1">
        <v>45177.125064895838</v>
      </c>
      <c r="B238" s="3" t="s">
        <v>1024</v>
      </c>
      <c r="C238" s="2">
        <v>32665</v>
      </c>
      <c r="D238" s="3">
        <v>34</v>
      </c>
      <c r="E238" s="3" t="s">
        <v>510</v>
      </c>
      <c r="F238" s="3" t="s">
        <v>521</v>
      </c>
      <c r="G238" s="3" t="s">
        <v>539</v>
      </c>
      <c r="H238" s="2">
        <v>44474</v>
      </c>
      <c r="I238" s="3">
        <v>1</v>
      </c>
      <c r="J238" s="3" t="s">
        <v>541</v>
      </c>
      <c r="K238" s="3">
        <v>3150</v>
      </c>
      <c r="L238" s="3">
        <v>40</v>
      </c>
      <c r="M238" s="3">
        <v>77</v>
      </c>
      <c r="N238" s="3">
        <v>92</v>
      </c>
      <c r="O238" s="3">
        <v>164</v>
      </c>
      <c r="P238" s="3" t="s">
        <v>33</v>
      </c>
      <c r="Q238" s="3" t="s">
        <v>26</v>
      </c>
      <c r="S238" s="3" t="s">
        <v>664</v>
      </c>
      <c r="T238" s="3" t="s">
        <v>27</v>
      </c>
      <c r="U238" s="3">
        <v>7</v>
      </c>
      <c r="V238" s="3">
        <v>1</v>
      </c>
      <c r="W238" s="3" t="s">
        <v>34</v>
      </c>
      <c r="X238" s="3" t="s">
        <v>61</v>
      </c>
      <c r="Y238" s="3">
        <v>7</v>
      </c>
      <c r="Z238" s="3">
        <v>1</v>
      </c>
      <c r="AA238" s="3" t="s">
        <v>28</v>
      </c>
      <c r="AB238" s="3" t="s">
        <v>29</v>
      </c>
      <c r="AC238" s="3" t="s">
        <v>664</v>
      </c>
      <c r="AD238" s="3" t="s">
        <v>111</v>
      </c>
      <c r="AE238" s="3" t="s">
        <v>31</v>
      </c>
      <c r="AF238" s="3" t="s">
        <v>664</v>
      </c>
      <c r="AG238" s="3" t="s">
        <v>32</v>
      </c>
    </row>
    <row r="239" spans="1:33" ht="15.75" customHeight="1">
      <c r="A239" s="1">
        <v>45177.273075821759</v>
      </c>
      <c r="B239" s="3" t="s">
        <v>1024</v>
      </c>
      <c r="C239" s="2">
        <v>37253</v>
      </c>
      <c r="D239" s="3">
        <v>21</v>
      </c>
      <c r="E239" s="3" t="s">
        <v>510</v>
      </c>
      <c r="F239" s="3" t="s">
        <v>523</v>
      </c>
      <c r="G239" s="3" t="s">
        <v>537</v>
      </c>
      <c r="H239" s="2">
        <v>44473</v>
      </c>
      <c r="I239" s="3">
        <v>1</v>
      </c>
      <c r="J239" s="3" t="s">
        <v>541</v>
      </c>
      <c r="K239" s="3">
        <v>2960</v>
      </c>
      <c r="L239" s="3" t="s">
        <v>625</v>
      </c>
      <c r="M239" s="3">
        <v>65</v>
      </c>
      <c r="N239" s="3">
        <v>95</v>
      </c>
      <c r="O239" s="3">
        <v>150</v>
      </c>
      <c r="P239" s="3" t="s">
        <v>33</v>
      </c>
      <c r="Q239" s="3" t="s">
        <v>26</v>
      </c>
      <c r="S239" s="3" t="s">
        <v>664</v>
      </c>
      <c r="T239" s="3" t="s">
        <v>79</v>
      </c>
      <c r="U239" s="3">
        <v>7</v>
      </c>
      <c r="V239" s="3">
        <v>1</v>
      </c>
      <c r="W239" s="3" t="s">
        <v>26</v>
      </c>
      <c r="AA239" s="3" t="s">
        <v>51</v>
      </c>
      <c r="AB239" s="3" t="s">
        <v>29</v>
      </c>
      <c r="AC239" s="3" t="s">
        <v>26</v>
      </c>
      <c r="AD239" s="3" t="s">
        <v>30</v>
      </c>
      <c r="AE239" s="3" t="s">
        <v>31</v>
      </c>
      <c r="AF239" s="3" t="s">
        <v>664</v>
      </c>
      <c r="AG239" s="3" t="s">
        <v>32</v>
      </c>
    </row>
    <row r="240" spans="1:33" ht="15.75" customHeight="1">
      <c r="A240" s="1">
        <v>45177.355621249997</v>
      </c>
      <c r="B240" s="3" t="s">
        <v>1024</v>
      </c>
      <c r="C240" s="2">
        <v>32108</v>
      </c>
      <c r="D240" s="3">
        <v>37</v>
      </c>
      <c r="E240" s="3" t="s">
        <v>510</v>
      </c>
      <c r="F240" s="3" t="s">
        <v>523</v>
      </c>
      <c r="G240" s="3" t="s">
        <v>537</v>
      </c>
      <c r="H240" s="2">
        <v>43453</v>
      </c>
      <c r="I240" s="3">
        <v>2</v>
      </c>
      <c r="J240" s="3" t="s">
        <v>541</v>
      </c>
      <c r="K240" s="3" t="s">
        <v>1149</v>
      </c>
      <c r="L240" s="3" t="s">
        <v>661</v>
      </c>
      <c r="M240" s="3" t="s">
        <v>1150</v>
      </c>
      <c r="N240" s="3" t="s">
        <v>1151</v>
      </c>
      <c r="O240" s="3">
        <v>165</v>
      </c>
      <c r="P240" s="3" t="s">
        <v>33</v>
      </c>
      <c r="Q240" s="3" t="s">
        <v>26</v>
      </c>
      <c r="S240" s="3" t="s">
        <v>664</v>
      </c>
      <c r="T240" s="3" t="s">
        <v>79</v>
      </c>
      <c r="U240" s="3">
        <v>7</v>
      </c>
      <c r="V240" s="3">
        <v>1</v>
      </c>
      <c r="W240" s="3" t="s">
        <v>26</v>
      </c>
      <c r="AA240" s="3" t="s">
        <v>42</v>
      </c>
      <c r="AB240" s="3" t="s">
        <v>29</v>
      </c>
      <c r="AC240" s="3" t="s">
        <v>664</v>
      </c>
      <c r="AD240" s="3" t="s">
        <v>55</v>
      </c>
      <c r="AE240" s="3" t="s">
        <v>31</v>
      </c>
      <c r="AF240" s="3" t="s">
        <v>664</v>
      </c>
      <c r="AG240" s="3" t="s">
        <v>48</v>
      </c>
    </row>
    <row r="241" spans="1:33" ht="15.75" customHeight="1">
      <c r="A241" s="1">
        <v>45177.446426435185</v>
      </c>
      <c r="B241" s="3" t="s">
        <v>1024</v>
      </c>
      <c r="C241" s="2">
        <v>29021</v>
      </c>
      <c r="D241" s="3">
        <v>44</v>
      </c>
      <c r="E241" s="3" t="s">
        <v>510</v>
      </c>
      <c r="F241" s="3" t="s">
        <v>523</v>
      </c>
      <c r="G241" s="3" t="s">
        <v>539</v>
      </c>
      <c r="H241" s="2">
        <v>43988</v>
      </c>
      <c r="I241" s="3">
        <v>1</v>
      </c>
      <c r="J241" s="3" t="s">
        <v>542</v>
      </c>
      <c r="K241" s="3" t="s">
        <v>1152</v>
      </c>
      <c r="L241" s="3" t="s">
        <v>623</v>
      </c>
      <c r="M241" s="3">
        <v>73</v>
      </c>
      <c r="N241" s="3">
        <v>86</v>
      </c>
      <c r="O241" s="3">
        <v>166</v>
      </c>
      <c r="P241" s="3" t="s">
        <v>44</v>
      </c>
      <c r="Q241" s="3" t="s">
        <v>26</v>
      </c>
      <c r="S241" s="3" t="s">
        <v>664</v>
      </c>
      <c r="T241" s="3" t="s">
        <v>41</v>
      </c>
      <c r="U241" s="3">
        <v>7</v>
      </c>
      <c r="V241" s="3">
        <v>1</v>
      </c>
      <c r="W241" s="3" t="s">
        <v>34</v>
      </c>
      <c r="X241" s="3" t="s">
        <v>58</v>
      </c>
      <c r="Y241" s="3">
        <v>7</v>
      </c>
      <c r="Z241" s="3">
        <v>1</v>
      </c>
      <c r="AA241" s="3" t="s">
        <v>42</v>
      </c>
      <c r="AB241" s="3" t="s">
        <v>29</v>
      </c>
      <c r="AC241" s="3" t="s">
        <v>664</v>
      </c>
      <c r="AD241" s="3" t="s">
        <v>30</v>
      </c>
      <c r="AE241" s="3" t="s">
        <v>31</v>
      </c>
      <c r="AF241" s="3" t="s">
        <v>664</v>
      </c>
      <c r="AG241" s="3" t="s">
        <v>39</v>
      </c>
    </row>
    <row r="242" spans="1:33" ht="15.75" customHeight="1">
      <c r="A242" s="1">
        <v>45177.598590983791</v>
      </c>
      <c r="B242" s="3" t="s">
        <v>1024</v>
      </c>
      <c r="C242" s="2">
        <v>31484</v>
      </c>
      <c r="D242" s="3">
        <v>37</v>
      </c>
      <c r="E242" s="3" t="s">
        <v>510</v>
      </c>
      <c r="F242" s="3" t="s">
        <v>523</v>
      </c>
      <c r="G242" s="3" t="s">
        <v>539</v>
      </c>
      <c r="H242" s="2">
        <v>43741</v>
      </c>
      <c r="I242" s="3">
        <v>1</v>
      </c>
      <c r="J242" s="3" t="s">
        <v>541</v>
      </c>
      <c r="K242" s="3">
        <v>3490</v>
      </c>
      <c r="L242" s="3">
        <v>36</v>
      </c>
      <c r="M242" s="3">
        <v>85</v>
      </c>
      <c r="N242" s="3">
        <v>85</v>
      </c>
      <c r="O242" s="3">
        <v>167</v>
      </c>
      <c r="P242" s="3" t="s">
        <v>33</v>
      </c>
      <c r="Q242" s="3" t="s">
        <v>26</v>
      </c>
      <c r="S242" s="3" t="s">
        <v>664</v>
      </c>
      <c r="T242" s="3" t="s">
        <v>43</v>
      </c>
      <c r="U242" s="3">
        <v>7</v>
      </c>
      <c r="V242" s="3">
        <v>1</v>
      </c>
      <c r="W242" s="3" t="s">
        <v>34</v>
      </c>
      <c r="X242" s="3" t="s">
        <v>219</v>
      </c>
      <c r="Y242" s="3">
        <v>7</v>
      </c>
      <c r="Z242" s="3">
        <v>1</v>
      </c>
      <c r="AA242" s="3" t="s">
        <v>36</v>
      </c>
      <c r="AB242" s="3" t="s">
        <v>83</v>
      </c>
      <c r="AC242" s="3" t="s">
        <v>664</v>
      </c>
      <c r="AD242" s="3" t="s">
        <v>30</v>
      </c>
      <c r="AE242" s="3" t="s">
        <v>31</v>
      </c>
      <c r="AF242" s="3" t="s">
        <v>664</v>
      </c>
      <c r="AG242" s="3" t="s">
        <v>32</v>
      </c>
    </row>
    <row r="243" spans="1:33" ht="15.75" customHeight="1">
      <c r="A243" s="1">
        <v>45178.41558296296</v>
      </c>
      <c r="B243" s="3" t="s">
        <v>1024</v>
      </c>
      <c r="C243" s="2">
        <v>31651</v>
      </c>
      <c r="D243" s="3">
        <v>37</v>
      </c>
      <c r="E243" s="3" t="s">
        <v>511</v>
      </c>
      <c r="F243" s="3" t="s">
        <v>520</v>
      </c>
      <c r="G243" s="3" t="s">
        <v>539</v>
      </c>
      <c r="H243" s="2">
        <v>39311</v>
      </c>
      <c r="I243" s="3">
        <v>1</v>
      </c>
      <c r="J243" s="3" t="s">
        <v>542</v>
      </c>
      <c r="K243" s="3">
        <v>3000</v>
      </c>
      <c r="L243" s="3" t="s">
        <v>661</v>
      </c>
      <c r="M243" s="3">
        <v>50</v>
      </c>
      <c r="N243" s="3">
        <v>60</v>
      </c>
      <c r="O243" s="3">
        <v>172</v>
      </c>
      <c r="P243" s="3" t="s">
        <v>33</v>
      </c>
      <c r="Q243" s="3" t="s">
        <v>26</v>
      </c>
      <c r="S243" s="3" t="s">
        <v>664</v>
      </c>
      <c r="T243" s="3" t="s">
        <v>79</v>
      </c>
      <c r="U243" s="3">
        <v>7</v>
      </c>
      <c r="V243" s="3">
        <v>1</v>
      </c>
      <c r="W243" s="3" t="s">
        <v>26</v>
      </c>
      <c r="AA243" s="3" t="s">
        <v>49</v>
      </c>
      <c r="AB243" s="3" t="s">
        <v>713</v>
      </c>
      <c r="AC243" s="3" t="s">
        <v>26</v>
      </c>
      <c r="AE243" s="3" t="s">
        <v>159</v>
      </c>
      <c r="AF243" s="3" t="s">
        <v>664</v>
      </c>
      <c r="AG243" s="3" t="s">
        <v>32</v>
      </c>
    </row>
    <row r="244" spans="1:33" ht="15.75" customHeight="1">
      <c r="A244" s="1">
        <v>45178.432067083333</v>
      </c>
      <c r="B244" s="3" t="s">
        <v>1024</v>
      </c>
      <c r="C244" s="2">
        <v>34763</v>
      </c>
      <c r="D244" s="3">
        <v>28</v>
      </c>
      <c r="E244" s="3" t="s">
        <v>510</v>
      </c>
      <c r="F244" s="3" t="s">
        <v>520</v>
      </c>
      <c r="G244" s="3" t="s">
        <v>539</v>
      </c>
      <c r="H244" s="2">
        <v>43981</v>
      </c>
      <c r="I244" s="3">
        <v>1</v>
      </c>
      <c r="J244" s="3" t="s">
        <v>542</v>
      </c>
      <c r="K244" s="3" t="s">
        <v>1153</v>
      </c>
      <c r="L244" s="3" t="s">
        <v>714</v>
      </c>
      <c r="M244" s="3" t="s">
        <v>1154</v>
      </c>
      <c r="N244" s="3" t="s">
        <v>1155</v>
      </c>
      <c r="O244" s="3">
        <v>156</v>
      </c>
      <c r="P244" s="3" t="s">
        <v>33</v>
      </c>
      <c r="Q244" s="3" t="s">
        <v>26</v>
      </c>
      <c r="S244" s="3" t="s">
        <v>664</v>
      </c>
      <c r="T244" s="3" t="s">
        <v>57</v>
      </c>
      <c r="U244" s="3">
        <v>7</v>
      </c>
      <c r="V244" s="3">
        <v>1</v>
      </c>
      <c r="W244" s="3" t="s">
        <v>34</v>
      </c>
      <c r="X244" s="3" t="s">
        <v>58</v>
      </c>
      <c r="Y244" s="3">
        <v>7</v>
      </c>
      <c r="Z244" s="3">
        <v>1</v>
      </c>
      <c r="AA244" s="3" t="s">
        <v>49</v>
      </c>
      <c r="AB244" s="3" t="s">
        <v>185</v>
      </c>
      <c r="AC244" s="3" t="s">
        <v>664</v>
      </c>
      <c r="AD244" s="3" t="s">
        <v>59</v>
      </c>
      <c r="AE244" s="3" t="s">
        <v>72</v>
      </c>
      <c r="AF244" s="3" t="s">
        <v>664</v>
      </c>
      <c r="AG244" s="3" t="s">
        <v>32</v>
      </c>
    </row>
    <row r="245" spans="1:33" ht="15.75" customHeight="1">
      <c r="A245" s="1">
        <v>45178.433240312501</v>
      </c>
      <c r="B245" s="3" t="s">
        <v>1024</v>
      </c>
      <c r="C245" s="2">
        <v>34056</v>
      </c>
      <c r="D245" s="3">
        <v>30</v>
      </c>
      <c r="E245" s="3" t="s">
        <v>510</v>
      </c>
      <c r="F245" s="3" t="s">
        <v>520</v>
      </c>
      <c r="G245" s="3" t="s">
        <v>540</v>
      </c>
      <c r="H245" s="2">
        <v>43323</v>
      </c>
      <c r="I245" s="3">
        <v>1</v>
      </c>
      <c r="J245" s="3" t="s">
        <v>542</v>
      </c>
      <c r="K245" s="3">
        <v>2970</v>
      </c>
      <c r="L245" s="3" t="s">
        <v>623</v>
      </c>
      <c r="M245" s="3">
        <v>50</v>
      </c>
      <c r="N245" s="3">
        <v>60</v>
      </c>
      <c r="O245" s="3">
        <v>160</v>
      </c>
      <c r="P245" s="3" t="s">
        <v>33</v>
      </c>
      <c r="Q245" s="3" t="s">
        <v>26</v>
      </c>
      <c r="S245" s="3" t="s">
        <v>664</v>
      </c>
      <c r="T245" s="3" t="s">
        <v>166</v>
      </c>
      <c r="U245" s="3">
        <v>7</v>
      </c>
      <c r="V245" s="3">
        <v>1</v>
      </c>
      <c r="W245" s="3" t="s">
        <v>26</v>
      </c>
      <c r="AA245" s="3" t="s">
        <v>49</v>
      </c>
      <c r="AB245" s="3" t="s">
        <v>29</v>
      </c>
      <c r="AC245" s="3" t="s">
        <v>664</v>
      </c>
      <c r="AD245" s="3" t="s">
        <v>37</v>
      </c>
      <c r="AE245" s="3" t="s">
        <v>38</v>
      </c>
      <c r="AF245" s="3" t="s">
        <v>664</v>
      </c>
      <c r="AG245" s="3" t="s">
        <v>39</v>
      </c>
    </row>
    <row r="246" spans="1:33" ht="15.75" customHeight="1">
      <c r="A246" s="1">
        <v>45180.718202928241</v>
      </c>
      <c r="B246" s="3" t="s">
        <v>1024</v>
      </c>
      <c r="C246" s="2">
        <v>31736</v>
      </c>
      <c r="D246" s="3">
        <v>36</v>
      </c>
      <c r="E246" s="3" t="s">
        <v>510</v>
      </c>
      <c r="F246" s="3" t="s">
        <v>528</v>
      </c>
      <c r="G246" s="3" t="s">
        <v>539</v>
      </c>
      <c r="H246" s="2">
        <v>43635</v>
      </c>
      <c r="I246" s="3">
        <v>1</v>
      </c>
      <c r="J246" s="3" t="s">
        <v>542</v>
      </c>
      <c r="K246" s="3" t="s">
        <v>1156</v>
      </c>
      <c r="L246" s="3" t="s">
        <v>652</v>
      </c>
      <c r="M246" s="3">
        <v>63</v>
      </c>
      <c r="N246" s="3">
        <v>78</v>
      </c>
      <c r="O246" s="3">
        <v>164</v>
      </c>
      <c r="P246" s="3" t="s">
        <v>33</v>
      </c>
      <c r="Q246" s="3" t="s">
        <v>26</v>
      </c>
      <c r="S246" s="3" t="s">
        <v>664</v>
      </c>
      <c r="T246" s="3" t="s">
        <v>56</v>
      </c>
      <c r="U246" s="3">
        <v>7</v>
      </c>
      <c r="V246" s="3">
        <v>1</v>
      </c>
      <c r="W246" s="3" t="s">
        <v>26</v>
      </c>
      <c r="AA246" s="3" t="s">
        <v>49</v>
      </c>
      <c r="AB246" s="3" t="s">
        <v>29</v>
      </c>
      <c r="AC246" s="3" t="s">
        <v>664</v>
      </c>
      <c r="AD246" s="3" t="s">
        <v>55</v>
      </c>
      <c r="AE246" s="3" t="s">
        <v>60</v>
      </c>
      <c r="AF246" s="3" t="s">
        <v>664</v>
      </c>
      <c r="AG246" s="3" t="s">
        <v>32</v>
      </c>
    </row>
    <row r="247" spans="1:33" ht="15.75" customHeight="1">
      <c r="A247" s="1">
        <v>45180.826647835653</v>
      </c>
      <c r="B247" s="3" t="s">
        <v>1024</v>
      </c>
      <c r="C247" s="2">
        <v>33567</v>
      </c>
      <c r="D247" s="3">
        <v>31</v>
      </c>
      <c r="E247" s="3" t="s">
        <v>1157</v>
      </c>
      <c r="F247" s="3" t="s">
        <v>528</v>
      </c>
      <c r="G247" s="3" t="s">
        <v>540</v>
      </c>
      <c r="H247" s="2">
        <v>44664</v>
      </c>
      <c r="I247" s="3">
        <v>1</v>
      </c>
      <c r="J247" s="3" t="s">
        <v>542</v>
      </c>
      <c r="K247" s="3" t="s">
        <v>1158</v>
      </c>
      <c r="L247" s="3">
        <v>34</v>
      </c>
      <c r="M247" s="3">
        <v>65</v>
      </c>
      <c r="N247" s="3">
        <v>79</v>
      </c>
      <c r="O247" s="3">
        <v>1.73</v>
      </c>
      <c r="P247" s="3" t="s">
        <v>127</v>
      </c>
      <c r="Q247" s="3" t="s">
        <v>26</v>
      </c>
      <c r="S247" s="3" t="s">
        <v>664</v>
      </c>
      <c r="T247" s="3" t="s">
        <v>56</v>
      </c>
      <c r="U247" s="3">
        <v>7</v>
      </c>
      <c r="V247" s="3">
        <v>1</v>
      </c>
      <c r="W247" s="3" t="s">
        <v>34</v>
      </c>
      <c r="X247" s="3" t="s">
        <v>58</v>
      </c>
      <c r="Y247" s="3">
        <v>1</v>
      </c>
      <c r="Z247" s="3">
        <v>1</v>
      </c>
      <c r="AA247" s="3" t="s">
        <v>49</v>
      </c>
      <c r="AB247" s="3" t="s">
        <v>716</v>
      </c>
      <c r="AC247" s="3" t="s">
        <v>664</v>
      </c>
      <c r="AD247" s="3" t="s">
        <v>30</v>
      </c>
      <c r="AE247" s="3" t="s">
        <v>38</v>
      </c>
      <c r="AF247" s="3" t="s">
        <v>664</v>
      </c>
      <c r="AG247" s="3" t="s">
        <v>32</v>
      </c>
    </row>
    <row r="248" spans="1:33" ht="15.75" customHeight="1">
      <c r="A248" s="1">
        <v>45181.803241875001</v>
      </c>
      <c r="B248" s="3" t="s">
        <v>1024</v>
      </c>
      <c r="C248" s="2">
        <v>32527</v>
      </c>
      <c r="D248" s="3">
        <v>34</v>
      </c>
      <c r="E248" s="3" t="s">
        <v>510</v>
      </c>
      <c r="F248" s="3" t="s">
        <v>532</v>
      </c>
      <c r="G248" s="3" t="s">
        <v>539</v>
      </c>
      <c r="H248" s="2">
        <v>43609</v>
      </c>
      <c r="I248" s="3">
        <v>1</v>
      </c>
      <c r="J248" s="3" t="s">
        <v>541</v>
      </c>
      <c r="K248" s="3">
        <v>3450</v>
      </c>
      <c r="L248" s="3">
        <v>39</v>
      </c>
      <c r="M248" s="3">
        <v>49</v>
      </c>
      <c r="N248" s="3">
        <v>57</v>
      </c>
      <c r="O248" s="3">
        <v>163</v>
      </c>
      <c r="P248" s="3" t="s">
        <v>123</v>
      </c>
      <c r="Q248" s="3" t="s">
        <v>26</v>
      </c>
      <c r="S248" s="3" t="s">
        <v>664</v>
      </c>
      <c r="T248" s="3" t="s">
        <v>79</v>
      </c>
      <c r="U248" s="3">
        <v>7</v>
      </c>
      <c r="V248" s="3">
        <v>1</v>
      </c>
      <c r="W248" s="3" t="s">
        <v>34</v>
      </c>
      <c r="X248" s="3" t="s">
        <v>220</v>
      </c>
      <c r="Y248" s="3">
        <v>7</v>
      </c>
      <c r="Z248" s="3">
        <v>1</v>
      </c>
      <c r="AA248" s="3" t="s">
        <v>49</v>
      </c>
      <c r="AB248" s="3" t="s">
        <v>29</v>
      </c>
      <c r="AC248" s="3" t="s">
        <v>664</v>
      </c>
      <c r="AD248" s="3" t="s">
        <v>30</v>
      </c>
      <c r="AE248" s="3" t="s">
        <v>38</v>
      </c>
      <c r="AF248" s="3" t="s">
        <v>664</v>
      </c>
      <c r="AG248" s="3" t="s">
        <v>62</v>
      </c>
    </row>
    <row r="249" spans="1:33" ht="15.75" customHeight="1">
      <c r="A249" s="1">
        <v>45181.892537789347</v>
      </c>
      <c r="B249" s="3" t="s">
        <v>1024</v>
      </c>
      <c r="C249" s="2">
        <v>31082</v>
      </c>
      <c r="D249" s="3">
        <v>38</v>
      </c>
      <c r="E249" s="3" t="s">
        <v>510</v>
      </c>
      <c r="F249" s="3" t="s">
        <v>521</v>
      </c>
      <c r="G249" s="3" t="s">
        <v>540</v>
      </c>
      <c r="H249" s="2">
        <v>43573</v>
      </c>
      <c r="I249" s="3">
        <v>3</v>
      </c>
      <c r="J249" s="3" t="s">
        <v>541</v>
      </c>
      <c r="K249" s="3">
        <v>3910</v>
      </c>
      <c r="L249" s="3" t="s">
        <v>627</v>
      </c>
      <c r="M249" s="3">
        <v>67</v>
      </c>
      <c r="N249" s="3">
        <v>79</v>
      </c>
      <c r="O249" s="3">
        <v>168</v>
      </c>
      <c r="P249" s="3" t="s">
        <v>33</v>
      </c>
      <c r="Q249" s="3" t="s">
        <v>26</v>
      </c>
      <c r="S249" s="3" t="s">
        <v>664</v>
      </c>
      <c r="T249" s="3" t="s">
        <v>41</v>
      </c>
      <c r="U249" s="3">
        <v>7</v>
      </c>
      <c r="V249" s="3">
        <v>1</v>
      </c>
      <c r="W249" s="3" t="s">
        <v>34</v>
      </c>
      <c r="X249" s="3" t="s">
        <v>58</v>
      </c>
      <c r="Y249" s="3">
        <v>7</v>
      </c>
      <c r="Z249" s="3">
        <v>1</v>
      </c>
      <c r="AA249" s="3" t="s">
        <v>42</v>
      </c>
      <c r="AB249" s="3" t="s">
        <v>29</v>
      </c>
      <c r="AC249" s="3" t="s">
        <v>664</v>
      </c>
      <c r="AD249" s="3" t="s">
        <v>55</v>
      </c>
      <c r="AE249" s="3" t="s">
        <v>31</v>
      </c>
      <c r="AF249" s="3" t="s">
        <v>664</v>
      </c>
      <c r="AG249" s="3" t="s">
        <v>39</v>
      </c>
    </row>
    <row r="250" spans="1:33" ht="15.75" customHeight="1">
      <c r="A250" s="1">
        <v>45195.586481122686</v>
      </c>
      <c r="B250" s="3" t="s">
        <v>1024</v>
      </c>
      <c r="C250" s="2">
        <v>32870</v>
      </c>
      <c r="D250" s="3">
        <v>33</v>
      </c>
      <c r="E250" s="3" t="s">
        <v>510</v>
      </c>
      <c r="F250" s="3" t="s">
        <v>520</v>
      </c>
      <c r="G250" s="3" t="s">
        <v>540</v>
      </c>
      <c r="H250" s="2">
        <v>44644</v>
      </c>
      <c r="I250" s="3">
        <v>3</v>
      </c>
      <c r="J250" s="3" t="s">
        <v>542</v>
      </c>
      <c r="K250" s="3">
        <v>3490</v>
      </c>
      <c r="L250" s="3">
        <v>40</v>
      </c>
      <c r="M250" s="3">
        <v>72</v>
      </c>
      <c r="N250" s="3">
        <v>80</v>
      </c>
      <c r="O250" s="3">
        <v>174</v>
      </c>
      <c r="P250" s="3" t="s">
        <v>33</v>
      </c>
      <c r="Q250" s="3" t="s">
        <v>26</v>
      </c>
      <c r="S250" s="3" t="s">
        <v>664</v>
      </c>
      <c r="T250" s="3" t="s">
        <v>43</v>
      </c>
      <c r="U250" s="3">
        <v>7</v>
      </c>
      <c r="V250" s="3">
        <v>1</v>
      </c>
      <c r="W250" s="3" t="s">
        <v>26</v>
      </c>
      <c r="AA250" s="3" t="s">
        <v>49</v>
      </c>
      <c r="AB250" s="3" t="s">
        <v>29</v>
      </c>
      <c r="AC250" s="3" t="s">
        <v>664</v>
      </c>
      <c r="AD250" s="3" t="s">
        <v>37</v>
      </c>
      <c r="AE250" s="3" t="s">
        <v>38</v>
      </c>
      <c r="AF250" s="3" t="s">
        <v>664</v>
      </c>
      <c r="AG250" s="3" t="s">
        <v>62</v>
      </c>
    </row>
    <row r="251" spans="1:33" ht="15.75" customHeight="1">
      <c r="A251" s="1">
        <v>45196.532796400468</v>
      </c>
      <c r="B251" s="3" t="s">
        <v>1024</v>
      </c>
      <c r="C251" s="2">
        <v>33859</v>
      </c>
      <c r="D251" s="3">
        <v>31</v>
      </c>
      <c r="E251" s="3" t="s">
        <v>510</v>
      </c>
      <c r="F251" s="3" t="s">
        <v>520</v>
      </c>
      <c r="G251" s="3" t="s">
        <v>540</v>
      </c>
      <c r="H251" s="2">
        <v>43939</v>
      </c>
      <c r="I251" s="3">
        <v>1</v>
      </c>
      <c r="J251" s="3" t="s">
        <v>541</v>
      </c>
      <c r="K251" s="3">
        <v>3871</v>
      </c>
      <c r="L251" s="3" t="s">
        <v>1159</v>
      </c>
      <c r="M251" s="3">
        <v>86</v>
      </c>
      <c r="N251" s="3">
        <v>102</v>
      </c>
      <c r="O251" s="3">
        <v>165</v>
      </c>
      <c r="P251" s="3" t="s">
        <v>50</v>
      </c>
      <c r="Q251" s="3" t="s">
        <v>26</v>
      </c>
      <c r="S251" s="3" t="s">
        <v>664</v>
      </c>
      <c r="T251" s="3" t="s">
        <v>79</v>
      </c>
      <c r="U251" s="3">
        <v>6</v>
      </c>
      <c r="V251" s="3">
        <v>1</v>
      </c>
      <c r="W251" s="3" t="s">
        <v>26</v>
      </c>
      <c r="AA251" s="3" t="s">
        <v>49</v>
      </c>
      <c r="AB251" s="3" t="s">
        <v>29</v>
      </c>
      <c r="AC251" s="3" t="s">
        <v>664</v>
      </c>
      <c r="AD251" s="3" t="s">
        <v>55</v>
      </c>
      <c r="AE251" s="3" t="s">
        <v>38</v>
      </c>
      <c r="AF251" s="3" t="s">
        <v>664</v>
      </c>
      <c r="AG251" s="3" t="s">
        <v>48</v>
      </c>
    </row>
    <row r="252" spans="1:33" ht="15.75" customHeight="1">
      <c r="A252" s="1">
        <v>45196.677561296296</v>
      </c>
      <c r="B252" s="3" t="s">
        <v>1024</v>
      </c>
      <c r="C252" s="2">
        <v>32856</v>
      </c>
      <c r="D252" s="3">
        <v>33</v>
      </c>
      <c r="E252" s="3" t="s">
        <v>510</v>
      </c>
      <c r="F252" s="3" t="s">
        <v>520</v>
      </c>
      <c r="G252" s="3" t="s">
        <v>540</v>
      </c>
      <c r="H252" s="2">
        <v>44868</v>
      </c>
      <c r="I252" s="3">
        <v>2</v>
      </c>
      <c r="J252" s="3" t="s">
        <v>541</v>
      </c>
      <c r="K252" s="3">
        <v>3550</v>
      </c>
      <c r="L252" s="3" t="s">
        <v>717</v>
      </c>
      <c r="M252" s="3">
        <v>63</v>
      </c>
      <c r="N252" s="3">
        <v>60</v>
      </c>
      <c r="O252" s="3">
        <v>163</v>
      </c>
      <c r="P252" s="3" t="s">
        <v>123</v>
      </c>
      <c r="Q252" s="3" t="s">
        <v>26</v>
      </c>
      <c r="S252" s="3" t="s">
        <v>26</v>
      </c>
      <c r="T252" s="3" t="s">
        <v>79</v>
      </c>
      <c r="U252" s="3">
        <v>7</v>
      </c>
      <c r="V252" s="3">
        <v>1</v>
      </c>
      <c r="W252" s="3" t="s">
        <v>34</v>
      </c>
      <c r="X252" s="3" t="s">
        <v>221</v>
      </c>
      <c r="Y252" s="3">
        <v>7</v>
      </c>
      <c r="Z252" s="3">
        <v>1</v>
      </c>
      <c r="AA252" s="3" t="s">
        <v>49</v>
      </c>
      <c r="AB252" s="3" t="s">
        <v>29</v>
      </c>
      <c r="AC252" s="3" t="s">
        <v>664</v>
      </c>
      <c r="AD252" s="3" t="s">
        <v>30</v>
      </c>
      <c r="AE252" s="3" t="s">
        <v>31</v>
      </c>
      <c r="AF252" s="3" t="s">
        <v>664</v>
      </c>
      <c r="AG252" s="3" t="s">
        <v>48</v>
      </c>
    </row>
    <row r="253" spans="1:33" ht="15.75" customHeight="1">
      <c r="A253" s="1">
        <v>45197.643410671299</v>
      </c>
      <c r="B253" s="3" t="s">
        <v>1024</v>
      </c>
      <c r="C253" s="2">
        <v>33620</v>
      </c>
      <c r="D253" s="3">
        <v>31</v>
      </c>
      <c r="E253" s="3" t="s">
        <v>510</v>
      </c>
      <c r="F253" s="3" t="s">
        <v>521</v>
      </c>
      <c r="G253" s="3" t="s">
        <v>539</v>
      </c>
      <c r="H253" s="2">
        <v>45083</v>
      </c>
      <c r="I253" s="3">
        <v>2</v>
      </c>
      <c r="J253" s="3" t="s">
        <v>541</v>
      </c>
      <c r="K253" s="3">
        <v>3.7549999999999999</v>
      </c>
      <c r="L253" s="3">
        <v>39</v>
      </c>
      <c r="M253" s="3">
        <v>59</v>
      </c>
      <c r="N253" s="3">
        <v>65</v>
      </c>
      <c r="O253" s="3">
        <v>159</v>
      </c>
      <c r="P253" s="3" t="s">
        <v>33</v>
      </c>
      <c r="Q253" s="3" t="s">
        <v>26</v>
      </c>
      <c r="S253" s="3" t="s">
        <v>664</v>
      </c>
      <c r="T253" s="3" t="s">
        <v>79</v>
      </c>
      <c r="U253" s="3">
        <v>7</v>
      </c>
      <c r="V253" s="3">
        <v>1</v>
      </c>
      <c r="W253" s="3" t="s">
        <v>26</v>
      </c>
      <c r="AA253" s="3" t="s">
        <v>49</v>
      </c>
      <c r="AB253" s="3" t="s">
        <v>29</v>
      </c>
      <c r="AC253" s="3" t="s">
        <v>664</v>
      </c>
      <c r="AD253" s="3" t="s">
        <v>55</v>
      </c>
      <c r="AE253" s="3" t="s">
        <v>31</v>
      </c>
      <c r="AF253" s="3" t="s">
        <v>664</v>
      </c>
      <c r="AG253" s="3" t="s">
        <v>39</v>
      </c>
    </row>
    <row r="254" spans="1:33" ht="15.75" customHeight="1">
      <c r="A254" s="1">
        <v>45197.655889224538</v>
      </c>
      <c r="B254" s="3" t="s">
        <v>1024</v>
      </c>
      <c r="C254" s="2">
        <v>35230</v>
      </c>
      <c r="D254" s="3">
        <v>27</v>
      </c>
      <c r="E254" s="3" t="s">
        <v>510</v>
      </c>
      <c r="F254" s="3" t="s">
        <v>521</v>
      </c>
      <c r="G254" s="3" t="s">
        <v>540</v>
      </c>
      <c r="H254" s="2">
        <v>44952</v>
      </c>
      <c r="I254" s="3">
        <v>2</v>
      </c>
      <c r="J254" s="3" t="s">
        <v>541</v>
      </c>
      <c r="K254" s="3" t="s">
        <v>1160</v>
      </c>
      <c r="L254" s="3" t="s">
        <v>718</v>
      </c>
      <c r="M254" s="3">
        <v>68</v>
      </c>
      <c r="N254" s="3">
        <v>72</v>
      </c>
      <c r="O254" s="3">
        <v>160</v>
      </c>
      <c r="P254" s="3" t="s">
        <v>44</v>
      </c>
      <c r="Q254" s="3" t="s">
        <v>26</v>
      </c>
      <c r="S254" s="3" t="s">
        <v>664</v>
      </c>
      <c r="T254" s="3" t="s">
        <v>79</v>
      </c>
      <c r="U254" s="3">
        <v>7</v>
      </c>
      <c r="V254" s="3">
        <v>1</v>
      </c>
      <c r="W254" s="3" t="s">
        <v>34</v>
      </c>
      <c r="X254" s="3" t="s">
        <v>170</v>
      </c>
      <c r="Y254" s="3">
        <v>7</v>
      </c>
      <c r="Z254" s="3" t="s">
        <v>222</v>
      </c>
      <c r="AA254" s="3" t="s">
        <v>49</v>
      </c>
      <c r="AB254" s="3" t="s">
        <v>189</v>
      </c>
      <c r="AC254" s="3" t="s">
        <v>664</v>
      </c>
      <c r="AD254" s="3" t="s">
        <v>30</v>
      </c>
      <c r="AE254" s="3" t="s">
        <v>31</v>
      </c>
      <c r="AF254" s="3" t="s">
        <v>664</v>
      </c>
      <c r="AG254" s="3" t="s">
        <v>39</v>
      </c>
    </row>
    <row r="255" spans="1:33" ht="15.75" customHeight="1">
      <c r="A255" s="1">
        <v>45197.668869849542</v>
      </c>
      <c r="B255" s="3" t="s">
        <v>1024</v>
      </c>
      <c r="C255" s="2">
        <v>34228</v>
      </c>
      <c r="D255" s="3">
        <v>30</v>
      </c>
      <c r="E255" s="3" t="s">
        <v>510</v>
      </c>
      <c r="F255" s="3" t="s">
        <v>525</v>
      </c>
      <c r="G255" s="3" t="s">
        <v>539</v>
      </c>
      <c r="H255" s="2">
        <v>44469</v>
      </c>
      <c r="I255" s="3">
        <v>1</v>
      </c>
      <c r="J255" s="3" t="s">
        <v>542</v>
      </c>
      <c r="K255" s="3">
        <v>3470</v>
      </c>
      <c r="L255" s="3" t="s">
        <v>719</v>
      </c>
      <c r="M255" s="3">
        <v>56</v>
      </c>
      <c r="N255" s="3">
        <v>66</v>
      </c>
      <c r="O255" s="3">
        <v>166</v>
      </c>
      <c r="P255" s="3" t="s">
        <v>106</v>
      </c>
      <c r="Q255" s="3" t="s">
        <v>26</v>
      </c>
      <c r="S255" s="3" t="s">
        <v>664</v>
      </c>
      <c r="T255" s="3" t="s">
        <v>57</v>
      </c>
      <c r="U255" s="3">
        <v>7</v>
      </c>
      <c r="V255" s="3">
        <v>1</v>
      </c>
      <c r="W255" s="3" t="s">
        <v>34</v>
      </c>
      <c r="X255" s="3" t="s">
        <v>720</v>
      </c>
      <c r="Y255" s="3">
        <v>5</v>
      </c>
      <c r="Z255" s="3">
        <v>1</v>
      </c>
      <c r="AA255" s="3" t="s">
        <v>49</v>
      </c>
      <c r="AB255" s="3" t="s">
        <v>189</v>
      </c>
      <c r="AC255" s="3" t="s">
        <v>664</v>
      </c>
      <c r="AD255" s="3" t="s">
        <v>593</v>
      </c>
      <c r="AE255" s="3" t="s">
        <v>87</v>
      </c>
      <c r="AF255" s="3" t="s">
        <v>664</v>
      </c>
      <c r="AG255" s="3" t="s">
        <v>32</v>
      </c>
    </row>
    <row r="256" spans="1:33" ht="15.75" customHeight="1">
      <c r="A256" s="1">
        <v>45197.672173680556</v>
      </c>
      <c r="B256" s="3" t="s">
        <v>1024</v>
      </c>
      <c r="C256" s="2">
        <v>44685</v>
      </c>
      <c r="D256" s="3">
        <v>35</v>
      </c>
      <c r="E256" s="3" t="s">
        <v>510</v>
      </c>
      <c r="F256" s="3" t="s">
        <v>531</v>
      </c>
      <c r="G256" s="3" t="s">
        <v>539</v>
      </c>
      <c r="H256" s="2">
        <v>44420</v>
      </c>
      <c r="I256" s="3">
        <v>1</v>
      </c>
      <c r="J256" s="3" t="s">
        <v>541</v>
      </c>
      <c r="K256" s="3">
        <v>3750</v>
      </c>
      <c r="L256" s="3">
        <v>41</v>
      </c>
      <c r="M256" s="3">
        <v>65</v>
      </c>
      <c r="N256" s="3">
        <v>82</v>
      </c>
      <c r="O256" s="3">
        <v>160</v>
      </c>
      <c r="P256" s="3" t="s">
        <v>44</v>
      </c>
      <c r="Q256" s="3" t="s">
        <v>26</v>
      </c>
      <c r="S256" s="3" t="s">
        <v>664</v>
      </c>
      <c r="T256" s="3" t="s">
        <v>79</v>
      </c>
      <c r="U256" s="3">
        <v>7</v>
      </c>
      <c r="V256" s="3">
        <v>1</v>
      </c>
      <c r="W256" s="3" t="s">
        <v>26</v>
      </c>
      <c r="AA256" s="3" t="s">
        <v>28</v>
      </c>
      <c r="AB256" s="3" t="s">
        <v>29</v>
      </c>
      <c r="AC256" s="3" t="s">
        <v>664</v>
      </c>
      <c r="AD256" s="3" t="s">
        <v>30</v>
      </c>
      <c r="AE256" s="3" t="s">
        <v>31</v>
      </c>
      <c r="AF256" s="3" t="s">
        <v>664</v>
      </c>
      <c r="AG256" s="3" t="s">
        <v>39</v>
      </c>
    </row>
    <row r="257" spans="1:33" ht="15.75" customHeight="1">
      <c r="A257" s="1">
        <v>45197.77133418982</v>
      </c>
      <c r="B257" s="3" t="s">
        <v>1024</v>
      </c>
      <c r="C257" s="2">
        <v>35804</v>
      </c>
      <c r="D257" s="3" t="s">
        <v>1161</v>
      </c>
      <c r="E257" s="3" t="s">
        <v>510</v>
      </c>
      <c r="F257" s="3" t="s">
        <v>521</v>
      </c>
      <c r="G257" s="3" t="s">
        <v>538</v>
      </c>
      <c r="H257" s="2">
        <v>43936</v>
      </c>
      <c r="I257" s="3">
        <v>1</v>
      </c>
      <c r="J257" s="3" t="s">
        <v>541</v>
      </c>
      <c r="K257" s="3" t="s">
        <v>1162</v>
      </c>
      <c r="L257" s="3" t="s">
        <v>680</v>
      </c>
      <c r="M257" s="3" t="s">
        <v>1163</v>
      </c>
      <c r="N257" s="3" t="s">
        <v>1164</v>
      </c>
      <c r="O257" s="3">
        <v>155</v>
      </c>
      <c r="P257" s="3" t="s">
        <v>50</v>
      </c>
      <c r="Q257" s="3" t="s">
        <v>34</v>
      </c>
      <c r="R257" s="3" t="s">
        <v>223</v>
      </c>
      <c r="S257" s="3" t="s">
        <v>664</v>
      </c>
      <c r="T257" s="3" t="s">
        <v>41</v>
      </c>
      <c r="U257" s="3">
        <v>7</v>
      </c>
      <c r="V257" s="3">
        <v>1</v>
      </c>
      <c r="W257" s="3" t="s">
        <v>26</v>
      </c>
      <c r="X257" s="3" t="s">
        <v>58</v>
      </c>
      <c r="Y257" s="3">
        <v>7</v>
      </c>
      <c r="Z257" s="3">
        <v>1</v>
      </c>
      <c r="AA257" s="3" t="s">
        <v>42</v>
      </c>
      <c r="AB257" s="3" t="s">
        <v>154</v>
      </c>
      <c r="AC257" s="3" t="s">
        <v>26</v>
      </c>
      <c r="AD257" s="3" t="s">
        <v>55</v>
      </c>
      <c r="AE257" s="3" t="s">
        <v>38</v>
      </c>
      <c r="AF257" s="3" t="s">
        <v>664</v>
      </c>
      <c r="AG257" s="3" t="s">
        <v>39</v>
      </c>
    </row>
    <row r="258" spans="1:33" ht="15.75" customHeight="1">
      <c r="A258" s="1">
        <v>45197.790734803246</v>
      </c>
      <c r="B258" s="3" t="s">
        <v>1024</v>
      </c>
      <c r="C258" s="2">
        <v>33675</v>
      </c>
      <c r="D258" s="3">
        <v>31</v>
      </c>
      <c r="E258" s="3" t="s">
        <v>510</v>
      </c>
      <c r="F258" s="3" t="s">
        <v>521</v>
      </c>
      <c r="G258" s="3" t="s">
        <v>539</v>
      </c>
      <c r="H258" s="2">
        <v>45038</v>
      </c>
      <c r="I258" s="3">
        <v>1</v>
      </c>
      <c r="J258" s="3" t="s">
        <v>542</v>
      </c>
      <c r="K258" s="3">
        <v>3870</v>
      </c>
      <c r="L258" s="3">
        <v>40</v>
      </c>
      <c r="M258" s="3">
        <v>59</v>
      </c>
      <c r="N258" s="3">
        <v>65</v>
      </c>
      <c r="O258" s="3">
        <v>162</v>
      </c>
      <c r="P258" s="3" t="s">
        <v>89</v>
      </c>
      <c r="Q258" s="3" t="s">
        <v>26</v>
      </c>
      <c r="S258" s="3" t="s">
        <v>664</v>
      </c>
      <c r="T258" s="3" t="s">
        <v>721</v>
      </c>
      <c r="U258" s="3">
        <v>7</v>
      </c>
      <c r="V258" s="3">
        <v>1</v>
      </c>
      <c r="W258" s="3" t="s">
        <v>26</v>
      </c>
      <c r="AA258" s="3" t="s">
        <v>36</v>
      </c>
      <c r="AB258" s="3" t="s">
        <v>29</v>
      </c>
      <c r="AC258" s="3" t="s">
        <v>664</v>
      </c>
      <c r="AD258" s="3" t="s">
        <v>37</v>
      </c>
      <c r="AE258" s="3" t="s">
        <v>38</v>
      </c>
      <c r="AF258" s="3" t="s">
        <v>664</v>
      </c>
      <c r="AG258" s="3" t="s">
        <v>39</v>
      </c>
    </row>
    <row r="259" spans="1:33" ht="15.75" customHeight="1">
      <c r="A259" s="1">
        <v>45197.878748148149</v>
      </c>
      <c r="B259" s="3" t="s">
        <v>1024</v>
      </c>
      <c r="C259" s="2">
        <v>33322</v>
      </c>
      <c r="D259" s="3">
        <v>32</v>
      </c>
      <c r="E259" s="3" t="s">
        <v>510</v>
      </c>
      <c r="F259" s="3" t="s">
        <v>531</v>
      </c>
      <c r="G259" s="3" t="s">
        <v>539</v>
      </c>
      <c r="H259" s="2">
        <v>44006</v>
      </c>
      <c r="I259" s="3">
        <v>2</v>
      </c>
      <c r="J259" s="3" t="s">
        <v>541</v>
      </c>
      <c r="K259" s="3" t="s">
        <v>1165</v>
      </c>
      <c r="L259" s="3" t="s">
        <v>722</v>
      </c>
      <c r="M259" s="3">
        <v>53</v>
      </c>
      <c r="N259" s="3">
        <v>62</v>
      </c>
      <c r="O259" s="3">
        <v>160</v>
      </c>
      <c r="P259" s="3" t="s">
        <v>33</v>
      </c>
      <c r="Q259" s="3" t="s">
        <v>26</v>
      </c>
      <c r="S259" s="3" t="s">
        <v>664</v>
      </c>
      <c r="T259" s="3" t="s">
        <v>43</v>
      </c>
      <c r="U259" s="3">
        <v>7</v>
      </c>
      <c r="V259" s="3">
        <v>1</v>
      </c>
      <c r="W259" s="3" t="s">
        <v>26</v>
      </c>
      <c r="AA259" s="3" t="s">
        <v>49</v>
      </c>
      <c r="AB259" s="3" t="s">
        <v>29</v>
      </c>
      <c r="AC259" s="3" t="s">
        <v>664</v>
      </c>
      <c r="AD259" s="3" t="s">
        <v>55</v>
      </c>
      <c r="AE259" s="3" t="s">
        <v>31</v>
      </c>
      <c r="AF259" s="3" t="s">
        <v>664</v>
      </c>
    </row>
    <row r="260" spans="1:33" ht="15.75" customHeight="1">
      <c r="A260" s="1">
        <v>45197.92657841435</v>
      </c>
      <c r="B260" s="3" t="s">
        <v>1024</v>
      </c>
      <c r="C260" s="2">
        <v>31442</v>
      </c>
      <c r="D260" s="3">
        <v>37</v>
      </c>
      <c r="E260" s="3" t="s">
        <v>510</v>
      </c>
      <c r="F260" s="3" t="s">
        <v>520</v>
      </c>
      <c r="G260" s="3" t="s">
        <v>540</v>
      </c>
      <c r="H260" s="2">
        <v>44181</v>
      </c>
      <c r="I260" s="3">
        <v>1</v>
      </c>
      <c r="J260" s="3" t="s">
        <v>541</v>
      </c>
      <c r="K260" s="3">
        <v>2330</v>
      </c>
      <c r="L260" s="3" t="s">
        <v>652</v>
      </c>
      <c r="M260" s="3">
        <v>53</v>
      </c>
      <c r="N260" s="3">
        <v>63</v>
      </c>
      <c r="O260" s="3">
        <v>158</v>
      </c>
      <c r="P260" s="3" t="s">
        <v>33</v>
      </c>
      <c r="Q260" s="3" t="s">
        <v>26</v>
      </c>
      <c r="S260" s="3" t="s">
        <v>664</v>
      </c>
      <c r="T260" s="3" t="s">
        <v>27</v>
      </c>
      <c r="U260" s="3">
        <v>7</v>
      </c>
      <c r="V260" s="3">
        <v>1</v>
      </c>
      <c r="W260" s="3" t="s">
        <v>26</v>
      </c>
      <c r="AA260" s="3" t="s">
        <v>49</v>
      </c>
      <c r="AB260" s="3" t="s">
        <v>29</v>
      </c>
      <c r="AC260" s="3" t="s">
        <v>664</v>
      </c>
      <c r="AD260" s="3" t="s">
        <v>37</v>
      </c>
      <c r="AE260" s="3" t="s">
        <v>60</v>
      </c>
      <c r="AF260" s="3" t="s">
        <v>664</v>
      </c>
      <c r="AG260" s="3" t="s">
        <v>39</v>
      </c>
    </row>
    <row r="261" spans="1:33" ht="15.75" customHeight="1">
      <c r="A261" s="1">
        <v>45197.976399641208</v>
      </c>
      <c r="B261" s="3" t="s">
        <v>1024</v>
      </c>
      <c r="C261" s="2">
        <v>30911</v>
      </c>
      <c r="D261" s="3">
        <v>39</v>
      </c>
      <c r="E261" s="3" t="s">
        <v>510</v>
      </c>
      <c r="F261" s="3" t="s">
        <v>520</v>
      </c>
      <c r="G261" s="3" t="s">
        <v>539</v>
      </c>
      <c r="H261" s="2">
        <v>44301</v>
      </c>
      <c r="I261" s="3">
        <v>3</v>
      </c>
      <c r="J261" s="3" t="s">
        <v>541</v>
      </c>
      <c r="K261" s="3" t="s">
        <v>1166</v>
      </c>
      <c r="L261" s="3" t="s">
        <v>660</v>
      </c>
      <c r="M261" s="3">
        <v>80</v>
      </c>
      <c r="N261" s="3">
        <v>85</v>
      </c>
      <c r="O261" s="3">
        <v>163</v>
      </c>
      <c r="P261" s="3" t="s">
        <v>44</v>
      </c>
      <c r="Q261" s="3" t="s">
        <v>26</v>
      </c>
      <c r="S261" s="3" t="s">
        <v>26</v>
      </c>
      <c r="T261" s="3" t="s">
        <v>41</v>
      </c>
      <c r="W261" s="3" t="s">
        <v>34</v>
      </c>
      <c r="X261" s="3" t="s">
        <v>58</v>
      </c>
      <c r="Y261" s="3">
        <v>7</v>
      </c>
      <c r="Z261" s="3">
        <v>1</v>
      </c>
      <c r="AA261" s="3" t="s">
        <v>54</v>
      </c>
      <c r="AB261" s="3" t="s">
        <v>225</v>
      </c>
      <c r="AC261" s="3" t="s">
        <v>664</v>
      </c>
      <c r="AD261" s="3" t="s">
        <v>30</v>
      </c>
      <c r="AE261" s="3" t="s">
        <v>38</v>
      </c>
      <c r="AF261" s="3" t="s">
        <v>664</v>
      </c>
      <c r="AG261" s="3" t="s">
        <v>62</v>
      </c>
    </row>
    <row r="262" spans="1:33" ht="15.75" customHeight="1">
      <c r="A262" s="1">
        <v>45198.333338206023</v>
      </c>
      <c r="B262" s="3" t="s">
        <v>1024</v>
      </c>
      <c r="C262" s="2">
        <v>31853</v>
      </c>
      <c r="D262" s="3">
        <v>36</v>
      </c>
      <c r="E262" s="3" t="s">
        <v>510</v>
      </c>
      <c r="F262" s="3" t="s">
        <v>520</v>
      </c>
      <c r="G262" s="3" t="s">
        <v>540</v>
      </c>
      <c r="H262" s="2">
        <v>44280</v>
      </c>
      <c r="I262" s="3">
        <v>1</v>
      </c>
      <c r="J262" s="3" t="s">
        <v>542</v>
      </c>
      <c r="K262" s="3">
        <v>3200</v>
      </c>
      <c r="L262" s="3" t="s">
        <v>723</v>
      </c>
      <c r="M262" s="3">
        <v>61</v>
      </c>
      <c r="N262" s="3">
        <v>73</v>
      </c>
      <c r="O262" s="3">
        <v>161</v>
      </c>
      <c r="P262" s="3" t="s">
        <v>33</v>
      </c>
      <c r="Q262" s="3" t="s">
        <v>26</v>
      </c>
      <c r="S262" s="3" t="s">
        <v>664</v>
      </c>
      <c r="T262" s="3" t="s">
        <v>43</v>
      </c>
      <c r="U262" s="3">
        <v>7</v>
      </c>
      <c r="V262" s="3">
        <v>1</v>
      </c>
      <c r="W262" s="3" t="s">
        <v>34</v>
      </c>
      <c r="X262" s="3" t="s">
        <v>147</v>
      </c>
      <c r="Y262" s="3">
        <v>7</v>
      </c>
      <c r="Z262" s="3">
        <v>2</v>
      </c>
      <c r="AA262" s="3" t="s">
        <v>49</v>
      </c>
      <c r="AB262" s="3" t="s">
        <v>226</v>
      </c>
      <c r="AC262" s="3" t="s">
        <v>664</v>
      </c>
      <c r="AD262" s="3" t="s">
        <v>37</v>
      </c>
      <c r="AE262" s="3" t="s">
        <v>38</v>
      </c>
      <c r="AF262" s="3" t="s">
        <v>664</v>
      </c>
      <c r="AG262" s="3" t="s">
        <v>39</v>
      </c>
    </row>
    <row r="263" spans="1:33" ht="15.75" customHeight="1">
      <c r="A263" s="1">
        <v>45198.408878726856</v>
      </c>
      <c r="B263" s="3" t="s">
        <v>1024</v>
      </c>
      <c r="C263" s="2">
        <v>31760</v>
      </c>
      <c r="D263" s="3">
        <v>36</v>
      </c>
      <c r="E263" s="3" t="s">
        <v>510</v>
      </c>
      <c r="F263" s="3" t="s">
        <v>520</v>
      </c>
      <c r="G263" s="3" t="s">
        <v>540</v>
      </c>
      <c r="H263" s="2">
        <v>44792</v>
      </c>
      <c r="I263" s="3">
        <v>1</v>
      </c>
      <c r="J263" s="3" t="s">
        <v>541</v>
      </c>
      <c r="K263" s="3">
        <v>3355</v>
      </c>
      <c r="L263" s="3" t="s">
        <v>724</v>
      </c>
      <c r="M263" s="3">
        <v>62</v>
      </c>
      <c r="N263" s="3">
        <v>73</v>
      </c>
      <c r="O263" s="3">
        <v>167</v>
      </c>
      <c r="P263" s="3" t="s">
        <v>33</v>
      </c>
      <c r="Q263" s="3" t="s">
        <v>26</v>
      </c>
      <c r="S263" s="3" t="s">
        <v>664</v>
      </c>
      <c r="T263" s="3" t="s">
        <v>27</v>
      </c>
      <c r="U263" s="3">
        <v>7</v>
      </c>
      <c r="V263" s="3">
        <v>1</v>
      </c>
      <c r="W263" s="3" t="s">
        <v>34</v>
      </c>
      <c r="X263" s="3" t="s">
        <v>58</v>
      </c>
      <c r="Y263" s="3">
        <v>7</v>
      </c>
      <c r="Z263" s="3">
        <v>2</v>
      </c>
      <c r="AA263" s="3" t="s">
        <v>36</v>
      </c>
      <c r="AB263" s="3" t="s">
        <v>29</v>
      </c>
      <c r="AC263" s="3" t="s">
        <v>664</v>
      </c>
      <c r="AD263" s="3" t="s">
        <v>59</v>
      </c>
      <c r="AE263" s="3" t="s">
        <v>31</v>
      </c>
      <c r="AF263" s="3" t="s">
        <v>664</v>
      </c>
      <c r="AG263" s="3" t="s">
        <v>32</v>
      </c>
    </row>
    <row r="264" spans="1:33" ht="15.75" customHeight="1">
      <c r="A264" s="1">
        <v>45198.503830173606</v>
      </c>
      <c r="B264" s="3" t="s">
        <v>1024</v>
      </c>
      <c r="C264" s="2">
        <v>34163</v>
      </c>
      <c r="D264" s="3">
        <v>30</v>
      </c>
      <c r="E264" s="3" t="s">
        <v>510</v>
      </c>
      <c r="F264" s="3" t="s">
        <v>520</v>
      </c>
      <c r="G264" s="3" t="s">
        <v>539</v>
      </c>
      <c r="H264" s="2">
        <v>43584</v>
      </c>
      <c r="I264" s="3">
        <v>1</v>
      </c>
      <c r="J264" s="3" t="s">
        <v>542</v>
      </c>
      <c r="K264" s="3" t="s">
        <v>1079</v>
      </c>
      <c r="L264" s="3" t="s">
        <v>719</v>
      </c>
      <c r="M264" s="3">
        <v>73</v>
      </c>
      <c r="N264" s="3">
        <v>83</v>
      </c>
      <c r="O264" s="3">
        <v>163</v>
      </c>
      <c r="P264" s="3" t="s">
        <v>33</v>
      </c>
      <c r="Q264" s="3" t="s">
        <v>26</v>
      </c>
      <c r="S264" s="3" t="s">
        <v>664</v>
      </c>
      <c r="T264" s="3" t="s">
        <v>27</v>
      </c>
      <c r="U264" s="3">
        <v>7</v>
      </c>
      <c r="V264" s="3">
        <v>1</v>
      </c>
      <c r="W264" s="3" t="s">
        <v>26</v>
      </c>
      <c r="AA264" s="3" t="s">
        <v>49</v>
      </c>
      <c r="AB264" s="3" t="s">
        <v>29</v>
      </c>
      <c r="AC264" s="3" t="s">
        <v>664</v>
      </c>
      <c r="AD264" s="3" t="s">
        <v>30</v>
      </c>
      <c r="AE264" s="3" t="s">
        <v>87</v>
      </c>
      <c r="AF264" s="3" t="s">
        <v>664</v>
      </c>
      <c r="AG264" s="3" t="s">
        <v>39</v>
      </c>
    </row>
    <row r="265" spans="1:33" ht="15.75" customHeight="1">
      <c r="A265" s="1">
        <v>45198.51691766204</v>
      </c>
      <c r="B265" s="3" t="s">
        <v>1024</v>
      </c>
      <c r="C265" s="2">
        <v>32106</v>
      </c>
      <c r="D265" s="3">
        <v>35</v>
      </c>
      <c r="E265" s="3" t="s">
        <v>510</v>
      </c>
      <c r="F265" s="3" t="s">
        <v>520</v>
      </c>
      <c r="G265" s="3" t="s">
        <v>539</v>
      </c>
      <c r="H265" s="2">
        <v>44896</v>
      </c>
      <c r="I265" s="3">
        <v>1</v>
      </c>
      <c r="J265" s="3" t="s">
        <v>542</v>
      </c>
      <c r="K265" s="3" t="s">
        <v>1167</v>
      </c>
      <c r="L265" s="3" t="s">
        <v>1168</v>
      </c>
      <c r="M265" s="3">
        <v>45</v>
      </c>
      <c r="N265" s="3">
        <v>54</v>
      </c>
      <c r="O265" s="3">
        <v>150</v>
      </c>
      <c r="P265" s="3" t="s">
        <v>33</v>
      </c>
      <c r="Q265" s="3" t="s">
        <v>26</v>
      </c>
      <c r="S265" s="3" t="s">
        <v>664</v>
      </c>
      <c r="T265" s="3" t="s">
        <v>43</v>
      </c>
      <c r="U265" s="3">
        <v>7</v>
      </c>
      <c r="V265" s="3">
        <v>1</v>
      </c>
      <c r="W265" s="3" t="s">
        <v>34</v>
      </c>
      <c r="X265" s="3" t="s">
        <v>227</v>
      </c>
      <c r="Y265" s="3">
        <v>7</v>
      </c>
      <c r="Z265" s="3">
        <v>1</v>
      </c>
      <c r="AA265" s="3" t="s">
        <v>228</v>
      </c>
      <c r="AB265" s="3" t="s">
        <v>29</v>
      </c>
      <c r="AC265" s="3" t="s">
        <v>664</v>
      </c>
      <c r="AD265" s="3" t="s">
        <v>59</v>
      </c>
      <c r="AE265" s="3" t="s">
        <v>31</v>
      </c>
      <c r="AF265" s="3" t="s">
        <v>664</v>
      </c>
      <c r="AG265" s="3" t="s">
        <v>32</v>
      </c>
    </row>
    <row r="266" spans="1:33" ht="15.75" customHeight="1">
      <c r="A266" s="1">
        <v>45204.706955462963</v>
      </c>
      <c r="B266" s="3" t="s">
        <v>1024</v>
      </c>
      <c r="C266" s="2">
        <v>31492</v>
      </c>
      <c r="D266" s="3">
        <v>37</v>
      </c>
      <c r="E266" s="3" t="s">
        <v>510</v>
      </c>
      <c r="F266" s="3" t="s">
        <v>520</v>
      </c>
      <c r="G266" s="3" t="s">
        <v>540</v>
      </c>
      <c r="H266" s="2">
        <v>43747</v>
      </c>
      <c r="I266" s="3">
        <v>1</v>
      </c>
      <c r="J266" s="3" t="s">
        <v>542</v>
      </c>
      <c r="K266" s="3">
        <v>2600</v>
      </c>
      <c r="L266" s="3">
        <v>39</v>
      </c>
      <c r="M266" s="3">
        <v>48</v>
      </c>
      <c r="N266" s="3">
        <v>55</v>
      </c>
      <c r="O266" s="3">
        <v>157</v>
      </c>
      <c r="P266" s="3" t="s">
        <v>33</v>
      </c>
      <c r="Q266" s="3" t="s">
        <v>26</v>
      </c>
      <c r="S266" s="3" t="s">
        <v>664</v>
      </c>
      <c r="T266" s="3" t="s">
        <v>79</v>
      </c>
      <c r="U266" s="3">
        <v>7</v>
      </c>
      <c r="V266" s="3">
        <v>1</v>
      </c>
      <c r="W266" s="3" t="s">
        <v>34</v>
      </c>
      <c r="X266" s="3" t="s">
        <v>58</v>
      </c>
      <c r="Y266" s="3">
        <v>7</v>
      </c>
      <c r="Z266" s="3">
        <v>1</v>
      </c>
      <c r="AA266" s="3" t="s">
        <v>49</v>
      </c>
      <c r="AB266" s="3" t="s">
        <v>229</v>
      </c>
      <c r="AC266" s="3" t="s">
        <v>664</v>
      </c>
      <c r="AD266" s="3" t="s">
        <v>30</v>
      </c>
      <c r="AE266" s="3" t="s">
        <v>31</v>
      </c>
      <c r="AF266" s="3" t="s">
        <v>664</v>
      </c>
      <c r="AG266" s="3" t="s">
        <v>32</v>
      </c>
    </row>
    <row r="267" spans="1:33" ht="15.75" customHeight="1">
      <c r="A267" s="1">
        <v>45205.418606932872</v>
      </c>
      <c r="B267" s="3" t="s">
        <v>1024</v>
      </c>
      <c r="C267" s="2">
        <v>30683</v>
      </c>
      <c r="D267" s="3">
        <v>39</v>
      </c>
      <c r="E267" s="3" t="s">
        <v>510</v>
      </c>
      <c r="F267" s="3" t="s">
        <v>520</v>
      </c>
      <c r="G267" s="3" t="s">
        <v>539</v>
      </c>
      <c r="H267" s="2">
        <v>44207</v>
      </c>
      <c r="I267" s="3">
        <v>3</v>
      </c>
      <c r="J267" s="3" t="s">
        <v>542</v>
      </c>
      <c r="K267" s="3" t="s">
        <v>1169</v>
      </c>
      <c r="L267" s="3" t="s">
        <v>652</v>
      </c>
      <c r="M267" s="3" t="s">
        <v>1170</v>
      </c>
      <c r="N267" s="3" t="s">
        <v>1171</v>
      </c>
      <c r="O267" s="3">
        <v>166</v>
      </c>
      <c r="P267" s="3" t="s">
        <v>33</v>
      </c>
      <c r="Q267" s="3" t="s">
        <v>26</v>
      </c>
      <c r="S267" s="3" t="s">
        <v>664</v>
      </c>
      <c r="T267" s="3" t="s">
        <v>57</v>
      </c>
      <c r="U267" s="3">
        <v>7</v>
      </c>
      <c r="V267" s="3">
        <v>1</v>
      </c>
      <c r="W267" s="3" t="s">
        <v>26</v>
      </c>
      <c r="AA267" s="3" t="s">
        <v>28</v>
      </c>
      <c r="AB267" s="3" t="s">
        <v>230</v>
      </c>
      <c r="AC267" s="3" t="s">
        <v>26</v>
      </c>
      <c r="AE267" s="3" t="s">
        <v>60</v>
      </c>
      <c r="AF267" s="3" t="s">
        <v>26</v>
      </c>
    </row>
    <row r="268" spans="1:33" ht="15.75" customHeight="1">
      <c r="A268" s="1">
        <v>45205.419359733802</v>
      </c>
      <c r="B268" s="3" t="s">
        <v>1024</v>
      </c>
      <c r="C268" s="2">
        <v>35732</v>
      </c>
      <c r="D268" s="3">
        <v>25</v>
      </c>
      <c r="E268" s="3" t="s">
        <v>510</v>
      </c>
      <c r="F268" s="3" t="s">
        <v>530</v>
      </c>
      <c r="G268" s="3" t="s">
        <v>538</v>
      </c>
      <c r="H268" s="2">
        <v>44733</v>
      </c>
      <c r="I268" s="3">
        <v>1</v>
      </c>
      <c r="J268" s="3" t="s">
        <v>541</v>
      </c>
      <c r="K268" s="3">
        <v>3530</v>
      </c>
      <c r="L268" s="3">
        <v>39</v>
      </c>
      <c r="M268" s="3">
        <v>62</v>
      </c>
      <c r="N268" s="3">
        <v>74</v>
      </c>
      <c r="O268" s="3">
        <v>153</v>
      </c>
      <c r="P268" s="3" t="s">
        <v>33</v>
      </c>
      <c r="Q268" s="3" t="s">
        <v>26</v>
      </c>
      <c r="S268" s="3" t="s">
        <v>664</v>
      </c>
      <c r="T268" s="3" t="s">
        <v>43</v>
      </c>
      <c r="U268" s="3">
        <v>7</v>
      </c>
      <c r="V268" s="3">
        <v>1</v>
      </c>
      <c r="W268" s="3" t="s">
        <v>26</v>
      </c>
      <c r="AA268" s="3" t="s">
        <v>49</v>
      </c>
      <c r="AB268" s="3" t="s">
        <v>29</v>
      </c>
      <c r="AC268" s="3" t="s">
        <v>664</v>
      </c>
      <c r="AD268" s="3" t="s">
        <v>59</v>
      </c>
      <c r="AE268" s="3" t="s">
        <v>87</v>
      </c>
      <c r="AF268" s="3" t="s">
        <v>664</v>
      </c>
      <c r="AG268" s="3" t="s">
        <v>94</v>
      </c>
    </row>
    <row r="269" spans="1:33" ht="15.75" customHeight="1">
      <c r="A269" s="1">
        <v>45205.431239756945</v>
      </c>
      <c r="B269" s="3" t="s">
        <v>1024</v>
      </c>
      <c r="C269" s="2">
        <v>32089</v>
      </c>
      <c r="D269" s="3">
        <v>35</v>
      </c>
      <c r="E269" s="3" t="s">
        <v>510</v>
      </c>
      <c r="F269" s="3" t="s">
        <v>532</v>
      </c>
      <c r="G269" s="3" t="s">
        <v>539</v>
      </c>
      <c r="H269" s="2">
        <v>43655</v>
      </c>
      <c r="I269" s="3">
        <v>1</v>
      </c>
      <c r="J269" s="3" t="s">
        <v>542</v>
      </c>
      <c r="K269" s="3">
        <v>2990</v>
      </c>
      <c r="L269" s="3" t="s">
        <v>725</v>
      </c>
      <c r="M269" s="3">
        <v>58</v>
      </c>
      <c r="N269" s="3">
        <v>62</v>
      </c>
      <c r="O269" s="3">
        <v>155</v>
      </c>
      <c r="P269" s="3" t="s">
        <v>33</v>
      </c>
      <c r="Q269" s="3" t="s">
        <v>26</v>
      </c>
      <c r="S269" s="3" t="s">
        <v>664</v>
      </c>
      <c r="T269" s="3" t="s">
        <v>57</v>
      </c>
      <c r="U269" s="3">
        <v>7</v>
      </c>
      <c r="V269" s="3">
        <v>1</v>
      </c>
      <c r="W269" s="3" t="s">
        <v>26</v>
      </c>
      <c r="AA269" s="3" t="s">
        <v>49</v>
      </c>
      <c r="AB269" s="3" t="s">
        <v>29</v>
      </c>
      <c r="AC269" s="3" t="s">
        <v>664</v>
      </c>
      <c r="AD269" s="3" t="s">
        <v>55</v>
      </c>
      <c r="AE269" s="3" t="s">
        <v>31</v>
      </c>
      <c r="AF269" s="3" t="s">
        <v>664</v>
      </c>
      <c r="AG269" s="3" t="s">
        <v>48</v>
      </c>
    </row>
    <row r="270" spans="1:33" ht="15.75" customHeight="1">
      <c r="A270" s="1">
        <v>45206.515573287033</v>
      </c>
      <c r="B270" s="3" t="s">
        <v>1024</v>
      </c>
      <c r="C270" s="2">
        <v>28544</v>
      </c>
      <c r="D270" s="3">
        <v>45</v>
      </c>
      <c r="E270" s="3" t="s">
        <v>510</v>
      </c>
      <c r="F270" s="3" t="s">
        <v>530</v>
      </c>
      <c r="G270" s="3" t="s">
        <v>539</v>
      </c>
      <c r="H270" s="2">
        <v>43433</v>
      </c>
      <c r="I270" s="3">
        <v>1</v>
      </c>
      <c r="J270" s="3" t="s">
        <v>541</v>
      </c>
      <c r="K270" s="3" t="s">
        <v>1172</v>
      </c>
      <c r="L270" s="3" t="s">
        <v>627</v>
      </c>
      <c r="M270" s="3">
        <v>53</v>
      </c>
      <c r="N270" s="3">
        <v>60</v>
      </c>
      <c r="O270" s="3">
        <v>148</v>
      </c>
      <c r="P270" s="3" t="s">
        <v>44</v>
      </c>
      <c r="Q270" s="3" t="s">
        <v>26</v>
      </c>
      <c r="S270" s="3" t="s">
        <v>664</v>
      </c>
      <c r="T270" s="3" t="s">
        <v>43</v>
      </c>
      <c r="U270" s="3">
        <v>7</v>
      </c>
      <c r="V270" s="3">
        <v>1</v>
      </c>
      <c r="W270" s="3" t="s">
        <v>26</v>
      </c>
      <c r="X270" s="3" t="s">
        <v>231</v>
      </c>
      <c r="Y270" s="3">
        <v>7</v>
      </c>
      <c r="Z270" s="3">
        <v>1</v>
      </c>
      <c r="AA270" s="3" t="s">
        <v>36</v>
      </c>
      <c r="AB270" s="3" t="s">
        <v>29</v>
      </c>
      <c r="AC270" s="3" t="s">
        <v>664</v>
      </c>
      <c r="AD270" s="3" t="s">
        <v>30</v>
      </c>
      <c r="AE270" s="3" t="s">
        <v>38</v>
      </c>
      <c r="AF270" s="3" t="s">
        <v>664</v>
      </c>
      <c r="AG270" s="3" t="s">
        <v>39</v>
      </c>
    </row>
    <row r="271" spans="1:33" ht="15.75" customHeight="1">
      <c r="A271" s="1">
        <v>45206.561868159726</v>
      </c>
      <c r="B271" s="3" t="s">
        <v>1024</v>
      </c>
      <c r="C271" s="2">
        <v>35741</v>
      </c>
      <c r="D271" s="3">
        <v>25</v>
      </c>
      <c r="E271" s="3" t="s">
        <v>510</v>
      </c>
      <c r="F271" s="3" t="s">
        <v>528</v>
      </c>
      <c r="G271" s="3" t="s">
        <v>540</v>
      </c>
      <c r="H271" s="2">
        <v>44966</v>
      </c>
      <c r="I271" s="3">
        <v>1</v>
      </c>
      <c r="J271" s="3" t="s">
        <v>541</v>
      </c>
      <c r="K271" s="3">
        <v>3820</v>
      </c>
      <c r="L271" s="3">
        <v>32</v>
      </c>
      <c r="M271" s="3">
        <v>73</v>
      </c>
      <c r="N271" s="3">
        <v>75</v>
      </c>
      <c r="O271" s="3">
        <v>160</v>
      </c>
      <c r="P271" s="3" t="s">
        <v>25</v>
      </c>
      <c r="Q271" s="3" t="s">
        <v>34</v>
      </c>
      <c r="R271" s="3" t="s">
        <v>232</v>
      </c>
      <c r="S271" s="3" t="s">
        <v>664</v>
      </c>
      <c r="T271" s="3" t="s">
        <v>43</v>
      </c>
      <c r="U271" s="3">
        <v>7</v>
      </c>
      <c r="V271" s="3">
        <v>1</v>
      </c>
      <c r="W271" s="3" t="s">
        <v>34</v>
      </c>
      <c r="X271" s="3" t="s">
        <v>58</v>
      </c>
      <c r="Y271" s="3">
        <v>7</v>
      </c>
      <c r="Z271" s="3">
        <v>1</v>
      </c>
      <c r="AA271" s="3" t="s">
        <v>49</v>
      </c>
      <c r="AB271" s="3" t="s">
        <v>233</v>
      </c>
      <c r="AC271" s="3" t="s">
        <v>664</v>
      </c>
      <c r="AD271" s="3" t="s">
        <v>55</v>
      </c>
      <c r="AE271" s="3" t="s">
        <v>31</v>
      </c>
      <c r="AF271" s="3" t="s">
        <v>664</v>
      </c>
      <c r="AG271" s="3" t="s">
        <v>39</v>
      </c>
    </row>
    <row r="272" spans="1:33" ht="15.75" customHeight="1">
      <c r="A272" s="1">
        <v>45206.678511990744</v>
      </c>
      <c r="B272" s="3" t="s">
        <v>1024</v>
      </c>
      <c r="C272" s="2">
        <v>31418</v>
      </c>
      <c r="D272" s="3">
        <v>37</v>
      </c>
      <c r="E272" s="3" t="s">
        <v>510</v>
      </c>
      <c r="F272" s="3" t="s">
        <v>528</v>
      </c>
      <c r="G272" s="3" t="s">
        <v>539</v>
      </c>
      <c r="H272" s="2">
        <v>44376</v>
      </c>
      <c r="I272" s="3">
        <v>1</v>
      </c>
      <c r="J272" s="3" t="s">
        <v>541</v>
      </c>
      <c r="K272" s="3" t="s">
        <v>1173</v>
      </c>
      <c r="L272" s="3" t="s">
        <v>662</v>
      </c>
      <c r="M272" s="3" t="s">
        <v>1174</v>
      </c>
      <c r="N272" s="3" t="s">
        <v>1175</v>
      </c>
      <c r="O272" s="3">
        <v>155</v>
      </c>
      <c r="P272" s="3" t="s">
        <v>726</v>
      </c>
      <c r="Q272" s="3" t="s">
        <v>26</v>
      </c>
      <c r="S272" s="3" t="s">
        <v>664</v>
      </c>
      <c r="T272" s="3" t="s">
        <v>79</v>
      </c>
      <c r="U272" s="3">
        <v>7</v>
      </c>
      <c r="V272" s="3">
        <v>1</v>
      </c>
      <c r="W272" s="3" t="s">
        <v>34</v>
      </c>
      <c r="X272" s="3" t="s">
        <v>58</v>
      </c>
      <c r="Y272" s="3">
        <v>7</v>
      </c>
      <c r="Z272" s="3">
        <v>1</v>
      </c>
      <c r="AA272" s="3" t="s">
        <v>49</v>
      </c>
      <c r="AB272" s="3" t="s">
        <v>29</v>
      </c>
      <c r="AC272" s="3" t="s">
        <v>664</v>
      </c>
      <c r="AD272" s="3" t="s">
        <v>30</v>
      </c>
      <c r="AE272" s="3" t="s">
        <v>38</v>
      </c>
      <c r="AF272" s="3" t="s">
        <v>664</v>
      </c>
      <c r="AG272" s="3" t="s">
        <v>32</v>
      </c>
    </row>
    <row r="273" spans="1:33" ht="15.75" customHeight="1">
      <c r="A273" s="1">
        <v>45206.845424513886</v>
      </c>
      <c r="B273" s="3" t="s">
        <v>1024</v>
      </c>
      <c r="C273" s="2">
        <v>31919</v>
      </c>
      <c r="D273" s="3">
        <v>36</v>
      </c>
      <c r="E273" s="3" t="s">
        <v>510</v>
      </c>
      <c r="F273" s="3" t="s">
        <v>527</v>
      </c>
      <c r="G273" s="3" t="s">
        <v>539</v>
      </c>
      <c r="H273" s="2">
        <v>43859</v>
      </c>
      <c r="I273" s="3">
        <v>2</v>
      </c>
      <c r="J273" s="3" t="s">
        <v>541</v>
      </c>
      <c r="K273" s="3" t="s">
        <v>1047</v>
      </c>
      <c r="L273" s="3" t="s">
        <v>634</v>
      </c>
      <c r="M273" s="3">
        <v>90</v>
      </c>
      <c r="N273" s="3">
        <v>102</v>
      </c>
      <c r="O273" s="3">
        <v>164</v>
      </c>
      <c r="P273" s="3" t="s">
        <v>33</v>
      </c>
      <c r="Q273" s="3" t="s">
        <v>26</v>
      </c>
      <c r="S273" s="3" t="s">
        <v>26</v>
      </c>
      <c r="T273" s="3" t="s">
        <v>121</v>
      </c>
      <c r="W273" s="3" t="s">
        <v>34</v>
      </c>
      <c r="X273" s="3" t="s">
        <v>98</v>
      </c>
      <c r="Y273" s="3">
        <v>7</v>
      </c>
      <c r="Z273" s="3">
        <v>2</v>
      </c>
      <c r="AA273" s="3" t="s">
        <v>51</v>
      </c>
      <c r="AB273" s="3" t="s">
        <v>29</v>
      </c>
      <c r="AC273" s="3" t="s">
        <v>664</v>
      </c>
      <c r="AD273" s="3" t="s">
        <v>30</v>
      </c>
      <c r="AE273" s="3" t="s">
        <v>31</v>
      </c>
      <c r="AF273" s="3" t="s">
        <v>664</v>
      </c>
      <c r="AG273" s="3" t="s">
        <v>32</v>
      </c>
    </row>
    <row r="274" spans="1:33" ht="15.75" customHeight="1">
      <c r="A274" s="1">
        <v>45206.868639143519</v>
      </c>
      <c r="B274" s="3" t="s">
        <v>1024</v>
      </c>
      <c r="C274" s="2">
        <v>31747</v>
      </c>
      <c r="D274" s="3">
        <v>36</v>
      </c>
      <c r="E274" s="3" t="s">
        <v>510</v>
      </c>
      <c r="F274" s="3" t="s">
        <v>521</v>
      </c>
      <c r="G274" s="3" t="s">
        <v>539</v>
      </c>
      <c r="H274" s="2">
        <v>43273</v>
      </c>
      <c r="I274" s="3">
        <v>1</v>
      </c>
      <c r="J274" s="3" t="s">
        <v>542</v>
      </c>
      <c r="K274" s="3">
        <v>2950</v>
      </c>
      <c r="L274" s="3">
        <v>38</v>
      </c>
      <c r="M274" s="3">
        <v>56</v>
      </c>
      <c r="N274" s="3">
        <v>67.5</v>
      </c>
      <c r="O274" s="3">
        <v>1.55</v>
      </c>
      <c r="P274" s="3" t="s">
        <v>173</v>
      </c>
      <c r="Q274" s="3" t="s">
        <v>26</v>
      </c>
      <c r="S274" s="3" t="s">
        <v>664</v>
      </c>
      <c r="T274" s="3" t="s">
        <v>79</v>
      </c>
      <c r="U274" s="3">
        <v>7</v>
      </c>
      <c r="V274" s="3">
        <v>1</v>
      </c>
      <c r="W274" s="3" t="s">
        <v>26</v>
      </c>
      <c r="AA274" s="3" t="s">
        <v>49</v>
      </c>
      <c r="AB274" s="3" t="s">
        <v>234</v>
      </c>
      <c r="AC274" s="3" t="s">
        <v>664</v>
      </c>
      <c r="AD274" s="3" t="s">
        <v>30</v>
      </c>
      <c r="AE274" s="3" t="s">
        <v>31</v>
      </c>
      <c r="AF274" s="3" t="s">
        <v>664</v>
      </c>
      <c r="AG274" s="3" t="s">
        <v>94</v>
      </c>
    </row>
    <row r="275" spans="1:33" ht="15.75" customHeight="1">
      <c r="A275" s="1">
        <v>45206.891240740741</v>
      </c>
      <c r="B275" s="3" t="s">
        <v>1024</v>
      </c>
      <c r="C275" s="2">
        <v>30191</v>
      </c>
      <c r="D275" s="3">
        <v>41</v>
      </c>
      <c r="E275" s="3" t="s">
        <v>510</v>
      </c>
      <c r="F275" s="3" t="s">
        <v>520</v>
      </c>
      <c r="G275" s="3" t="s">
        <v>540</v>
      </c>
      <c r="H275" s="2">
        <v>44892</v>
      </c>
      <c r="I275" s="3">
        <v>2</v>
      </c>
      <c r="J275" s="3" t="s">
        <v>542</v>
      </c>
      <c r="K275" s="3">
        <v>3150</v>
      </c>
      <c r="L275" s="3" t="s">
        <v>618</v>
      </c>
      <c r="M275" s="3">
        <v>82</v>
      </c>
      <c r="N275" s="3" t="s">
        <v>1176</v>
      </c>
      <c r="O275" s="3" t="s">
        <v>1177</v>
      </c>
      <c r="P275" s="3" t="s">
        <v>25</v>
      </c>
      <c r="Q275" s="3" t="s">
        <v>26</v>
      </c>
      <c r="S275" s="3" t="s">
        <v>664</v>
      </c>
      <c r="T275" s="3" t="s">
        <v>235</v>
      </c>
      <c r="U275" s="3">
        <v>7</v>
      </c>
      <c r="V275" s="3">
        <v>1</v>
      </c>
      <c r="W275" s="3" t="s">
        <v>34</v>
      </c>
      <c r="X275" s="3" t="s">
        <v>235</v>
      </c>
      <c r="Y275" s="3">
        <v>7</v>
      </c>
      <c r="Z275" s="3">
        <v>1</v>
      </c>
      <c r="AA275" s="3" t="s">
        <v>42</v>
      </c>
      <c r="AB275" s="3" t="s">
        <v>29</v>
      </c>
      <c r="AC275" s="3" t="s">
        <v>664</v>
      </c>
      <c r="AD275" s="3" t="s">
        <v>37</v>
      </c>
      <c r="AE275" s="3" t="s">
        <v>31</v>
      </c>
      <c r="AF275" s="3" t="s">
        <v>664</v>
      </c>
      <c r="AG275" s="3" t="s">
        <v>32</v>
      </c>
    </row>
    <row r="276" spans="1:33" ht="15.75" customHeight="1">
      <c r="A276" s="1">
        <v>45206.982235821764</v>
      </c>
      <c r="B276" s="3" t="s">
        <v>1024</v>
      </c>
      <c r="C276" s="2">
        <v>32858</v>
      </c>
      <c r="D276" s="3">
        <v>33</v>
      </c>
      <c r="E276" s="3" t="s">
        <v>510</v>
      </c>
      <c r="F276" s="3" t="s">
        <v>532</v>
      </c>
      <c r="G276" s="3" t="s">
        <v>540</v>
      </c>
      <c r="H276" s="2">
        <v>45115</v>
      </c>
      <c r="I276" s="3">
        <v>3</v>
      </c>
      <c r="J276" s="3" t="s">
        <v>541</v>
      </c>
      <c r="K276" s="3" t="s">
        <v>1178</v>
      </c>
      <c r="L276" s="3" t="s">
        <v>727</v>
      </c>
      <c r="M276" s="3">
        <v>82</v>
      </c>
      <c r="N276" s="3">
        <v>85</v>
      </c>
      <c r="O276" s="3">
        <v>160</v>
      </c>
      <c r="P276" s="3" t="s">
        <v>50</v>
      </c>
      <c r="Q276" s="3" t="s">
        <v>26</v>
      </c>
      <c r="S276" s="3" t="s">
        <v>664</v>
      </c>
      <c r="T276" s="3" t="s">
        <v>57</v>
      </c>
      <c r="U276" s="3">
        <v>7</v>
      </c>
      <c r="V276" s="3">
        <v>1</v>
      </c>
      <c r="W276" s="3" t="s">
        <v>26</v>
      </c>
      <c r="AA276" s="3" t="s">
        <v>28</v>
      </c>
      <c r="AB276" s="3" t="s">
        <v>29</v>
      </c>
      <c r="AC276" s="3" t="s">
        <v>664</v>
      </c>
      <c r="AD276" s="3" t="s">
        <v>55</v>
      </c>
      <c r="AE276" s="3" t="s">
        <v>72</v>
      </c>
      <c r="AF276" s="3" t="s">
        <v>664</v>
      </c>
      <c r="AG276" s="3" t="s">
        <v>39</v>
      </c>
    </row>
    <row r="277" spans="1:33" ht="15.75" customHeight="1">
      <c r="A277" s="1">
        <v>45207.027091365744</v>
      </c>
      <c r="B277" s="3" t="s">
        <v>1024</v>
      </c>
      <c r="C277" s="2">
        <v>33898</v>
      </c>
      <c r="D277" s="3">
        <v>28</v>
      </c>
      <c r="E277" s="3" t="s">
        <v>510</v>
      </c>
      <c r="F277" s="3" t="s">
        <v>523</v>
      </c>
      <c r="G277" s="3" t="s">
        <v>539</v>
      </c>
      <c r="H277" s="2">
        <v>44421</v>
      </c>
      <c r="I277" s="3">
        <v>1</v>
      </c>
      <c r="J277" s="3" t="s">
        <v>542</v>
      </c>
      <c r="K277" s="3">
        <v>3180</v>
      </c>
      <c r="L277" s="3" t="s">
        <v>644</v>
      </c>
      <c r="M277" s="3">
        <v>57</v>
      </c>
      <c r="N277" s="3">
        <v>69</v>
      </c>
      <c r="O277" s="3">
        <v>164</v>
      </c>
      <c r="P277" s="3" t="s">
        <v>33</v>
      </c>
      <c r="Q277" s="3" t="s">
        <v>26</v>
      </c>
      <c r="S277" s="3" t="s">
        <v>664</v>
      </c>
      <c r="T277" s="3" t="s">
        <v>43</v>
      </c>
      <c r="U277" s="3">
        <v>7</v>
      </c>
      <c r="V277" s="3">
        <v>1</v>
      </c>
      <c r="W277" s="3" t="s">
        <v>34</v>
      </c>
      <c r="X277" s="3" t="s">
        <v>236</v>
      </c>
      <c r="Y277" s="3">
        <v>7</v>
      </c>
      <c r="Z277" s="3">
        <v>1</v>
      </c>
      <c r="AA277" s="3" t="s">
        <v>49</v>
      </c>
      <c r="AB277" s="3" t="s">
        <v>29</v>
      </c>
      <c r="AC277" s="3" t="s">
        <v>664</v>
      </c>
      <c r="AD277" s="3" t="s">
        <v>55</v>
      </c>
      <c r="AE277" s="3" t="s">
        <v>38</v>
      </c>
      <c r="AF277" s="3" t="s">
        <v>664</v>
      </c>
      <c r="AG277" s="3" t="s">
        <v>48</v>
      </c>
    </row>
    <row r="278" spans="1:33" ht="15.75" customHeight="1">
      <c r="A278" s="1">
        <v>45207.059659409722</v>
      </c>
      <c r="B278" s="3" t="s">
        <v>1024</v>
      </c>
      <c r="C278" s="2">
        <v>32490</v>
      </c>
      <c r="D278" s="3">
        <v>34</v>
      </c>
      <c r="E278" s="3" t="s">
        <v>510</v>
      </c>
      <c r="F278" s="3" t="s">
        <v>525</v>
      </c>
      <c r="G278" s="3" t="s">
        <v>539</v>
      </c>
      <c r="H278" s="2">
        <v>44813</v>
      </c>
      <c r="I278" s="3">
        <v>1</v>
      </c>
      <c r="J278" s="3" t="s">
        <v>542</v>
      </c>
      <c r="K278" s="3">
        <v>3490</v>
      </c>
      <c r="L278" s="3" t="s">
        <v>627</v>
      </c>
      <c r="M278" s="3">
        <v>50</v>
      </c>
      <c r="N278" s="3">
        <v>59</v>
      </c>
      <c r="O278" s="3">
        <v>165</v>
      </c>
      <c r="P278" s="3" t="s">
        <v>33</v>
      </c>
      <c r="Q278" s="3" t="s">
        <v>26</v>
      </c>
      <c r="S278" s="3" t="s">
        <v>664</v>
      </c>
      <c r="T278" s="3" t="s">
        <v>57</v>
      </c>
      <c r="U278" s="3">
        <v>7</v>
      </c>
      <c r="V278" s="3">
        <v>1</v>
      </c>
      <c r="W278" s="3" t="s">
        <v>26</v>
      </c>
      <c r="AA278" s="3" t="s">
        <v>49</v>
      </c>
      <c r="AB278" s="3" t="s">
        <v>29</v>
      </c>
      <c r="AC278" s="3" t="s">
        <v>664</v>
      </c>
      <c r="AD278" s="3" t="s">
        <v>37</v>
      </c>
      <c r="AE278" s="3" t="s">
        <v>87</v>
      </c>
      <c r="AF278" s="3" t="s">
        <v>664</v>
      </c>
      <c r="AG278" s="3" t="s">
        <v>39</v>
      </c>
    </row>
    <row r="279" spans="1:33" ht="15.75" customHeight="1">
      <c r="A279" s="1">
        <v>45207.103702407403</v>
      </c>
      <c r="B279" s="3" t="s">
        <v>1024</v>
      </c>
      <c r="C279" s="2">
        <v>30762</v>
      </c>
      <c r="D279" s="3">
        <v>39</v>
      </c>
      <c r="E279" s="3" t="s">
        <v>510</v>
      </c>
      <c r="F279" s="3" t="s">
        <v>528</v>
      </c>
      <c r="G279" s="3" t="s">
        <v>537</v>
      </c>
      <c r="H279" s="2">
        <v>42508</v>
      </c>
      <c r="I279" s="3">
        <v>2</v>
      </c>
      <c r="J279" s="3" t="s">
        <v>542</v>
      </c>
      <c r="K279" s="3">
        <v>2450</v>
      </c>
      <c r="L279" s="3">
        <v>35</v>
      </c>
      <c r="M279" s="3">
        <v>60</v>
      </c>
      <c r="N279" s="3">
        <v>67</v>
      </c>
      <c r="O279" s="3">
        <v>165</v>
      </c>
      <c r="P279" s="3" t="s">
        <v>33</v>
      </c>
      <c r="Q279" s="3" t="s">
        <v>34</v>
      </c>
      <c r="R279" s="3" t="s">
        <v>728</v>
      </c>
      <c r="S279" s="3" t="s">
        <v>664</v>
      </c>
      <c r="T279" s="3" t="s">
        <v>43</v>
      </c>
      <c r="U279" s="3">
        <v>5</v>
      </c>
      <c r="V279" s="3">
        <v>1</v>
      </c>
      <c r="W279" s="3" t="s">
        <v>26</v>
      </c>
      <c r="AA279" s="3" t="s">
        <v>42</v>
      </c>
      <c r="AB279" s="3" t="s">
        <v>29</v>
      </c>
      <c r="AC279" s="3" t="s">
        <v>664</v>
      </c>
      <c r="AD279" s="3" t="s">
        <v>30</v>
      </c>
      <c r="AE279" s="3" t="s">
        <v>72</v>
      </c>
      <c r="AF279" s="3" t="s">
        <v>664</v>
      </c>
      <c r="AG279" s="3" t="s">
        <v>39</v>
      </c>
    </row>
    <row r="280" spans="1:33" ht="15.75" customHeight="1">
      <c r="A280" s="1">
        <v>45207.177280185184</v>
      </c>
      <c r="B280" s="3" t="s">
        <v>1024</v>
      </c>
      <c r="C280" s="2">
        <v>31329</v>
      </c>
      <c r="D280" s="3">
        <v>37</v>
      </c>
      <c r="E280" s="3" t="s">
        <v>510</v>
      </c>
      <c r="F280" s="3" t="s">
        <v>529</v>
      </c>
      <c r="G280" s="3" t="s">
        <v>540</v>
      </c>
      <c r="H280" s="2">
        <v>45125</v>
      </c>
      <c r="I280" s="3">
        <v>2</v>
      </c>
      <c r="J280" s="3" t="s">
        <v>542</v>
      </c>
      <c r="K280" s="3">
        <v>3070</v>
      </c>
      <c r="L280" s="3">
        <v>36</v>
      </c>
      <c r="M280" s="3">
        <v>67</v>
      </c>
      <c r="N280" s="3">
        <v>75</v>
      </c>
      <c r="O280" s="3">
        <v>159</v>
      </c>
      <c r="P280" s="3" t="s">
        <v>25</v>
      </c>
      <c r="Q280" s="3" t="s">
        <v>26</v>
      </c>
      <c r="S280" s="3" t="s">
        <v>664</v>
      </c>
      <c r="T280" s="3" t="s">
        <v>217</v>
      </c>
      <c r="U280" s="3">
        <v>7</v>
      </c>
      <c r="V280" s="3">
        <v>1</v>
      </c>
      <c r="W280" s="3" t="s">
        <v>26</v>
      </c>
      <c r="AA280" s="3" t="s">
        <v>42</v>
      </c>
      <c r="AB280" s="3" t="s">
        <v>29</v>
      </c>
      <c r="AC280" s="3" t="s">
        <v>664</v>
      </c>
      <c r="AD280" s="3" t="s">
        <v>30</v>
      </c>
      <c r="AE280" s="3" t="s">
        <v>38</v>
      </c>
      <c r="AF280" s="3" t="s">
        <v>664</v>
      </c>
      <c r="AG280" s="3" t="s">
        <v>32</v>
      </c>
    </row>
    <row r="281" spans="1:33" ht="15.75" customHeight="1">
      <c r="A281" s="1">
        <v>45207.227220520828</v>
      </c>
      <c r="B281" s="3" t="s">
        <v>1024</v>
      </c>
      <c r="C281" s="2">
        <v>32228</v>
      </c>
      <c r="D281" s="3">
        <v>35</v>
      </c>
      <c r="E281" s="3" t="s">
        <v>510</v>
      </c>
      <c r="F281" s="3" t="s">
        <v>529</v>
      </c>
      <c r="G281" s="3" t="s">
        <v>540</v>
      </c>
      <c r="H281" s="2">
        <v>44046</v>
      </c>
      <c r="I281" s="3">
        <v>1</v>
      </c>
      <c r="J281" s="3" t="s">
        <v>541</v>
      </c>
      <c r="K281" s="3" t="s">
        <v>1076</v>
      </c>
      <c r="L281" s="3" t="s">
        <v>634</v>
      </c>
      <c r="M281" s="3">
        <v>65</v>
      </c>
      <c r="N281" s="3">
        <v>73</v>
      </c>
      <c r="O281" s="3">
        <v>160</v>
      </c>
      <c r="P281" s="3" t="s">
        <v>33</v>
      </c>
      <c r="Q281" s="3" t="s">
        <v>34</v>
      </c>
      <c r="R281" s="3" t="s">
        <v>237</v>
      </c>
      <c r="S281" s="3" t="s">
        <v>664</v>
      </c>
      <c r="T281" s="3" t="s">
        <v>238</v>
      </c>
      <c r="U281" s="3">
        <v>7</v>
      </c>
      <c r="V281" s="3">
        <v>1</v>
      </c>
      <c r="W281" s="3" t="s">
        <v>26</v>
      </c>
      <c r="AA281" s="3" t="s">
        <v>42</v>
      </c>
      <c r="AB281" s="3" t="s">
        <v>29</v>
      </c>
      <c r="AC281" s="3" t="s">
        <v>26</v>
      </c>
      <c r="AE281" s="3" t="s">
        <v>159</v>
      </c>
      <c r="AF281" s="3" t="s">
        <v>26</v>
      </c>
    </row>
    <row r="282" spans="1:33" ht="15.75" customHeight="1">
      <c r="A282" s="1">
        <v>45207.377343553242</v>
      </c>
      <c r="B282" s="3" t="s">
        <v>1024</v>
      </c>
      <c r="C282" s="2">
        <v>31829</v>
      </c>
      <c r="D282" s="3">
        <v>36</v>
      </c>
      <c r="E282" s="3" t="s">
        <v>510</v>
      </c>
      <c r="F282" s="3" t="s">
        <v>529</v>
      </c>
      <c r="G282" s="3" t="s">
        <v>540</v>
      </c>
      <c r="H282" s="2">
        <v>45103</v>
      </c>
      <c r="I282" s="3">
        <v>1</v>
      </c>
      <c r="J282" s="3" t="s">
        <v>541</v>
      </c>
      <c r="K282" s="3">
        <v>3430</v>
      </c>
      <c r="L282" s="3" t="s">
        <v>661</v>
      </c>
      <c r="M282" s="3">
        <v>80</v>
      </c>
      <c r="N282" s="3">
        <v>81</v>
      </c>
      <c r="O282" s="3">
        <v>160</v>
      </c>
      <c r="P282" s="3" t="s">
        <v>44</v>
      </c>
      <c r="Q282" s="3" t="s">
        <v>26</v>
      </c>
      <c r="S282" s="3" t="s">
        <v>664</v>
      </c>
      <c r="T282" s="3" t="s">
        <v>27</v>
      </c>
      <c r="U282" s="3">
        <v>5</v>
      </c>
      <c r="V282" s="3">
        <v>1</v>
      </c>
      <c r="W282" s="3" t="s">
        <v>26</v>
      </c>
      <c r="Z282" s="3">
        <v>1</v>
      </c>
      <c r="AA282" s="3" t="s">
        <v>49</v>
      </c>
      <c r="AB282" s="3" t="s">
        <v>29</v>
      </c>
      <c r="AC282" s="3" t="s">
        <v>664</v>
      </c>
      <c r="AD282" s="3" t="s">
        <v>239</v>
      </c>
      <c r="AE282" s="3" t="s">
        <v>38</v>
      </c>
      <c r="AF282" s="3" t="s">
        <v>664</v>
      </c>
      <c r="AG282" s="3" t="s">
        <v>48</v>
      </c>
    </row>
    <row r="283" spans="1:33" ht="15.75" customHeight="1">
      <c r="A283" s="1">
        <v>45207.388768958335</v>
      </c>
      <c r="B283" s="3" t="s">
        <v>1024</v>
      </c>
      <c r="C283" s="2">
        <v>31150</v>
      </c>
      <c r="D283" s="3">
        <v>38</v>
      </c>
      <c r="E283" s="3" t="s">
        <v>510</v>
      </c>
      <c r="F283" s="3" t="s">
        <v>520</v>
      </c>
      <c r="G283" s="3" t="s">
        <v>539</v>
      </c>
      <c r="H283" s="2">
        <v>43923</v>
      </c>
      <c r="I283" s="3">
        <v>1</v>
      </c>
      <c r="J283" s="3" t="s">
        <v>541</v>
      </c>
      <c r="K283" s="3">
        <v>3250</v>
      </c>
      <c r="L283" s="3" t="s">
        <v>723</v>
      </c>
      <c r="M283" s="3">
        <v>75</v>
      </c>
      <c r="N283" s="3">
        <v>72</v>
      </c>
      <c r="O283" s="3">
        <v>173</v>
      </c>
      <c r="P283" s="3" t="s">
        <v>33</v>
      </c>
      <c r="Q283" s="3" t="s">
        <v>26</v>
      </c>
      <c r="S283" s="3" t="s">
        <v>26</v>
      </c>
      <c r="T283" s="3" t="s">
        <v>121</v>
      </c>
      <c r="W283" s="3" t="s">
        <v>34</v>
      </c>
      <c r="X283" s="3" t="s">
        <v>58</v>
      </c>
      <c r="Y283" s="3">
        <v>7</v>
      </c>
      <c r="Z283" s="3">
        <v>2</v>
      </c>
      <c r="AA283" s="3" t="s">
        <v>51</v>
      </c>
      <c r="AB283" s="3" t="s">
        <v>240</v>
      </c>
      <c r="AC283" s="3" t="s">
        <v>26</v>
      </c>
      <c r="AE283" s="3" t="s">
        <v>159</v>
      </c>
      <c r="AF283" s="3" t="s">
        <v>26</v>
      </c>
    </row>
    <row r="284" spans="1:33" ht="15.75" customHeight="1">
      <c r="A284" s="1">
        <v>45207.388889305555</v>
      </c>
      <c r="B284" s="3" t="s">
        <v>1024</v>
      </c>
      <c r="C284" s="2">
        <v>30777</v>
      </c>
      <c r="D284" s="3">
        <v>39</v>
      </c>
      <c r="E284" s="3" t="s">
        <v>510</v>
      </c>
      <c r="F284" s="3" t="s">
        <v>522</v>
      </c>
      <c r="G284" s="3" t="s">
        <v>540</v>
      </c>
      <c r="H284" s="2">
        <v>45003</v>
      </c>
      <c r="I284" s="3">
        <v>3</v>
      </c>
      <c r="J284" s="3" t="s">
        <v>541</v>
      </c>
      <c r="K284" s="3" t="s">
        <v>1179</v>
      </c>
      <c r="L284" s="3" t="s">
        <v>643</v>
      </c>
      <c r="M284" s="3">
        <v>67</v>
      </c>
      <c r="N284" s="3">
        <v>80</v>
      </c>
      <c r="O284" s="3">
        <v>165</v>
      </c>
      <c r="P284" s="3" t="s">
        <v>44</v>
      </c>
      <c r="Q284" s="3" t="s">
        <v>26</v>
      </c>
      <c r="S284" s="3" t="s">
        <v>664</v>
      </c>
      <c r="T284" s="3" t="s">
        <v>162</v>
      </c>
      <c r="U284" s="3">
        <v>7</v>
      </c>
      <c r="V284" s="3">
        <v>1</v>
      </c>
      <c r="W284" s="3" t="s">
        <v>34</v>
      </c>
      <c r="X284" s="3" t="s">
        <v>241</v>
      </c>
      <c r="Y284" s="3">
        <v>7</v>
      </c>
      <c r="Z284" s="3">
        <v>2</v>
      </c>
      <c r="AA284" s="3" t="s">
        <v>36</v>
      </c>
      <c r="AB284" s="3" t="s">
        <v>29</v>
      </c>
      <c r="AC284" s="3" t="s">
        <v>664</v>
      </c>
      <c r="AD284" s="3" t="s">
        <v>30</v>
      </c>
      <c r="AE284" s="3" t="s">
        <v>60</v>
      </c>
      <c r="AF284" s="3" t="s">
        <v>664</v>
      </c>
      <c r="AG284" s="3" t="s">
        <v>32</v>
      </c>
    </row>
    <row r="285" spans="1:33" ht="15.75" customHeight="1">
      <c r="A285" s="1">
        <v>45207.396561145833</v>
      </c>
      <c r="B285" s="3" t="s">
        <v>1024</v>
      </c>
      <c r="C285" s="2">
        <v>45207</v>
      </c>
      <c r="D285" s="3">
        <v>33</v>
      </c>
      <c r="E285" s="3" t="s">
        <v>510</v>
      </c>
      <c r="F285" s="3" t="s">
        <v>522</v>
      </c>
      <c r="G285" s="3" t="s">
        <v>539</v>
      </c>
      <c r="H285" s="2">
        <v>44384</v>
      </c>
      <c r="I285" s="3">
        <v>1</v>
      </c>
      <c r="J285" s="3" t="s">
        <v>541</v>
      </c>
      <c r="K285" s="3" t="s">
        <v>1180</v>
      </c>
      <c r="L285" s="3" t="s">
        <v>638</v>
      </c>
      <c r="M285" s="3">
        <v>51</v>
      </c>
      <c r="N285" s="3">
        <v>63</v>
      </c>
      <c r="O285" s="3">
        <v>153</v>
      </c>
      <c r="P285" s="3" t="s">
        <v>33</v>
      </c>
      <c r="Q285" s="3" t="s">
        <v>26</v>
      </c>
      <c r="S285" s="3" t="s">
        <v>664</v>
      </c>
      <c r="T285" s="3" t="s">
        <v>79</v>
      </c>
      <c r="U285" s="3">
        <v>7</v>
      </c>
      <c r="V285" s="3">
        <v>1</v>
      </c>
      <c r="W285" s="3" t="s">
        <v>26</v>
      </c>
      <c r="AA285" s="3" t="s">
        <v>42</v>
      </c>
      <c r="AB285" s="3" t="s">
        <v>189</v>
      </c>
      <c r="AC285" s="3" t="s">
        <v>664</v>
      </c>
      <c r="AD285" s="3" t="s">
        <v>59</v>
      </c>
      <c r="AE285" s="3" t="s">
        <v>31</v>
      </c>
      <c r="AF285" s="3" t="s">
        <v>664</v>
      </c>
      <c r="AG285" s="3" t="s">
        <v>39</v>
      </c>
    </row>
    <row r="286" spans="1:33" ht="15.75" customHeight="1">
      <c r="A286" s="1">
        <v>45207.41249451389</v>
      </c>
      <c r="B286" s="3" t="s">
        <v>1024</v>
      </c>
      <c r="C286" s="2">
        <v>34799</v>
      </c>
      <c r="D286" s="3">
        <v>28</v>
      </c>
      <c r="E286" s="3" t="s">
        <v>510</v>
      </c>
      <c r="F286" s="3" t="s">
        <v>520</v>
      </c>
      <c r="G286" s="3" t="s">
        <v>539</v>
      </c>
      <c r="H286" s="2">
        <v>44949</v>
      </c>
      <c r="I286" s="3">
        <v>2</v>
      </c>
      <c r="J286" s="3" t="s">
        <v>542</v>
      </c>
      <c r="K286" s="3" t="s">
        <v>1181</v>
      </c>
      <c r="L286" s="3" t="s">
        <v>661</v>
      </c>
      <c r="M286" s="3">
        <v>60</v>
      </c>
      <c r="N286" s="3">
        <v>70</v>
      </c>
      <c r="O286" s="3">
        <v>160</v>
      </c>
      <c r="P286" s="3" t="s">
        <v>33</v>
      </c>
      <c r="Q286" s="3" t="s">
        <v>26</v>
      </c>
      <c r="S286" s="3" t="s">
        <v>664</v>
      </c>
      <c r="T286" s="3" t="s">
        <v>57</v>
      </c>
      <c r="U286" s="3">
        <v>7</v>
      </c>
      <c r="V286" s="3">
        <v>1</v>
      </c>
      <c r="W286" s="3" t="s">
        <v>34</v>
      </c>
      <c r="X286" s="3" t="s">
        <v>242</v>
      </c>
      <c r="Y286" s="3">
        <v>1</v>
      </c>
      <c r="Z286" s="3" t="s">
        <v>243</v>
      </c>
      <c r="AA286" s="3" t="s">
        <v>49</v>
      </c>
      <c r="AB286" s="3" t="s">
        <v>29</v>
      </c>
      <c r="AC286" s="3" t="s">
        <v>664</v>
      </c>
      <c r="AD286" s="3" t="s">
        <v>37</v>
      </c>
      <c r="AE286" s="3" t="s">
        <v>60</v>
      </c>
      <c r="AF286" s="3" t="s">
        <v>664</v>
      </c>
      <c r="AG286" s="3" t="s">
        <v>39</v>
      </c>
    </row>
    <row r="287" spans="1:33" ht="15.75" customHeight="1">
      <c r="A287" s="1">
        <v>45207.439603067134</v>
      </c>
      <c r="B287" s="3" t="s">
        <v>1024</v>
      </c>
      <c r="C287" s="2">
        <v>45207</v>
      </c>
      <c r="D287" s="3">
        <v>42</v>
      </c>
      <c r="E287" s="3" t="s">
        <v>510</v>
      </c>
      <c r="F287" s="3" t="s">
        <v>521</v>
      </c>
      <c r="G287" s="3" t="s">
        <v>539</v>
      </c>
      <c r="H287" s="2">
        <v>43721</v>
      </c>
      <c r="I287" s="3">
        <v>2</v>
      </c>
      <c r="J287" s="3" t="s">
        <v>541</v>
      </c>
      <c r="K287" s="3">
        <v>3250</v>
      </c>
      <c r="L287" s="3" t="s">
        <v>729</v>
      </c>
      <c r="M287" s="3">
        <v>60</v>
      </c>
      <c r="N287" s="3">
        <v>68</v>
      </c>
      <c r="O287" s="3">
        <v>158</v>
      </c>
      <c r="P287" s="3" t="s">
        <v>33</v>
      </c>
      <c r="Q287" s="3" t="s">
        <v>26</v>
      </c>
      <c r="S287" s="3" t="s">
        <v>664</v>
      </c>
      <c r="T287" s="3" t="s">
        <v>244</v>
      </c>
      <c r="U287" s="3">
        <v>7</v>
      </c>
      <c r="V287" s="3">
        <v>1</v>
      </c>
      <c r="W287" s="3" t="s">
        <v>34</v>
      </c>
      <c r="X287" s="3" t="s">
        <v>244</v>
      </c>
      <c r="Y287" s="3">
        <v>7</v>
      </c>
      <c r="Z287" s="3">
        <v>1</v>
      </c>
      <c r="AA287" s="3" t="s">
        <v>42</v>
      </c>
      <c r="AB287" s="3" t="s">
        <v>29</v>
      </c>
      <c r="AC287" s="3" t="s">
        <v>664</v>
      </c>
      <c r="AD287" s="3" t="s">
        <v>30</v>
      </c>
      <c r="AE287" s="3" t="s">
        <v>31</v>
      </c>
      <c r="AF287" s="3" t="s">
        <v>664</v>
      </c>
      <c r="AG287" s="3" t="s">
        <v>32</v>
      </c>
    </row>
    <row r="288" spans="1:33" ht="15.75" customHeight="1">
      <c r="A288" s="1">
        <v>45207.442173738425</v>
      </c>
      <c r="B288" s="3" t="s">
        <v>1024</v>
      </c>
      <c r="C288" s="2">
        <v>31104</v>
      </c>
      <c r="D288" s="3">
        <v>38</v>
      </c>
      <c r="E288" s="3" t="s">
        <v>510</v>
      </c>
      <c r="F288" s="3" t="s">
        <v>530</v>
      </c>
      <c r="G288" s="3" t="s">
        <v>539</v>
      </c>
      <c r="H288" s="2">
        <v>43944</v>
      </c>
      <c r="I288" s="3">
        <v>4</v>
      </c>
      <c r="J288" s="3" t="s">
        <v>542</v>
      </c>
      <c r="K288" s="3" t="s">
        <v>1182</v>
      </c>
      <c r="L288" s="3" t="s">
        <v>730</v>
      </c>
      <c r="M288" s="3">
        <v>53</v>
      </c>
      <c r="N288" s="3">
        <v>60</v>
      </c>
      <c r="O288" s="3">
        <v>155</v>
      </c>
      <c r="P288" s="3" t="s">
        <v>33</v>
      </c>
      <c r="Q288" s="3" t="s">
        <v>26</v>
      </c>
      <c r="S288" s="3" t="s">
        <v>664</v>
      </c>
      <c r="T288" s="3" t="s">
        <v>43</v>
      </c>
      <c r="U288" s="3">
        <v>7</v>
      </c>
      <c r="V288" s="3">
        <v>1</v>
      </c>
      <c r="W288" s="3" t="s">
        <v>34</v>
      </c>
      <c r="X288" s="3" t="s">
        <v>245</v>
      </c>
      <c r="Y288" s="3">
        <v>7</v>
      </c>
      <c r="Z288" s="3">
        <v>1</v>
      </c>
      <c r="AA288" s="3" t="s">
        <v>49</v>
      </c>
      <c r="AB288" s="3" t="s">
        <v>83</v>
      </c>
      <c r="AC288" s="3" t="s">
        <v>664</v>
      </c>
      <c r="AD288" s="3" t="s">
        <v>30</v>
      </c>
      <c r="AE288" s="3" t="s">
        <v>38</v>
      </c>
      <c r="AF288" s="3" t="s">
        <v>664</v>
      </c>
      <c r="AG288" s="3" t="s">
        <v>39</v>
      </c>
    </row>
    <row r="289" spans="1:33" ht="15.75" customHeight="1">
      <c r="A289" s="1">
        <v>45207.445131250002</v>
      </c>
      <c r="B289" s="3" t="s">
        <v>1024</v>
      </c>
      <c r="C289" s="2">
        <v>32555</v>
      </c>
      <c r="D289" s="3">
        <v>34</v>
      </c>
      <c r="E289" s="3" t="s">
        <v>510</v>
      </c>
      <c r="F289" s="3" t="s">
        <v>525</v>
      </c>
      <c r="G289" s="3" t="s">
        <v>539</v>
      </c>
      <c r="H289" s="2">
        <v>43627</v>
      </c>
      <c r="I289" s="3">
        <v>1</v>
      </c>
      <c r="J289" s="3" t="s">
        <v>542</v>
      </c>
      <c r="K289" s="3" t="s">
        <v>1182</v>
      </c>
      <c r="L289" s="3">
        <v>39</v>
      </c>
      <c r="M289" s="3">
        <v>68</v>
      </c>
      <c r="N289" s="3">
        <v>78</v>
      </c>
      <c r="O289" s="3">
        <v>165</v>
      </c>
      <c r="P289" s="3" t="s">
        <v>33</v>
      </c>
      <c r="Q289" s="3" t="s">
        <v>26</v>
      </c>
      <c r="S289" s="3" t="s">
        <v>664</v>
      </c>
      <c r="T289" s="3" t="s">
        <v>79</v>
      </c>
      <c r="U289" s="3">
        <v>7</v>
      </c>
      <c r="V289" s="3">
        <v>1</v>
      </c>
      <c r="W289" s="3" t="s">
        <v>26</v>
      </c>
      <c r="AA289" s="3" t="s">
        <v>28</v>
      </c>
      <c r="AB289" s="3" t="s">
        <v>185</v>
      </c>
      <c r="AC289" s="3" t="s">
        <v>664</v>
      </c>
      <c r="AD289" s="3" t="s">
        <v>30</v>
      </c>
      <c r="AE289" s="3" t="s">
        <v>31</v>
      </c>
      <c r="AF289" s="3" t="s">
        <v>664</v>
      </c>
      <c r="AG289" s="3" t="s">
        <v>39</v>
      </c>
    </row>
    <row r="290" spans="1:33" ht="15.75" customHeight="1">
      <c r="A290" s="1">
        <v>45207.498303541666</v>
      </c>
      <c r="B290" s="3" t="s">
        <v>1024</v>
      </c>
      <c r="C290" s="2">
        <v>35536</v>
      </c>
      <c r="D290" s="3">
        <v>26</v>
      </c>
      <c r="E290" s="3" t="s">
        <v>510</v>
      </c>
      <c r="F290" s="3" t="s">
        <v>520</v>
      </c>
      <c r="G290" s="3" t="s">
        <v>539</v>
      </c>
      <c r="H290" s="2">
        <v>44759</v>
      </c>
      <c r="I290" s="3">
        <v>1</v>
      </c>
      <c r="J290" s="3" t="s">
        <v>542</v>
      </c>
      <c r="K290" s="3" t="s">
        <v>1183</v>
      </c>
      <c r="L290" s="3" t="s">
        <v>618</v>
      </c>
      <c r="M290" s="3">
        <v>72</v>
      </c>
      <c r="N290" s="3">
        <v>82</v>
      </c>
      <c r="O290" s="3">
        <v>157</v>
      </c>
      <c r="P290" s="3" t="s">
        <v>33</v>
      </c>
      <c r="Q290" s="3" t="s">
        <v>26</v>
      </c>
      <c r="S290" s="3" t="s">
        <v>664</v>
      </c>
      <c r="T290" s="3" t="s">
        <v>27</v>
      </c>
      <c r="U290" s="3">
        <v>7</v>
      </c>
      <c r="V290" s="3">
        <v>1</v>
      </c>
      <c r="W290" s="3" t="s">
        <v>34</v>
      </c>
      <c r="X290" s="3" t="s">
        <v>71</v>
      </c>
      <c r="Y290" s="3">
        <v>7</v>
      </c>
      <c r="Z290" s="3">
        <v>1</v>
      </c>
      <c r="AA290" s="3" t="s">
        <v>49</v>
      </c>
      <c r="AB290" s="3" t="s">
        <v>29</v>
      </c>
      <c r="AC290" s="3" t="s">
        <v>664</v>
      </c>
      <c r="AD290" s="3" t="s">
        <v>30</v>
      </c>
      <c r="AE290" s="3" t="s">
        <v>31</v>
      </c>
      <c r="AF290" s="3" t="s">
        <v>664</v>
      </c>
      <c r="AG290" s="3" t="s">
        <v>48</v>
      </c>
    </row>
    <row r="291" spans="1:33" ht="15.75" customHeight="1">
      <c r="A291" s="1">
        <v>45207.585606006949</v>
      </c>
      <c r="B291" s="3" t="s">
        <v>1024</v>
      </c>
      <c r="C291" s="2">
        <v>32000</v>
      </c>
      <c r="D291" s="3">
        <v>36</v>
      </c>
      <c r="E291" s="3" t="s">
        <v>510</v>
      </c>
      <c r="F291" s="3" t="s">
        <v>520</v>
      </c>
      <c r="G291" s="3" t="s">
        <v>539</v>
      </c>
      <c r="H291" s="2">
        <v>44925</v>
      </c>
      <c r="I291" s="3">
        <v>1</v>
      </c>
      <c r="J291" s="3" t="s">
        <v>542</v>
      </c>
      <c r="K291" s="3" t="s">
        <v>1047</v>
      </c>
      <c r="L291" s="3" t="s">
        <v>731</v>
      </c>
      <c r="M291" s="3">
        <v>58</v>
      </c>
      <c r="N291" s="3">
        <v>70</v>
      </c>
      <c r="O291" s="3">
        <v>155</v>
      </c>
      <c r="P291" s="3" t="s">
        <v>33</v>
      </c>
      <c r="Q291" s="3" t="s">
        <v>26</v>
      </c>
      <c r="S291" s="3" t="s">
        <v>664</v>
      </c>
      <c r="T291" s="3" t="s">
        <v>79</v>
      </c>
      <c r="U291" s="3">
        <v>7</v>
      </c>
      <c r="V291" s="3">
        <v>1</v>
      </c>
      <c r="W291" s="3" t="s">
        <v>26</v>
      </c>
      <c r="AA291" s="3" t="s">
        <v>49</v>
      </c>
      <c r="AB291" s="3" t="s">
        <v>29</v>
      </c>
      <c r="AC291" s="3" t="s">
        <v>664</v>
      </c>
      <c r="AD291" s="3" t="s">
        <v>30</v>
      </c>
      <c r="AE291" s="3" t="s">
        <v>31</v>
      </c>
      <c r="AF291" s="3" t="s">
        <v>664</v>
      </c>
      <c r="AG291" s="3" t="s">
        <v>32</v>
      </c>
    </row>
    <row r="292" spans="1:33" ht="15.75" customHeight="1">
      <c r="A292" s="1">
        <v>45207.625525115742</v>
      </c>
      <c r="B292" s="3" t="s">
        <v>1024</v>
      </c>
      <c r="C292" s="2">
        <v>30546</v>
      </c>
      <c r="D292" s="3">
        <v>40</v>
      </c>
      <c r="E292" s="3" t="s">
        <v>510</v>
      </c>
      <c r="F292" s="3" t="s">
        <v>525</v>
      </c>
      <c r="G292" s="3" t="s">
        <v>539</v>
      </c>
      <c r="H292" s="2">
        <v>45108</v>
      </c>
      <c r="I292" s="3">
        <v>1</v>
      </c>
      <c r="J292" s="3" t="s">
        <v>541</v>
      </c>
      <c r="K292" s="3">
        <v>3145</v>
      </c>
      <c r="L292" s="3">
        <v>37</v>
      </c>
      <c r="M292" s="3">
        <v>70</v>
      </c>
      <c r="N292" s="3">
        <v>88</v>
      </c>
      <c r="O292" s="3">
        <v>171</v>
      </c>
      <c r="P292" s="3" t="s">
        <v>33</v>
      </c>
      <c r="Q292" s="3" t="s">
        <v>34</v>
      </c>
      <c r="R292" s="3" t="s">
        <v>246</v>
      </c>
      <c r="S292" s="3" t="s">
        <v>664</v>
      </c>
      <c r="T292" s="3" t="s">
        <v>27</v>
      </c>
      <c r="U292" s="3">
        <v>7</v>
      </c>
      <c r="V292" s="3">
        <v>1</v>
      </c>
      <c r="W292" s="3" t="s">
        <v>34</v>
      </c>
      <c r="X292" s="3" t="s">
        <v>35</v>
      </c>
      <c r="Y292" s="3">
        <v>7</v>
      </c>
      <c r="Z292" s="3">
        <v>1</v>
      </c>
      <c r="AA292" s="3" t="s">
        <v>49</v>
      </c>
      <c r="AB292" s="3" t="s">
        <v>29</v>
      </c>
      <c r="AC292" s="3" t="s">
        <v>664</v>
      </c>
      <c r="AD292" s="3" t="s">
        <v>30</v>
      </c>
      <c r="AE292" s="3" t="s">
        <v>31</v>
      </c>
      <c r="AF292" s="3" t="s">
        <v>664</v>
      </c>
      <c r="AG292" s="3" t="s">
        <v>32</v>
      </c>
    </row>
    <row r="293" spans="1:33" ht="15.75" customHeight="1">
      <c r="A293" s="1">
        <v>45207.629170972221</v>
      </c>
      <c r="B293" s="3" t="s">
        <v>1024</v>
      </c>
      <c r="C293" s="2">
        <v>31136</v>
      </c>
      <c r="D293" s="3">
        <v>38</v>
      </c>
      <c r="E293" s="3" t="s">
        <v>510</v>
      </c>
      <c r="F293" s="3" t="s">
        <v>526</v>
      </c>
      <c r="G293" s="3" t="s">
        <v>539</v>
      </c>
      <c r="H293" s="2">
        <v>44365</v>
      </c>
      <c r="I293" s="3">
        <v>2</v>
      </c>
      <c r="J293" s="3" t="s">
        <v>541</v>
      </c>
      <c r="K293" s="3">
        <v>3650</v>
      </c>
      <c r="L293" s="3">
        <v>38</v>
      </c>
      <c r="M293" s="3">
        <v>57</v>
      </c>
      <c r="N293" s="3">
        <v>67</v>
      </c>
      <c r="O293" s="3">
        <v>165</v>
      </c>
      <c r="P293" s="3" t="s">
        <v>33</v>
      </c>
      <c r="Q293" s="3" t="s">
        <v>26</v>
      </c>
      <c r="S293" s="3" t="s">
        <v>26</v>
      </c>
      <c r="T293" s="3" t="s">
        <v>121</v>
      </c>
      <c r="W293" s="3" t="s">
        <v>26</v>
      </c>
      <c r="AA293" s="3" t="s">
        <v>51</v>
      </c>
      <c r="AB293" s="3" t="s">
        <v>247</v>
      </c>
      <c r="AC293" s="3" t="s">
        <v>664</v>
      </c>
      <c r="AD293" s="3" t="s">
        <v>37</v>
      </c>
      <c r="AE293" s="3" t="s">
        <v>60</v>
      </c>
      <c r="AF293" s="3" t="s">
        <v>664</v>
      </c>
      <c r="AG293" s="3" t="s">
        <v>39</v>
      </c>
    </row>
    <row r="294" spans="1:33" ht="15.75" customHeight="1">
      <c r="A294" s="1">
        <v>45207.652582546296</v>
      </c>
      <c r="B294" s="3" t="s">
        <v>1024</v>
      </c>
      <c r="C294" s="2">
        <v>31126</v>
      </c>
      <c r="D294" s="3">
        <v>38</v>
      </c>
      <c r="E294" s="3" t="s">
        <v>510</v>
      </c>
      <c r="F294" s="3" t="s">
        <v>528</v>
      </c>
      <c r="G294" s="3" t="s">
        <v>539</v>
      </c>
      <c r="H294" s="2">
        <v>44087</v>
      </c>
      <c r="I294" s="3">
        <v>2</v>
      </c>
      <c r="J294" s="3" t="s">
        <v>541</v>
      </c>
      <c r="K294" s="3">
        <v>3760</v>
      </c>
      <c r="L294" s="3">
        <v>39</v>
      </c>
      <c r="M294" s="3">
        <v>82</v>
      </c>
      <c r="N294" s="3">
        <v>86</v>
      </c>
      <c r="O294" s="3">
        <v>160</v>
      </c>
      <c r="P294" s="3" t="s">
        <v>33</v>
      </c>
      <c r="Q294" s="3" t="s">
        <v>26</v>
      </c>
      <c r="S294" s="3" t="s">
        <v>664</v>
      </c>
      <c r="T294" s="3" t="s">
        <v>56</v>
      </c>
      <c r="U294" s="3">
        <v>7</v>
      </c>
      <c r="V294" s="3">
        <v>1</v>
      </c>
      <c r="W294" s="3" t="s">
        <v>34</v>
      </c>
      <c r="X294" s="3" t="s">
        <v>655</v>
      </c>
      <c r="Y294" s="3">
        <v>7</v>
      </c>
      <c r="Z294" s="3">
        <v>2</v>
      </c>
      <c r="AA294" s="3" t="s">
        <v>42</v>
      </c>
      <c r="AB294" s="3" t="s">
        <v>29</v>
      </c>
      <c r="AC294" s="3" t="s">
        <v>664</v>
      </c>
      <c r="AD294" s="3" t="s">
        <v>55</v>
      </c>
      <c r="AE294" s="3" t="s">
        <v>72</v>
      </c>
      <c r="AF294" s="3" t="s">
        <v>664</v>
      </c>
      <c r="AG294" s="3" t="s">
        <v>32</v>
      </c>
    </row>
    <row r="295" spans="1:33" ht="15.75" customHeight="1">
      <c r="A295" s="1">
        <v>45207.653635555558</v>
      </c>
      <c r="B295" s="3" t="s">
        <v>1024</v>
      </c>
      <c r="C295" s="2">
        <v>30934</v>
      </c>
      <c r="D295" s="3">
        <v>39</v>
      </c>
      <c r="E295" s="3" t="s">
        <v>510</v>
      </c>
      <c r="F295" s="3" t="s">
        <v>532</v>
      </c>
      <c r="G295" s="3" t="s">
        <v>539</v>
      </c>
      <c r="H295" s="2">
        <v>43157</v>
      </c>
      <c r="I295" s="3">
        <v>1</v>
      </c>
      <c r="J295" s="3" t="s">
        <v>542</v>
      </c>
      <c r="K295" s="7">
        <v>3480</v>
      </c>
      <c r="L295" s="3">
        <v>38</v>
      </c>
      <c r="M295" s="3">
        <v>72</v>
      </c>
      <c r="N295" s="3">
        <v>84</v>
      </c>
      <c r="O295" s="3" t="s">
        <v>1184</v>
      </c>
      <c r="P295" s="3" t="s">
        <v>44</v>
      </c>
      <c r="Q295" s="3" t="s">
        <v>34</v>
      </c>
      <c r="R295" s="3" t="s">
        <v>248</v>
      </c>
      <c r="S295" s="3" t="s">
        <v>664</v>
      </c>
      <c r="T295" s="3" t="s">
        <v>41</v>
      </c>
      <c r="U295" s="3">
        <v>7</v>
      </c>
      <c r="V295" s="3">
        <v>1</v>
      </c>
      <c r="W295" s="3" t="s">
        <v>34</v>
      </c>
      <c r="X295" s="3" t="s">
        <v>58</v>
      </c>
      <c r="Y295" s="3">
        <v>7</v>
      </c>
      <c r="Z295" s="3">
        <v>1</v>
      </c>
      <c r="AA295" s="3" t="s">
        <v>42</v>
      </c>
      <c r="AB295" s="3" t="s">
        <v>29</v>
      </c>
      <c r="AC295" s="3" t="s">
        <v>664</v>
      </c>
      <c r="AD295" s="3" t="s">
        <v>30</v>
      </c>
      <c r="AE295" s="3" t="s">
        <v>38</v>
      </c>
      <c r="AF295" s="3" t="s">
        <v>664</v>
      </c>
      <c r="AG295" s="3" t="s">
        <v>32</v>
      </c>
    </row>
    <row r="296" spans="1:33" ht="15.75" customHeight="1">
      <c r="A296" s="1">
        <v>45207.660364490745</v>
      </c>
      <c r="B296" s="3" t="s">
        <v>1024</v>
      </c>
      <c r="C296" s="2">
        <v>33000</v>
      </c>
      <c r="D296" s="3">
        <v>33</v>
      </c>
      <c r="E296" s="3" t="s">
        <v>510</v>
      </c>
      <c r="F296" s="3" t="s">
        <v>521</v>
      </c>
      <c r="G296" s="3" t="s">
        <v>539</v>
      </c>
      <c r="H296" s="2">
        <v>44852</v>
      </c>
      <c r="I296" s="3">
        <v>1</v>
      </c>
      <c r="J296" s="3" t="s">
        <v>541</v>
      </c>
      <c r="K296" s="3">
        <v>3090</v>
      </c>
      <c r="L296" s="3">
        <v>39</v>
      </c>
      <c r="M296" s="3">
        <v>61</v>
      </c>
      <c r="N296" s="3">
        <v>78</v>
      </c>
      <c r="O296" s="3">
        <v>161</v>
      </c>
      <c r="P296" s="3" t="s">
        <v>33</v>
      </c>
      <c r="Q296" s="3" t="s">
        <v>26</v>
      </c>
      <c r="S296" s="3" t="s">
        <v>664</v>
      </c>
      <c r="T296" s="3" t="s">
        <v>35</v>
      </c>
      <c r="U296" s="3">
        <v>7</v>
      </c>
      <c r="V296" s="3">
        <v>1</v>
      </c>
      <c r="W296" s="3" t="s">
        <v>34</v>
      </c>
      <c r="X296" s="3" t="s">
        <v>61</v>
      </c>
      <c r="Y296" s="3">
        <v>7</v>
      </c>
      <c r="Z296" s="3">
        <v>1</v>
      </c>
      <c r="AA296" s="3" t="s">
        <v>42</v>
      </c>
      <c r="AB296" s="3" t="s">
        <v>29</v>
      </c>
      <c r="AC296" s="3" t="s">
        <v>664</v>
      </c>
      <c r="AD296" s="3" t="s">
        <v>30</v>
      </c>
      <c r="AE296" s="3" t="s">
        <v>38</v>
      </c>
      <c r="AF296" s="3" t="s">
        <v>664</v>
      </c>
      <c r="AG296" s="3" t="s">
        <v>32</v>
      </c>
    </row>
    <row r="297" spans="1:33" ht="15.75" customHeight="1">
      <c r="A297" s="1">
        <v>45207.661670682872</v>
      </c>
      <c r="B297" s="3" t="s">
        <v>1024</v>
      </c>
      <c r="C297" s="2">
        <v>33268</v>
      </c>
      <c r="D297" s="3">
        <v>32</v>
      </c>
      <c r="E297" s="3" t="s">
        <v>510</v>
      </c>
      <c r="F297" s="3" t="s">
        <v>531</v>
      </c>
      <c r="G297" s="3" t="s">
        <v>539</v>
      </c>
      <c r="H297" s="2">
        <v>43213</v>
      </c>
      <c r="I297" s="3">
        <v>1</v>
      </c>
      <c r="J297" s="3" t="s">
        <v>542</v>
      </c>
      <c r="K297" s="3">
        <v>2990</v>
      </c>
      <c r="L297" s="3">
        <v>39</v>
      </c>
      <c r="M297" s="3">
        <v>55.7</v>
      </c>
      <c r="N297" s="3">
        <v>70</v>
      </c>
      <c r="O297" s="3">
        <v>150</v>
      </c>
      <c r="P297" s="3" t="s">
        <v>33</v>
      </c>
      <c r="Q297" s="3" t="s">
        <v>26</v>
      </c>
      <c r="S297" s="3" t="s">
        <v>664</v>
      </c>
      <c r="T297" s="3" t="s">
        <v>27</v>
      </c>
      <c r="U297" s="3">
        <v>7</v>
      </c>
      <c r="V297" s="3">
        <v>1</v>
      </c>
      <c r="W297" s="3" t="s">
        <v>34</v>
      </c>
      <c r="X297" s="3" t="s">
        <v>128</v>
      </c>
      <c r="Y297" s="3">
        <v>7</v>
      </c>
      <c r="Z297" s="3">
        <v>1</v>
      </c>
      <c r="AA297" s="3" t="s">
        <v>42</v>
      </c>
      <c r="AB297" s="3" t="s">
        <v>29</v>
      </c>
      <c r="AC297" s="3" t="s">
        <v>664</v>
      </c>
      <c r="AD297" s="3" t="s">
        <v>55</v>
      </c>
      <c r="AE297" s="3" t="s">
        <v>31</v>
      </c>
      <c r="AF297" s="3" t="s">
        <v>664</v>
      </c>
      <c r="AG297" s="3" t="s">
        <v>32</v>
      </c>
    </row>
    <row r="298" spans="1:33" ht="15.75" customHeight="1">
      <c r="A298" s="1">
        <v>45207.663710891204</v>
      </c>
      <c r="B298" s="3" t="s">
        <v>1024</v>
      </c>
      <c r="C298" s="2">
        <v>32515</v>
      </c>
      <c r="D298" s="3">
        <v>34</v>
      </c>
      <c r="E298" s="3" t="s">
        <v>510</v>
      </c>
      <c r="F298" s="3" t="s">
        <v>520</v>
      </c>
      <c r="G298" s="3" t="s">
        <v>539</v>
      </c>
      <c r="H298" s="2">
        <v>43426</v>
      </c>
      <c r="I298" s="3">
        <v>3</v>
      </c>
      <c r="J298" s="3" t="s">
        <v>542</v>
      </c>
      <c r="K298" s="3">
        <v>3330</v>
      </c>
      <c r="L298" s="3" t="s">
        <v>661</v>
      </c>
      <c r="M298" s="3">
        <v>58</v>
      </c>
      <c r="N298" s="3">
        <v>66</v>
      </c>
      <c r="O298" s="3">
        <v>145</v>
      </c>
      <c r="P298" s="3" t="s">
        <v>50</v>
      </c>
      <c r="Q298" s="3" t="s">
        <v>26</v>
      </c>
      <c r="S298" s="3" t="s">
        <v>664</v>
      </c>
      <c r="T298" s="3" t="s">
        <v>79</v>
      </c>
      <c r="U298" s="3">
        <v>7</v>
      </c>
      <c r="V298" s="3">
        <v>1</v>
      </c>
      <c r="W298" s="3" t="s">
        <v>26</v>
      </c>
      <c r="AA298" s="3" t="s">
        <v>42</v>
      </c>
      <c r="AB298" s="3" t="s">
        <v>29</v>
      </c>
      <c r="AC298" s="3" t="s">
        <v>664</v>
      </c>
      <c r="AD298" s="3" t="s">
        <v>30</v>
      </c>
      <c r="AE298" s="3" t="s">
        <v>31</v>
      </c>
      <c r="AF298" s="3" t="s">
        <v>664</v>
      </c>
      <c r="AG298" s="3" t="s">
        <v>39</v>
      </c>
    </row>
    <row r="299" spans="1:33" ht="15.75" customHeight="1">
      <c r="A299" s="1">
        <v>45207.670373460649</v>
      </c>
      <c r="B299" s="3" t="s">
        <v>1024</v>
      </c>
      <c r="C299" s="2">
        <v>32062</v>
      </c>
      <c r="D299" s="3">
        <v>35</v>
      </c>
      <c r="E299" s="3" t="s">
        <v>510</v>
      </c>
      <c r="F299" s="3" t="s">
        <v>532</v>
      </c>
      <c r="G299" s="3" t="s">
        <v>539</v>
      </c>
      <c r="H299" s="2">
        <v>44236</v>
      </c>
      <c r="I299" s="3">
        <v>3</v>
      </c>
      <c r="J299" s="3" t="s">
        <v>542</v>
      </c>
      <c r="K299" s="3">
        <v>3550</v>
      </c>
      <c r="L299" s="3" t="s">
        <v>643</v>
      </c>
      <c r="M299" s="3">
        <v>67</v>
      </c>
      <c r="N299" s="3">
        <v>67</v>
      </c>
      <c r="O299" s="3">
        <v>162</v>
      </c>
      <c r="P299" s="3" t="s">
        <v>50</v>
      </c>
      <c r="Q299" s="3" t="s">
        <v>34</v>
      </c>
      <c r="R299" s="3" t="s">
        <v>249</v>
      </c>
      <c r="S299" s="3" t="s">
        <v>664</v>
      </c>
      <c r="T299" s="3" t="s">
        <v>57</v>
      </c>
      <c r="U299" s="3">
        <v>7</v>
      </c>
      <c r="V299" s="3">
        <v>1</v>
      </c>
      <c r="W299" s="3" t="s">
        <v>34</v>
      </c>
      <c r="X299" s="3" t="s">
        <v>250</v>
      </c>
      <c r="Y299" s="3">
        <v>7</v>
      </c>
      <c r="Z299" s="3">
        <v>1</v>
      </c>
      <c r="AA299" s="3" t="s">
        <v>49</v>
      </c>
      <c r="AB299" s="3" t="s">
        <v>251</v>
      </c>
      <c r="AC299" s="3" t="s">
        <v>664</v>
      </c>
      <c r="AD299" s="3" t="s">
        <v>55</v>
      </c>
      <c r="AE299" s="3" t="s">
        <v>31</v>
      </c>
      <c r="AF299" s="3" t="s">
        <v>664</v>
      </c>
      <c r="AG299" s="3" t="s">
        <v>39</v>
      </c>
    </row>
    <row r="300" spans="1:33" ht="15.75" customHeight="1">
      <c r="A300" s="1">
        <v>45207.675702141205</v>
      </c>
      <c r="B300" s="3" t="s">
        <v>1024</v>
      </c>
      <c r="C300" s="2">
        <v>33527</v>
      </c>
      <c r="D300" s="3">
        <v>31</v>
      </c>
      <c r="E300" s="3" t="s">
        <v>510</v>
      </c>
      <c r="F300" s="3" t="s">
        <v>520</v>
      </c>
      <c r="G300" s="3" t="s">
        <v>539</v>
      </c>
      <c r="H300" s="2">
        <v>43795</v>
      </c>
      <c r="I300" s="3">
        <v>1</v>
      </c>
      <c r="J300" s="3" t="s">
        <v>541</v>
      </c>
      <c r="K300" s="3" t="s">
        <v>1185</v>
      </c>
      <c r="L300" s="3" t="s">
        <v>732</v>
      </c>
      <c r="M300" s="3">
        <v>51</v>
      </c>
      <c r="N300" s="3">
        <v>65</v>
      </c>
      <c r="O300" s="3">
        <v>160</v>
      </c>
      <c r="P300" s="3" t="s">
        <v>106</v>
      </c>
      <c r="Q300" s="3" t="s">
        <v>26</v>
      </c>
      <c r="S300" s="3" t="s">
        <v>26</v>
      </c>
      <c r="T300" s="3" t="s">
        <v>121</v>
      </c>
      <c r="W300" s="3" t="s">
        <v>34</v>
      </c>
      <c r="X300" s="3" t="s">
        <v>252</v>
      </c>
      <c r="Y300" s="3">
        <v>7</v>
      </c>
      <c r="Z300" s="3">
        <v>1</v>
      </c>
      <c r="AA300" s="3" t="s">
        <v>51</v>
      </c>
      <c r="AB300" s="3" t="s">
        <v>29</v>
      </c>
      <c r="AC300" s="3" t="s">
        <v>664</v>
      </c>
      <c r="AD300" s="3" t="s">
        <v>30</v>
      </c>
      <c r="AE300" s="3" t="s">
        <v>31</v>
      </c>
      <c r="AF300" s="3" t="s">
        <v>664</v>
      </c>
      <c r="AG300" s="3" t="s">
        <v>32</v>
      </c>
    </row>
    <row r="301" spans="1:33" ht="15.75" customHeight="1">
      <c r="A301" s="1">
        <v>45207.686911770834</v>
      </c>
      <c r="B301" s="3" t="s">
        <v>1024</v>
      </c>
      <c r="C301" s="2">
        <v>32817</v>
      </c>
      <c r="D301" s="3" t="s">
        <v>1095</v>
      </c>
      <c r="E301" s="3" t="s">
        <v>510</v>
      </c>
      <c r="F301" s="3" t="s">
        <v>531</v>
      </c>
      <c r="G301" s="3" t="s">
        <v>539</v>
      </c>
      <c r="H301" s="2">
        <v>44741</v>
      </c>
      <c r="I301" s="3">
        <v>1</v>
      </c>
      <c r="J301" s="3" t="s">
        <v>541</v>
      </c>
      <c r="K301" s="3" t="s">
        <v>1186</v>
      </c>
      <c r="L301" s="3" t="s">
        <v>733</v>
      </c>
      <c r="M301" s="3">
        <v>72</v>
      </c>
      <c r="N301" s="3">
        <v>93</v>
      </c>
      <c r="O301" s="3">
        <v>170</v>
      </c>
      <c r="P301" s="3" t="s">
        <v>25</v>
      </c>
      <c r="Q301" s="3" t="s">
        <v>26</v>
      </c>
      <c r="S301" s="3" t="s">
        <v>664</v>
      </c>
      <c r="T301" s="3" t="s">
        <v>79</v>
      </c>
      <c r="U301" s="3">
        <v>7</v>
      </c>
      <c r="V301" s="3">
        <v>1</v>
      </c>
      <c r="W301" s="3" t="s">
        <v>26</v>
      </c>
      <c r="AA301" s="3" t="s">
        <v>28</v>
      </c>
      <c r="AB301" s="3" t="s">
        <v>29</v>
      </c>
      <c r="AC301" s="3" t="s">
        <v>664</v>
      </c>
      <c r="AD301" s="3" t="s">
        <v>253</v>
      </c>
      <c r="AE301" s="3" t="s">
        <v>87</v>
      </c>
      <c r="AF301" s="3" t="s">
        <v>664</v>
      </c>
      <c r="AG301" s="3" t="s">
        <v>48</v>
      </c>
    </row>
    <row r="302" spans="1:33" ht="15.75" customHeight="1">
      <c r="A302" s="1">
        <v>45207.7745153125</v>
      </c>
      <c r="B302" s="3" t="s">
        <v>1024</v>
      </c>
      <c r="C302" s="2">
        <v>33127</v>
      </c>
      <c r="D302" s="3">
        <v>33</v>
      </c>
      <c r="E302" s="3" t="s">
        <v>510</v>
      </c>
      <c r="F302" s="3" t="s">
        <v>520</v>
      </c>
      <c r="G302" s="3" t="s">
        <v>537</v>
      </c>
      <c r="H302" s="2">
        <v>44438</v>
      </c>
      <c r="I302" s="3">
        <v>1</v>
      </c>
      <c r="J302" s="3" t="s">
        <v>541</v>
      </c>
      <c r="K302" s="3">
        <v>3290</v>
      </c>
      <c r="L302" s="3">
        <v>38</v>
      </c>
      <c r="M302" s="3">
        <v>105</v>
      </c>
      <c r="N302" s="3">
        <v>107</v>
      </c>
      <c r="O302" s="3">
        <v>163</v>
      </c>
      <c r="P302" s="3" t="s">
        <v>25</v>
      </c>
      <c r="Q302" s="3" t="s">
        <v>26</v>
      </c>
      <c r="S302" s="3" t="s">
        <v>664</v>
      </c>
      <c r="T302" s="3" t="s">
        <v>79</v>
      </c>
      <c r="U302" s="3">
        <v>7</v>
      </c>
      <c r="V302" s="3">
        <v>1</v>
      </c>
      <c r="W302" s="3" t="s">
        <v>26</v>
      </c>
      <c r="AA302" s="3" t="s">
        <v>49</v>
      </c>
      <c r="AB302" s="3" t="s">
        <v>29</v>
      </c>
      <c r="AC302" s="3" t="s">
        <v>664</v>
      </c>
      <c r="AD302" s="3" t="s">
        <v>30</v>
      </c>
      <c r="AE302" s="3" t="s">
        <v>31</v>
      </c>
      <c r="AF302" s="3" t="s">
        <v>664</v>
      </c>
      <c r="AG302" s="3" t="s">
        <v>62</v>
      </c>
    </row>
    <row r="303" spans="1:33" ht="15.75" customHeight="1">
      <c r="A303" s="1">
        <v>45207.781065625</v>
      </c>
      <c r="B303" s="3" t="s">
        <v>1024</v>
      </c>
      <c r="C303" s="2">
        <v>34677</v>
      </c>
      <c r="D303" s="3">
        <v>28</v>
      </c>
      <c r="E303" s="3" t="s">
        <v>510</v>
      </c>
      <c r="F303" s="3" t="s">
        <v>522</v>
      </c>
      <c r="G303" s="3" t="s">
        <v>538</v>
      </c>
      <c r="H303" s="2">
        <v>43531</v>
      </c>
      <c r="I303" s="3">
        <v>1</v>
      </c>
      <c r="J303" s="3" t="s">
        <v>541</v>
      </c>
      <c r="K303" s="3">
        <v>4010</v>
      </c>
      <c r="L303" s="3" t="s">
        <v>636</v>
      </c>
      <c r="M303" s="3">
        <v>68</v>
      </c>
      <c r="N303" s="3">
        <v>87</v>
      </c>
      <c r="O303" s="3">
        <v>160</v>
      </c>
      <c r="P303" s="3" t="s">
        <v>33</v>
      </c>
      <c r="Q303" s="3" t="s">
        <v>26</v>
      </c>
      <c r="S303" s="3" t="s">
        <v>664</v>
      </c>
      <c r="T303" s="3" t="s">
        <v>79</v>
      </c>
      <c r="U303" s="3">
        <v>7</v>
      </c>
      <c r="V303" s="3">
        <v>1</v>
      </c>
      <c r="W303" s="3" t="s">
        <v>26</v>
      </c>
      <c r="AA303" s="3" t="s">
        <v>49</v>
      </c>
      <c r="AB303" s="3" t="s">
        <v>29</v>
      </c>
      <c r="AC303" s="3" t="s">
        <v>664</v>
      </c>
      <c r="AD303" s="3" t="s">
        <v>30</v>
      </c>
      <c r="AE303" s="3" t="s">
        <v>31</v>
      </c>
      <c r="AF303" s="3" t="s">
        <v>664</v>
      </c>
      <c r="AG303" s="3" t="s">
        <v>48</v>
      </c>
    </row>
    <row r="304" spans="1:33" ht="15.75" customHeight="1">
      <c r="A304" s="1">
        <v>45207.792863113427</v>
      </c>
      <c r="B304" s="3" t="s">
        <v>1024</v>
      </c>
      <c r="C304" s="2">
        <v>31632</v>
      </c>
      <c r="D304" s="3">
        <v>37</v>
      </c>
      <c r="E304" s="3" t="s">
        <v>510</v>
      </c>
      <c r="F304" s="3" t="s">
        <v>520</v>
      </c>
      <c r="G304" s="3" t="s">
        <v>539</v>
      </c>
      <c r="H304" s="2">
        <v>44732</v>
      </c>
      <c r="I304" s="3">
        <v>1</v>
      </c>
      <c r="J304" s="3" t="s">
        <v>541</v>
      </c>
      <c r="K304" s="3">
        <v>3396</v>
      </c>
      <c r="L304" s="3" t="s">
        <v>627</v>
      </c>
      <c r="M304" s="3">
        <v>64</v>
      </c>
      <c r="N304" s="3">
        <v>69</v>
      </c>
      <c r="O304" s="3">
        <v>159</v>
      </c>
      <c r="P304" s="3" t="s">
        <v>33</v>
      </c>
      <c r="Q304" s="3" t="s">
        <v>26</v>
      </c>
      <c r="S304" s="3" t="s">
        <v>664</v>
      </c>
      <c r="T304" s="3" t="s">
        <v>35</v>
      </c>
      <c r="U304" s="3">
        <v>7</v>
      </c>
      <c r="V304" s="3">
        <v>1</v>
      </c>
      <c r="W304" s="3" t="s">
        <v>34</v>
      </c>
      <c r="X304" s="3" t="s">
        <v>254</v>
      </c>
      <c r="Y304" s="3">
        <v>7</v>
      </c>
      <c r="Z304" s="3">
        <v>1</v>
      </c>
      <c r="AA304" s="3" t="s">
        <v>42</v>
      </c>
      <c r="AB304" s="3" t="s">
        <v>29</v>
      </c>
      <c r="AC304" s="3" t="s">
        <v>664</v>
      </c>
      <c r="AD304" s="3" t="s">
        <v>30</v>
      </c>
      <c r="AE304" s="3" t="s">
        <v>60</v>
      </c>
      <c r="AF304" s="3" t="s">
        <v>664</v>
      </c>
      <c r="AG304" s="3" t="s">
        <v>39</v>
      </c>
    </row>
    <row r="305" spans="1:33" ht="15.75" customHeight="1">
      <c r="A305" s="1">
        <v>45207.801930937501</v>
      </c>
      <c r="B305" s="3" t="s">
        <v>1024</v>
      </c>
      <c r="C305" s="2">
        <v>30098</v>
      </c>
      <c r="D305" s="3">
        <v>41</v>
      </c>
      <c r="E305" s="3" t="s">
        <v>510</v>
      </c>
      <c r="F305" s="3" t="s">
        <v>528</v>
      </c>
      <c r="G305" s="3" t="s">
        <v>539</v>
      </c>
      <c r="H305" s="2">
        <v>43879</v>
      </c>
      <c r="I305" s="3">
        <v>2</v>
      </c>
      <c r="J305" s="3" t="s">
        <v>542</v>
      </c>
      <c r="K305" s="3">
        <v>3750</v>
      </c>
      <c r="L305" s="3" t="s">
        <v>618</v>
      </c>
      <c r="M305" s="3">
        <v>90</v>
      </c>
      <c r="N305" s="3">
        <v>100</v>
      </c>
      <c r="O305" s="3">
        <v>160</v>
      </c>
      <c r="P305" s="3" t="s">
        <v>44</v>
      </c>
      <c r="Q305" s="3" t="s">
        <v>26</v>
      </c>
      <c r="S305" s="3" t="s">
        <v>664</v>
      </c>
      <c r="T305" s="3" t="s">
        <v>43</v>
      </c>
      <c r="U305" s="3">
        <v>7</v>
      </c>
      <c r="V305" s="3">
        <v>1</v>
      </c>
      <c r="W305" s="3" t="s">
        <v>26</v>
      </c>
      <c r="AA305" s="3" t="s">
        <v>49</v>
      </c>
      <c r="AB305" s="3" t="s">
        <v>255</v>
      </c>
      <c r="AC305" s="3" t="s">
        <v>664</v>
      </c>
      <c r="AD305" s="3" t="s">
        <v>30</v>
      </c>
      <c r="AE305" s="3" t="s">
        <v>72</v>
      </c>
      <c r="AF305" s="3" t="s">
        <v>664</v>
      </c>
      <c r="AG305" s="3" t="s">
        <v>32</v>
      </c>
    </row>
    <row r="306" spans="1:33" ht="15.75" customHeight="1">
      <c r="A306" s="1">
        <v>45207.80425833333</v>
      </c>
      <c r="B306" s="3" t="s">
        <v>1024</v>
      </c>
      <c r="C306" s="2">
        <v>35950</v>
      </c>
      <c r="D306" s="3">
        <v>25</v>
      </c>
      <c r="E306" s="3" t="s">
        <v>510</v>
      </c>
      <c r="F306" s="3" t="s">
        <v>520</v>
      </c>
      <c r="G306" s="3" t="s">
        <v>539</v>
      </c>
      <c r="H306" s="2">
        <v>44907</v>
      </c>
      <c r="I306" s="3">
        <v>1</v>
      </c>
      <c r="J306" s="3" t="s">
        <v>542</v>
      </c>
      <c r="K306" s="3" t="s">
        <v>1187</v>
      </c>
      <c r="L306" s="3" t="s">
        <v>734</v>
      </c>
      <c r="M306" s="3" t="s">
        <v>1188</v>
      </c>
      <c r="N306" s="3" t="s">
        <v>1189</v>
      </c>
      <c r="O306" s="3" t="s">
        <v>1190</v>
      </c>
      <c r="P306" s="3" t="s">
        <v>33</v>
      </c>
      <c r="Q306" s="3" t="s">
        <v>26</v>
      </c>
      <c r="S306" s="3" t="s">
        <v>664</v>
      </c>
      <c r="T306" s="3" t="s">
        <v>43</v>
      </c>
      <c r="U306" s="3">
        <v>7</v>
      </c>
      <c r="V306" s="3">
        <v>1</v>
      </c>
      <c r="W306" s="3" t="s">
        <v>34</v>
      </c>
      <c r="X306" s="3" t="s">
        <v>58</v>
      </c>
      <c r="Y306" s="3">
        <v>7</v>
      </c>
      <c r="Z306" s="3">
        <v>1</v>
      </c>
      <c r="AA306" s="3" t="s">
        <v>49</v>
      </c>
      <c r="AB306" s="3" t="s">
        <v>29</v>
      </c>
      <c r="AC306" s="3" t="s">
        <v>664</v>
      </c>
      <c r="AD306" s="3" t="s">
        <v>55</v>
      </c>
      <c r="AE306" s="3" t="s">
        <v>38</v>
      </c>
      <c r="AF306" s="3" t="s">
        <v>664</v>
      </c>
      <c r="AG306" s="3" t="s">
        <v>39</v>
      </c>
    </row>
    <row r="307" spans="1:33" ht="15.75" customHeight="1">
      <c r="A307" s="1">
        <v>45207.812656226852</v>
      </c>
      <c r="B307" s="3" t="s">
        <v>1024</v>
      </c>
      <c r="C307" s="2">
        <v>31230</v>
      </c>
      <c r="D307" s="3">
        <v>38</v>
      </c>
      <c r="E307" s="3" t="s">
        <v>510</v>
      </c>
      <c r="F307" s="3" t="s">
        <v>520</v>
      </c>
      <c r="G307" s="3" t="s">
        <v>539</v>
      </c>
      <c r="H307" s="2">
        <v>44923</v>
      </c>
      <c r="I307" s="3">
        <v>1</v>
      </c>
      <c r="J307" s="3" t="s">
        <v>541</v>
      </c>
      <c r="K307" s="3" t="s">
        <v>1191</v>
      </c>
      <c r="L307" s="3">
        <v>38</v>
      </c>
      <c r="M307" s="3">
        <v>68.5</v>
      </c>
      <c r="N307" s="3">
        <v>82</v>
      </c>
      <c r="O307" s="3">
        <v>171</v>
      </c>
      <c r="P307" s="3" t="s">
        <v>33</v>
      </c>
      <c r="Q307" s="3" t="s">
        <v>26</v>
      </c>
      <c r="S307" s="3" t="s">
        <v>664</v>
      </c>
      <c r="T307" s="3" t="s">
        <v>256</v>
      </c>
      <c r="U307" s="3">
        <v>7</v>
      </c>
      <c r="V307" s="3">
        <v>1</v>
      </c>
      <c r="W307" s="3" t="s">
        <v>26</v>
      </c>
      <c r="AA307" s="3" t="s">
        <v>28</v>
      </c>
      <c r="AB307" s="3" t="s">
        <v>257</v>
      </c>
      <c r="AC307" s="3" t="s">
        <v>664</v>
      </c>
      <c r="AD307" s="3" t="s">
        <v>37</v>
      </c>
      <c r="AE307" s="3" t="s">
        <v>38</v>
      </c>
      <c r="AF307" s="3" t="s">
        <v>664</v>
      </c>
      <c r="AG307" s="3" t="s">
        <v>39</v>
      </c>
    </row>
    <row r="308" spans="1:33" ht="15.75" customHeight="1">
      <c r="A308" s="1">
        <v>45207.822203611111</v>
      </c>
      <c r="B308" s="3" t="s">
        <v>1024</v>
      </c>
      <c r="C308" s="2">
        <v>34079</v>
      </c>
      <c r="D308" s="3">
        <v>30</v>
      </c>
      <c r="E308" s="3" t="s">
        <v>510</v>
      </c>
      <c r="F308" s="3" t="s">
        <v>530</v>
      </c>
      <c r="G308" s="3" t="s">
        <v>538</v>
      </c>
      <c r="H308" s="2">
        <v>45164</v>
      </c>
      <c r="I308" s="3">
        <v>4</v>
      </c>
      <c r="J308" s="3" t="s">
        <v>542</v>
      </c>
      <c r="K308" s="3">
        <v>3390</v>
      </c>
      <c r="L308" s="3" t="s">
        <v>719</v>
      </c>
      <c r="M308" s="3">
        <v>58</v>
      </c>
      <c r="N308" s="3">
        <v>67</v>
      </c>
      <c r="O308" s="3">
        <v>153</v>
      </c>
      <c r="P308" s="3" t="s">
        <v>33</v>
      </c>
      <c r="Q308" s="3" t="s">
        <v>26</v>
      </c>
      <c r="S308" s="3" t="s">
        <v>664</v>
      </c>
      <c r="T308" s="3" t="s">
        <v>43</v>
      </c>
      <c r="U308" s="3">
        <v>7</v>
      </c>
      <c r="V308" s="3">
        <v>1</v>
      </c>
      <c r="W308" s="3" t="s">
        <v>26</v>
      </c>
      <c r="AA308" s="3" t="s">
        <v>49</v>
      </c>
      <c r="AB308" s="3" t="s">
        <v>29</v>
      </c>
      <c r="AC308" s="3" t="s">
        <v>664</v>
      </c>
      <c r="AD308" s="3" t="s">
        <v>55</v>
      </c>
      <c r="AE308" s="3" t="s">
        <v>72</v>
      </c>
      <c r="AF308" s="3" t="s">
        <v>664</v>
      </c>
      <c r="AG308" s="3" t="s">
        <v>32</v>
      </c>
    </row>
    <row r="309" spans="1:33" ht="15.75" customHeight="1">
      <c r="A309" s="1">
        <v>45207.828642164357</v>
      </c>
      <c r="B309" s="3" t="s">
        <v>1024</v>
      </c>
      <c r="C309" s="2">
        <v>34817</v>
      </c>
      <c r="D309" s="3">
        <v>28</v>
      </c>
      <c r="E309" s="3" t="s">
        <v>510</v>
      </c>
      <c r="F309" s="3" t="s">
        <v>529</v>
      </c>
      <c r="G309" s="3" t="s">
        <v>538</v>
      </c>
      <c r="H309" s="2">
        <v>43839</v>
      </c>
      <c r="I309" s="3">
        <v>2</v>
      </c>
      <c r="J309" s="3" t="s">
        <v>541</v>
      </c>
      <c r="K309" s="3">
        <v>4400</v>
      </c>
      <c r="L309" s="3" t="s">
        <v>629</v>
      </c>
      <c r="M309" s="3">
        <v>69</v>
      </c>
      <c r="N309" s="3">
        <v>85</v>
      </c>
      <c r="O309" s="3">
        <v>164</v>
      </c>
      <c r="P309" s="3" t="s">
        <v>50</v>
      </c>
      <c r="Q309" s="3" t="s">
        <v>26</v>
      </c>
      <c r="S309" s="3" t="s">
        <v>26</v>
      </c>
      <c r="T309" s="3" t="s">
        <v>121</v>
      </c>
      <c r="W309" s="3" t="s">
        <v>26</v>
      </c>
      <c r="AA309" s="3" t="s">
        <v>51</v>
      </c>
      <c r="AB309" s="3" t="s">
        <v>29</v>
      </c>
      <c r="AC309" s="3" t="s">
        <v>664</v>
      </c>
      <c r="AD309" s="3" t="s">
        <v>55</v>
      </c>
      <c r="AE309" s="3" t="s">
        <v>72</v>
      </c>
      <c r="AF309" s="3" t="s">
        <v>664</v>
      </c>
      <c r="AG309" s="3" t="s">
        <v>48</v>
      </c>
    </row>
    <row r="310" spans="1:33" ht="15.75" customHeight="1">
      <c r="A310" s="1">
        <v>45207.882699745373</v>
      </c>
      <c r="B310" s="3" t="s">
        <v>1024</v>
      </c>
      <c r="C310" s="2">
        <v>32304</v>
      </c>
      <c r="D310" s="3">
        <v>35</v>
      </c>
      <c r="E310" s="3" t="s">
        <v>510</v>
      </c>
      <c r="F310" s="3" t="s">
        <v>529</v>
      </c>
      <c r="G310" s="3" t="s">
        <v>539</v>
      </c>
      <c r="H310" s="2">
        <v>45005</v>
      </c>
      <c r="I310" s="3">
        <v>2</v>
      </c>
      <c r="J310" s="3" t="s">
        <v>541</v>
      </c>
      <c r="K310" s="3">
        <v>3500</v>
      </c>
      <c r="L310" s="3" t="s">
        <v>661</v>
      </c>
      <c r="M310" s="3">
        <v>78</v>
      </c>
      <c r="N310" s="3">
        <v>88</v>
      </c>
      <c r="O310" s="3">
        <v>174</v>
      </c>
      <c r="P310" s="3" t="s">
        <v>33</v>
      </c>
      <c r="Q310" s="3" t="s">
        <v>26</v>
      </c>
      <c r="S310" s="3" t="s">
        <v>664</v>
      </c>
      <c r="T310" s="3" t="s">
        <v>41</v>
      </c>
      <c r="U310" s="3">
        <v>7</v>
      </c>
      <c r="V310" s="3">
        <v>1</v>
      </c>
      <c r="W310" s="3" t="s">
        <v>34</v>
      </c>
      <c r="Y310" s="3">
        <v>7</v>
      </c>
      <c r="Z310" s="3">
        <v>1</v>
      </c>
      <c r="AA310" s="3" t="s">
        <v>42</v>
      </c>
      <c r="AB310" s="3" t="s">
        <v>29</v>
      </c>
      <c r="AC310" s="3" t="s">
        <v>664</v>
      </c>
      <c r="AD310" s="3" t="s">
        <v>30</v>
      </c>
      <c r="AE310" s="3" t="s">
        <v>31</v>
      </c>
      <c r="AF310" s="3" t="s">
        <v>664</v>
      </c>
      <c r="AG310" s="3" t="s">
        <v>32</v>
      </c>
    </row>
    <row r="311" spans="1:33" ht="15.75" customHeight="1">
      <c r="A311" s="1">
        <v>45207.885788541666</v>
      </c>
      <c r="B311" s="3" t="s">
        <v>1024</v>
      </c>
      <c r="C311" s="2">
        <v>30052</v>
      </c>
      <c r="D311" s="3">
        <v>41</v>
      </c>
      <c r="E311" s="3" t="s">
        <v>510</v>
      </c>
      <c r="F311" s="3" t="s">
        <v>526</v>
      </c>
      <c r="G311" s="3" t="s">
        <v>539</v>
      </c>
      <c r="H311" s="2">
        <v>44130</v>
      </c>
      <c r="I311" s="3">
        <v>2</v>
      </c>
      <c r="J311" s="3" t="s">
        <v>541</v>
      </c>
      <c r="K311" s="3">
        <v>2780</v>
      </c>
      <c r="L311" s="3">
        <v>37</v>
      </c>
      <c r="M311" s="3">
        <v>60</v>
      </c>
      <c r="N311" s="3">
        <v>68</v>
      </c>
      <c r="O311" s="3">
        <v>154</v>
      </c>
      <c r="P311" s="3" t="s">
        <v>33</v>
      </c>
      <c r="Q311" s="3" t="s">
        <v>26</v>
      </c>
      <c r="S311" s="3" t="s">
        <v>664</v>
      </c>
      <c r="T311" s="3" t="s">
        <v>41</v>
      </c>
      <c r="U311" s="3">
        <v>7</v>
      </c>
      <c r="V311" s="3">
        <v>1</v>
      </c>
      <c r="W311" s="3" t="s">
        <v>34</v>
      </c>
      <c r="X311" s="3" t="s">
        <v>58</v>
      </c>
      <c r="Y311" s="3">
        <v>7</v>
      </c>
      <c r="Z311" s="3">
        <v>1</v>
      </c>
      <c r="AA311" s="3" t="s">
        <v>42</v>
      </c>
      <c r="AB311" s="3" t="s">
        <v>29</v>
      </c>
      <c r="AC311" s="3" t="s">
        <v>664</v>
      </c>
      <c r="AD311" s="3" t="s">
        <v>30</v>
      </c>
      <c r="AE311" s="3" t="s">
        <v>38</v>
      </c>
      <c r="AF311" s="3" t="s">
        <v>664</v>
      </c>
      <c r="AG311" s="3" t="s">
        <v>39</v>
      </c>
    </row>
    <row r="312" spans="1:33" ht="15.75" customHeight="1">
      <c r="A312" s="1">
        <v>45207.89068975694</v>
      </c>
      <c r="B312" s="3" t="s">
        <v>1024</v>
      </c>
      <c r="C312" s="2">
        <v>35774</v>
      </c>
      <c r="D312" s="3">
        <v>25</v>
      </c>
      <c r="E312" s="3" t="s">
        <v>510</v>
      </c>
      <c r="F312" s="3" t="s">
        <v>520</v>
      </c>
      <c r="G312" s="3" t="s">
        <v>539</v>
      </c>
      <c r="H312" s="2">
        <v>45057</v>
      </c>
      <c r="I312" s="3">
        <v>1</v>
      </c>
      <c r="J312" s="3" t="s">
        <v>542</v>
      </c>
      <c r="K312" s="3">
        <v>3950</v>
      </c>
      <c r="L312" s="3" t="s">
        <v>735</v>
      </c>
      <c r="M312" s="3">
        <v>62</v>
      </c>
      <c r="N312" s="3">
        <v>74</v>
      </c>
      <c r="O312" s="3">
        <v>159</v>
      </c>
      <c r="P312" s="3" t="s">
        <v>33</v>
      </c>
      <c r="Q312" s="3" t="s">
        <v>26</v>
      </c>
      <c r="S312" s="3" t="s">
        <v>664</v>
      </c>
      <c r="T312" s="3" t="s">
        <v>79</v>
      </c>
      <c r="U312" s="3">
        <v>7</v>
      </c>
      <c r="V312" s="3">
        <v>1</v>
      </c>
      <c r="W312" s="3" t="s">
        <v>26</v>
      </c>
      <c r="AA312" s="3" t="s">
        <v>42</v>
      </c>
      <c r="AB312" s="3" t="s">
        <v>29</v>
      </c>
      <c r="AC312" s="3" t="s">
        <v>664</v>
      </c>
      <c r="AD312" s="3" t="s">
        <v>30</v>
      </c>
      <c r="AE312" s="3" t="s">
        <v>60</v>
      </c>
      <c r="AF312" s="3" t="s">
        <v>664</v>
      </c>
      <c r="AG312" s="3" t="s">
        <v>39</v>
      </c>
    </row>
    <row r="313" spans="1:33" ht="15.75" customHeight="1">
      <c r="A313" s="1">
        <v>45207.894413043978</v>
      </c>
      <c r="B313" s="3" t="s">
        <v>1024</v>
      </c>
      <c r="C313" s="2">
        <v>33427</v>
      </c>
      <c r="D313" s="3">
        <v>32</v>
      </c>
      <c r="E313" s="3" t="s">
        <v>510</v>
      </c>
      <c r="F313" s="3" t="s">
        <v>520</v>
      </c>
      <c r="G313" s="3" t="s">
        <v>538</v>
      </c>
      <c r="H313" s="2">
        <v>43094</v>
      </c>
      <c r="I313" s="3">
        <v>3</v>
      </c>
      <c r="J313" s="3" t="s">
        <v>541</v>
      </c>
      <c r="K313" s="3">
        <v>3480</v>
      </c>
      <c r="L313" s="3" t="s">
        <v>636</v>
      </c>
      <c r="M313" s="3">
        <v>80</v>
      </c>
      <c r="N313" s="3">
        <v>92</v>
      </c>
      <c r="O313" s="3">
        <v>158</v>
      </c>
      <c r="P313" s="3" t="s">
        <v>40</v>
      </c>
      <c r="Q313" s="3" t="s">
        <v>26</v>
      </c>
      <c r="S313" s="3" t="s">
        <v>664</v>
      </c>
      <c r="T313" s="3" t="s">
        <v>79</v>
      </c>
      <c r="U313" s="3">
        <v>7</v>
      </c>
      <c r="V313" s="3">
        <v>1</v>
      </c>
      <c r="W313" s="3" t="s">
        <v>26</v>
      </c>
      <c r="AA313" s="3" t="s">
        <v>49</v>
      </c>
      <c r="AB313" s="3" t="s">
        <v>29</v>
      </c>
      <c r="AC313" s="3" t="s">
        <v>664</v>
      </c>
      <c r="AD313" s="3" t="s">
        <v>30</v>
      </c>
      <c r="AE313" s="3" t="s">
        <v>31</v>
      </c>
      <c r="AF313" s="3" t="s">
        <v>664</v>
      </c>
      <c r="AG313" s="3" t="s">
        <v>32</v>
      </c>
    </row>
    <row r="314" spans="1:33" ht="15.75" customHeight="1">
      <c r="A314" s="1">
        <v>45207.894585104164</v>
      </c>
      <c r="B314" s="3" t="s">
        <v>1024</v>
      </c>
      <c r="C314" s="2">
        <v>32149</v>
      </c>
      <c r="D314" s="3">
        <v>35</v>
      </c>
      <c r="E314" s="3" t="s">
        <v>510</v>
      </c>
      <c r="F314" s="3" t="s">
        <v>520</v>
      </c>
      <c r="G314" s="3" t="s">
        <v>539</v>
      </c>
      <c r="H314" s="2">
        <v>44922</v>
      </c>
      <c r="I314" s="3">
        <v>1</v>
      </c>
      <c r="J314" s="3" t="s">
        <v>541</v>
      </c>
      <c r="K314" s="3" t="s">
        <v>1192</v>
      </c>
      <c r="L314" s="3" t="s">
        <v>719</v>
      </c>
      <c r="M314" s="3">
        <v>63</v>
      </c>
      <c r="N314" s="3">
        <v>72</v>
      </c>
      <c r="O314" s="3">
        <v>160</v>
      </c>
      <c r="P314" s="3" t="s">
        <v>33</v>
      </c>
      <c r="Q314" s="3" t="s">
        <v>26</v>
      </c>
      <c r="S314" s="3" t="s">
        <v>664</v>
      </c>
      <c r="T314" s="3" t="s">
        <v>27</v>
      </c>
      <c r="U314" s="3">
        <v>7</v>
      </c>
      <c r="V314" s="3">
        <v>1</v>
      </c>
      <c r="W314" s="3" t="s">
        <v>26</v>
      </c>
      <c r="AA314" s="3" t="s">
        <v>28</v>
      </c>
      <c r="AB314" s="3" t="s">
        <v>29</v>
      </c>
      <c r="AC314" s="3" t="s">
        <v>664</v>
      </c>
      <c r="AD314" s="3" t="s">
        <v>30</v>
      </c>
      <c r="AE314" s="3" t="s">
        <v>72</v>
      </c>
      <c r="AF314" s="3" t="s">
        <v>664</v>
      </c>
      <c r="AG314" s="3" t="s">
        <v>32</v>
      </c>
    </row>
    <row r="315" spans="1:33" ht="15.75" customHeight="1">
      <c r="A315" s="1">
        <v>45207.90049792824</v>
      </c>
      <c r="B315" s="3" t="s">
        <v>1024</v>
      </c>
      <c r="C315" s="2">
        <v>31889</v>
      </c>
      <c r="D315" s="3">
        <v>36</v>
      </c>
      <c r="E315" s="3" t="s">
        <v>510</v>
      </c>
      <c r="F315" s="3" t="s">
        <v>520</v>
      </c>
      <c r="G315" s="3" t="s">
        <v>539</v>
      </c>
      <c r="H315" s="2">
        <v>44364</v>
      </c>
      <c r="I315" s="3">
        <v>1</v>
      </c>
      <c r="J315" s="3" t="s">
        <v>542</v>
      </c>
      <c r="K315" s="3">
        <v>3740</v>
      </c>
      <c r="L315" s="3">
        <v>39</v>
      </c>
      <c r="M315" s="3">
        <v>70</v>
      </c>
      <c r="N315" s="3">
        <v>80</v>
      </c>
      <c r="O315" s="3">
        <v>164</v>
      </c>
      <c r="P315" s="3" t="s">
        <v>33</v>
      </c>
      <c r="Q315" s="3" t="s">
        <v>26</v>
      </c>
      <c r="S315" s="3" t="s">
        <v>664</v>
      </c>
      <c r="T315" s="3" t="s">
        <v>79</v>
      </c>
      <c r="U315" s="3">
        <v>7</v>
      </c>
      <c r="V315" s="3">
        <v>1</v>
      </c>
      <c r="W315" s="3" t="s">
        <v>26</v>
      </c>
      <c r="AA315" s="3" t="s">
        <v>49</v>
      </c>
      <c r="AB315" s="3" t="s">
        <v>29</v>
      </c>
      <c r="AC315" s="3" t="s">
        <v>664</v>
      </c>
      <c r="AD315" s="3" t="s">
        <v>30</v>
      </c>
      <c r="AE315" s="3" t="s">
        <v>38</v>
      </c>
      <c r="AF315" s="3" t="s">
        <v>664</v>
      </c>
      <c r="AG315" s="3" t="s">
        <v>32</v>
      </c>
    </row>
    <row r="316" spans="1:33" ht="15.75" customHeight="1">
      <c r="A316" s="1">
        <v>45207.90214943287</v>
      </c>
      <c r="B316" s="3" t="s">
        <v>1024</v>
      </c>
      <c r="C316" s="2">
        <v>31193</v>
      </c>
      <c r="D316" s="3">
        <v>38</v>
      </c>
      <c r="E316" s="3" t="s">
        <v>510</v>
      </c>
      <c r="F316" s="3" t="s">
        <v>531</v>
      </c>
      <c r="G316" s="3" t="s">
        <v>537</v>
      </c>
      <c r="H316" s="2">
        <v>43364</v>
      </c>
      <c r="I316" s="3">
        <v>3</v>
      </c>
      <c r="J316" s="3" t="s">
        <v>541</v>
      </c>
      <c r="K316" s="3" t="s">
        <v>1193</v>
      </c>
      <c r="L316" s="3">
        <v>37</v>
      </c>
      <c r="M316" s="3">
        <v>72</v>
      </c>
      <c r="N316" s="3">
        <v>85</v>
      </c>
      <c r="O316" s="3">
        <v>158</v>
      </c>
      <c r="P316" s="3" t="s">
        <v>50</v>
      </c>
      <c r="Q316" s="3" t="s">
        <v>26</v>
      </c>
      <c r="S316" s="3" t="s">
        <v>664</v>
      </c>
      <c r="T316" s="3" t="s">
        <v>79</v>
      </c>
      <c r="U316" s="3">
        <v>7</v>
      </c>
      <c r="V316" s="3">
        <v>1</v>
      </c>
      <c r="W316" s="3" t="s">
        <v>26</v>
      </c>
      <c r="AA316" s="3" t="s">
        <v>54</v>
      </c>
      <c r="AB316" s="3" t="s">
        <v>29</v>
      </c>
      <c r="AC316" s="3" t="s">
        <v>664</v>
      </c>
      <c r="AD316" s="3" t="s">
        <v>55</v>
      </c>
      <c r="AE316" s="3" t="s">
        <v>38</v>
      </c>
      <c r="AF316" s="3" t="s">
        <v>664</v>
      </c>
      <c r="AG316" s="3" t="s">
        <v>32</v>
      </c>
    </row>
    <row r="317" spans="1:33" ht="15.75" customHeight="1">
      <c r="A317" s="1">
        <v>45207.905786319447</v>
      </c>
      <c r="B317" s="3" t="s">
        <v>1024</v>
      </c>
      <c r="C317" s="2">
        <v>33710</v>
      </c>
      <c r="D317" s="3">
        <v>31</v>
      </c>
      <c r="E317" s="3" t="s">
        <v>510</v>
      </c>
      <c r="F317" s="3" t="s">
        <v>520</v>
      </c>
      <c r="G317" s="3" t="s">
        <v>540</v>
      </c>
      <c r="H317" s="2">
        <v>43986</v>
      </c>
      <c r="I317" s="3">
        <v>1</v>
      </c>
      <c r="J317" s="3" t="s">
        <v>542</v>
      </c>
      <c r="K317" s="3" t="s">
        <v>1180</v>
      </c>
      <c r="L317" s="3" t="s">
        <v>673</v>
      </c>
      <c r="M317" s="3">
        <v>54</v>
      </c>
      <c r="N317" s="3">
        <v>66</v>
      </c>
      <c r="O317" s="3">
        <v>162</v>
      </c>
      <c r="P317" s="3" t="s">
        <v>33</v>
      </c>
      <c r="Q317" s="3" t="s">
        <v>26</v>
      </c>
      <c r="S317" s="3" t="s">
        <v>664</v>
      </c>
      <c r="T317" s="3" t="s">
        <v>43</v>
      </c>
      <c r="U317" s="3">
        <v>7</v>
      </c>
      <c r="V317" s="3">
        <v>1</v>
      </c>
      <c r="W317" s="3" t="s">
        <v>34</v>
      </c>
      <c r="X317" s="3" t="s">
        <v>462</v>
      </c>
      <c r="Y317" s="3">
        <v>7</v>
      </c>
      <c r="Z317" s="3">
        <v>1</v>
      </c>
      <c r="AA317" s="3" t="s">
        <v>28</v>
      </c>
      <c r="AB317" s="3" t="s">
        <v>29</v>
      </c>
      <c r="AC317" s="3" t="s">
        <v>664</v>
      </c>
      <c r="AD317" s="3" t="s">
        <v>55</v>
      </c>
      <c r="AE317" s="3" t="s">
        <v>31</v>
      </c>
      <c r="AF317" s="3" t="s">
        <v>664</v>
      </c>
      <c r="AG317" s="3" t="s">
        <v>39</v>
      </c>
    </row>
    <row r="318" spans="1:33" ht="15.75" customHeight="1">
      <c r="A318" s="1">
        <v>45207.907799837965</v>
      </c>
      <c r="B318" s="3" t="s">
        <v>1024</v>
      </c>
      <c r="C318" s="2">
        <v>34353</v>
      </c>
      <c r="D318" s="3">
        <v>29</v>
      </c>
      <c r="E318" s="3" t="s">
        <v>510</v>
      </c>
      <c r="F318" s="3" t="s">
        <v>520</v>
      </c>
      <c r="G318" s="3" t="s">
        <v>539</v>
      </c>
      <c r="H318" s="2">
        <v>44575</v>
      </c>
      <c r="I318" s="3">
        <v>1</v>
      </c>
      <c r="J318" s="3" t="s">
        <v>542</v>
      </c>
      <c r="K318" s="3">
        <v>2930</v>
      </c>
      <c r="L318" s="3">
        <v>39</v>
      </c>
      <c r="M318" s="3">
        <v>54</v>
      </c>
      <c r="N318" s="3">
        <v>64</v>
      </c>
      <c r="O318" s="3">
        <v>161</v>
      </c>
      <c r="P318" s="3" t="s">
        <v>33</v>
      </c>
      <c r="Q318" s="3" t="s">
        <v>26</v>
      </c>
      <c r="S318" s="3" t="s">
        <v>664</v>
      </c>
      <c r="T318" s="3" t="s">
        <v>43</v>
      </c>
      <c r="U318" s="3">
        <v>7</v>
      </c>
      <c r="V318" s="3">
        <v>1</v>
      </c>
      <c r="W318" s="3" t="s">
        <v>26</v>
      </c>
      <c r="AA318" s="3" t="s">
        <v>28</v>
      </c>
      <c r="AB318" s="3" t="s">
        <v>259</v>
      </c>
      <c r="AC318" s="3" t="s">
        <v>664</v>
      </c>
      <c r="AD318" s="3" t="s">
        <v>55</v>
      </c>
      <c r="AE318" s="3" t="s">
        <v>38</v>
      </c>
      <c r="AF318" s="3" t="s">
        <v>664</v>
      </c>
      <c r="AG318" s="3" t="s">
        <v>39</v>
      </c>
    </row>
    <row r="319" spans="1:33" ht="15.75" customHeight="1">
      <c r="A319" s="1">
        <v>45207.919111550931</v>
      </c>
      <c r="B319" s="3" t="s">
        <v>1024</v>
      </c>
      <c r="C319" s="2">
        <v>32949</v>
      </c>
      <c r="D319" s="3">
        <v>33</v>
      </c>
      <c r="E319" s="3" t="s">
        <v>510</v>
      </c>
      <c r="F319" s="3" t="s">
        <v>520</v>
      </c>
      <c r="G319" s="3" t="s">
        <v>539</v>
      </c>
      <c r="H319" s="2">
        <v>44817</v>
      </c>
      <c r="I319" s="3">
        <v>2</v>
      </c>
      <c r="J319" s="3" t="s">
        <v>542</v>
      </c>
      <c r="K319" s="3">
        <v>3260</v>
      </c>
      <c r="L319" s="3">
        <v>39</v>
      </c>
      <c r="M319" s="3">
        <v>68</v>
      </c>
      <c r="N319" s="3">
        <v>79</v>
      </c>
      <c r="O319" s="3">
        <v>168</v>
      </c>
      <c r="P319" s="3" t="s">
        <v>33</v>
      </c>
      <c r="Q319" s="3" t="s">
        <v>26</v>
      </c>
      <c r="S319" s="3" t="s">
        <v>664</v>
      </c>
      <c r="T319" s="3" t="s">
        <v>57</v>
      </c>
      <c r="U319" s="3">
        <v>7</v>
      </c>
      <c r="V319" s="3">
        <v>1</v>
      </c>
      <c r="W319" s="3" t="s">
        <v>26</v>
      </c>
      <c r="AA319" s="3" t="s">
        <v>42</v>
      </c>
      <c r="AB319" s="3" t="s">
        <v>29</v>
      </c>
      <c r="AC319" s="3" t="s">
        <v>664</v>
      </c>
      <c r="AD319" s="3" t="s">
        <v>30</v>
      </c>
      <c r="AE319" s="3" t="s">
        <v>38</v>
      </c>
      <c r="AF319" s="3" t="s">
        <v>664</v>
      </c>
      <c r="AG319" s="3" t="s">
        <v>39</v>
      </c>
    </row>
    <row r="320" spans="1:33" ht="15.75" customHeight="1">
      <c r="A320" s="1">
        <v>45207.920027187502</v>
      </c>
      <c r="B320" s="3" t="s">
        <v>1024</v>
      </c>
      <c r="C320" s="2">
        <v>33494</v>
      </c>
      <c r="D320" s="3">
        <v>32</v>
      </c>
      <c r="E320" s="3" t="s">
        <v>510</v>
      </c>
      <c r="F320" s="3" t="s">
        <v>528</v>
      </c>
      <c r="G320" s="3" t="s">
        <v>539</v>
      </c>
      <c r="H320" s="2">
        <v>44873</v>
      </c>
      <c r="I320" s="3">
        <v>4</v>
      </c>
      <c r="J320" s="3" t="s">
        <v>541</v>
      </c>
      <c r="K320" s="3">
        <v>2880</v>
      </c>
      <c r="L320" s="3">
        <v>38</v>
      </c>
      <c r="M320" s="3">
        <v>93</v>
      </c>
      <c r="N320" s="3">
        <v>99</v>
      </c>
      <c r="O320" s="3">
        <v>163</v>
      </c>
      <c r="P320" s="3" t="s">
        <v>25</v>
      </c>
      <c r="Q320" s="3" t="s">
        <v>26</v>
      </c>
      <c r="S320" s="3" t="s">
        <v>664</v>
      </c>
      <c r="T320" s="3" t="s">
        <v>260</v>
      </c>
      <c r="U320" s="3">
        <v>7</v>
      </c>
      <c r="V320" s="3">
        <v>1</v>
      </c>
      <c r="W320" s="3" t="s">
        <v>26</v>
      </c>
      <c r="AA320" s="3" t="s">
        <v>42</v>
      </c>
      <c r="AB320" s="3" t="s">
        <v>29</v>
      </c>
      <c r="AC320" s="3" t="s">
        <v>664</v>
      </c>
      <c r="AD320" s="3" t="s">
        <v>55</v>
      </c>
      <c r="AE320" s="3" t="s">
        <v>31</v>
      </c>
      <c r="AF320" s="3" t="s">
        <v>664</v>
      </c>
      <c r="AG320" s="3" t="s">
        <v>48</v>
      </c>
    </row>
    <row r="321" spans="1:33" ht="15.75" customHeight="1">
      <c r="A321" s="1">
        <v>45207.924833495374</v>
      </c>
      <c r="B321" s="3" t="s">
        <v>1024</v>
      </c>
      <c r="C321" s="2">
        <v>32832</v>
      </c>
      <c r="D321" s="3">
        <v>33</v>
      </c>
      <c r="E321" s="3" t="s">
        <v>510</v>
      </c>
      <c r="F321" s="3" t="s">
        <v>525</v>
      </c>
      <c r="G321" s="3" t="s">
        <v>538</v>
      </c>
      <c r="H321" s="2">
        <v>44506</v>
      </c>
      <c r="I321" s="3">
        <v>1</v>
      </c>
      <c r="J321" s="3" t="s">
        <v>541</v>
      </c>
      <c r="K321" s="3" t="s">
        <v>1194</v>
      </c>
      <c r="L321" s="3" t="s">
        <v>654</v>
      </c>
      <c r="M321" s="3">
        <v>76</v>
      </c>
      <c r="N321" s="3">
        <v>88</v>
      </c>
      <c r="O321" s="3">
        <v>156</v>
      </c>
      <c r="P321" s="3" t="s">
        <v>44</v>
      </c>
      <c r="Q321" s="3" t="s">
        <v>26</v>
      </c>
      <c r="S321" s="3" t="s">
        <v>664</v>
      </c>
      <c r="T321" s="3" t="s">
        <v>79</v>
      </c>
      <c r="U321" s="3">
        <v>7</v>
      </c>
      <c r="V321" s="3">
        <v>1</v>
      </c>
      <c r="W321" s="3" t="s">
        <v>26</v>
      </c>
      <c r="AA321" s="3" t="s">
        <v>42</v>
      </c>
      <c r="AB321" s="3" t="s">
        <v>29</v>
      </c>
      <c r="AC321" s="3" t="s">
        <v>664</v>
      </c>
      <c r="AD321" s="3" t="s">
        <v>30</v>
      </c>
      <c r="AE321" s="3" t="s">
        <v>31</v>
      </c>
      <c r="AF321" s="3" t="s">
        <v>664</v>
      </c>
      <c r="AG321" s="3" t="s">
        <v>32</v>
      </c>
    </row>
    <row r="322" spans="1:33" ht="15.75" customHeight="1">
      <c r="A322" s="1">
        <v>45207.926888078699</v>
      </c>
      <c r="B322" s="3" t="s">
        <v>1024</v>
      </c>
      <c r="C322" s="2">
        <v>44881</v>
      </c>
      <c r="D322" s="3">
        <v>25</v>
      </c>
      <c r="E322" s="3" t="s">
        <v>510</v>
      </c>
      <c r="F322" s="3" t="s">
        <v>520</v>
      </c>
      <c r="G322" s="3" t="s">
        <v>539</v>
      </c>
      <c r="H322" s="2">
        <v>44881</v>
      </c>
      <c r="I322" s="3">
        <v>1</v>
      </c>
      <c r="J322" s="3" t="s">
        <v>542</v>
      </c>
      <c r="K322" s="3">
        <v>3610</v>
      </c>
      <c r="L322" s="3">
        <v>38</v>
      </c>
      <c r="M322" s="3">
        <v>90</v>
      </c>
      <c r="N322" s="3">
        <v>103</v>
      </c>
      <c r="O322" s="3">
        <v>164</v>
      </c>
      <c r="P322" s="3" t="s">
        <v>50</v>
      </c>
      <c r="Q322" s="3" t="s">
        <v>26</v>
      </c>
      <c r="S322" s="3" t="s">
        <v>664</v>
      </c>
      <c r="T322" s="3" t="s">
        <v>79</v>
      </c>
      <c r="U322" s="3">
        <v>7</v>
      </c>
      <c r="V322" s="3">
        <v>1</v>
      </c>
      <c r="W322" s="3" t="s">
        <v>34</v>
      </c>
      <c r="X322" s="3" t="s">
        <v>261</v>
      </c>
      <c r="Y322" s="3">
        <v>7</v>
      </c>
      <c r="Z322" s="3">
        <v>2</v>
      </c>
      <c r="AA322" s="3" t="s">
        <v>42</v>
      </c>
      <c r="AB322" s="3" t="s">
        <v>262</v>
      </c>
      <c r="AC322" s="3" t="s">
        <v>664</v>
      </c>
      <c r="AD322" s="3" t="s">
        <v>30</v>
      </c>
      <c r="AE322" s="3" t="s">
        <v>38</v>
      </c>
      <c r="AF322" s="3" t="s">
        <v>664</v>
      </c>
      <c r="AG322" s="3" t="s">
        <v>39</v>
      </c>
    </row>
    <row r="323" spans="1:33" ht="15.75" customHeight="1">
      <c r="A323" s="1">
        <v>45207.926902673615</v>
      </c>
      <c r="B323" s="3" t="s">
        <v>1024</v>
      </c>
      <c r="C323" s="2">
        <v>34299</v>
      </c>
      <c r="D323" s="3">
        <v>29</v>
      </c>
      <c r="E323" s="3" t="s">
        <v>511</v>
      </c>
      <c r="F323" s="3" t="s">
        <v>520</v>
      </c>
      <c r="G323" s="3" t="s">
        <v>539</v>
      </c>
      <c r="H323" s="2">
        <v>44443</v>
      </c>
      <c r="I323" s="3">
        <v>1</v>
      </c>
      <c r="J323" s="3" t="s">
        <v>542</v>
      </c>
      <c r="K323" s="3">
        <v>3600</v>
      </c>
      <c r="L323" s="3" t="s">
        <v>736</v>
      </c>
      <c r="M323" s="3">
        <v>78</v>
      </c>
      <c r="N323" s="3">
        <v>96</v>
      </c>
      <c r="O323" s="3">
        <v>165</v>
      </c>
      <c r="P323" s="3" t="s">
        <v>33</v>
      </c>
      <c r="Q323" s="3" t="s">
        <v>26</v>
      </c>
      <c r="S323" s="3" t="s">
        <v>664</v>
      </c>
      <c r="T323" s="3" t="s">
        <v>27</v>
      </c>
      <c r="U323" s="3">
        <v>7</v>
      </c>
      <c r="V323" s="3">
        <v>1</v>
      </c>
      <c r="W323" s="3" t="s">
        <v>34</v>
      </c>
      <c r="X323" s="3" t="s">
        <v>737</v>
      </c>
      <c r="Y323" s="3">
        <v>7</v>
      </c>
      <c r="Z323" s="3">
        <v>1</v>
      </c>
      <c r="AA323" s="3" t="s">
        <v>49</v>
      </c>
      <c r="AB323" s="3" t="s">
        <v>29</v>
      </c>
      <c r="AC323" s="3" t="s">
        <v>664</v>
      </c>
      <c r="AD323" s="3" t="s">
        <v>30</v>
      </c>
      <c r="AE323" s="3" t="s">
        <v>38</v>
      </c>
      <c r="AF323" s="3" t="s">
        <v>664</v>
      </c>
      <c r="AG323" s="3" t="s">
        <v>39</v>
      </c>
    </row>
    <row r="324" spans="1:33" ht="15.75" customHeight="1">
      <c r="A324" s="1">
        <v>45207.929723564812</v>
      </c>
      <c r="B324" s="3" t="s">
        <v>1024</v>
      </c>
      <c r="C324" s="2">
        <v>29493</v>
      </c>
      <c r="D324" s="3">
        <v>43</v>
      </c>
      <c r="E324" s="3" t="s">
        <v>510</v>
      </c>
      <c r="F324" s="3" t="s">
        <v>520</v>
      </c>
      <c r="G324" s="3" t="s">
        <v>539</v>
      </c>
      <c r="H324" s="2">
        <v>44754</v>
      </c>
      <c r="I324" s="3">
        <v>3</v>
      </c>
      <c r="J324" s="3" t="s">
        <v>541</v>
      </c>
      <c r="K324" s="3">
        <v>2580</v>
      </c>
      <c r="L324" s="3">
        <v>37</v>
      </c>
      <c r="M324" s="3">
        <v>79</v>
      </c>
      <c r="N324" s="3">
        <v>83</v>
      </c>
      <c r="O324" s="3">
        <v>160</v>
      </c>
      <c r="P324" s="3" t="s">
        <v>44</v>
      </c>
      <c r="Q324" s="3" t="s">
        <v>26</v>
      </c>
      <c r="S324" s="3" t="s">
        <v>664</v>
      </c>
      <c r="T324" s="3" t="s">
        <v>57</v>
      </c>
      <c r="U324" s="3">
        <v>5</v>
      </c>
      <c r="V324" s="3">
        <v>1</v>
      </c>
      <c r="W324" s="3" t="s">
        <v>34</v>
      </c>
      <c r="Y324" s="3">
        <v>5</v>
      </c>
      <c r="Z324" s="3">
        <v>1</v>
      </c>
      <c r="AA324" s="3" t="s">
        <v>49</v>
      </c>
      <c r="AB324" s="3" t="s">
        <v>570</v>
      </c>
      <c r="AC324" s="3" t="s">
        <v>664</v>
      </c>
      <c r="AD324" s="3" t="s">
        <v>30</v>
      </c>
      <c r="AE324" s="3" t="s">
        <v>60</v>
      </c>
      <c r="AF324" s="3" t="s">
        <v>664</v>
      </c>
      <c r="AG324" s="3" t="s">
        <v>94</v>
      </c>
    </row>
    <row r="325" spans="1:33" ht="15.75" customHeight="1">
      <c r="A325" s="1">
        <v>45207.930047685186</v>
      </c>
      <c r="B325" s="3" t="s">
        <v>1024</v>
      </c>
      <c r="C325" s="2">
        <v>34724</v>
      </c>
      <c r="D325" s="3">
        <v>29</v>
      </c>
      <c r="E325" s="3" t="s">
        <v>510</v>
      </c>
      <c r="F325" s="3" t="s">
        <v>520</v>
      </c>
      <c r="G325" s="3" t="s">
        <v>539</v>
      </c>
      <c r="H325" s="2">
        <v>44831</v>
      </c>
      <c r="I325" s="3">
        <v>3</v>
      </c>
      <c r="J325" s="3" t="s">
        <v>541</v>
      </c>
      <c r="K325" s="3" t="s">
        <v>1195</v>
      </c>
      <c r="L325" s="3" t="s">
        <v>616</v>
      </c>
      <c r="M325" s="3">
        <v>53</v>
      </c>
      <c r="N325" s="3">
        <v>70</v>
      </c>
      <c r="O325" s="3">
        <v>156</v>
      </c>
      <c r="P325" s="3" t="s">
        <v>50</v>
      </c>
      <c r="Q325" s="3" t="s">
        <v>26</v>
      </c>
      <c r="S325" s="3" t="s">
        <v>664</v>
      </c>
      <c r="T325" s="3" t="s">
        <v>57</v>
      </c>
      <c r="U325" s="3">
        <v>4</v>
      </c>
      <c r="V325" s="3">
        <v>1</v>
      </c>
      <c r="W325" s="3" t="s">
        <v>26</v>
      </c>
      <c r="AA325" s="3" t="s">
        <v>49</v>
      </c>
      <c r="AB325" s="3" t="s">
        <v>263</v>
      </c>
      <c r="AC325" s="3" t="s">
        <v>664</v>
      </c>
      <c r="AD325" s="3" t="s">
        <v>55</v>
      </c>
      <c r="AE325" s="3" t="s">
        <v>31</v>
      </c>
      <c r="AF325" s="3" t="s">
        <v>664</v>
      </c>
      <c r="AG325" s="3" t="s">
        <v>32</v>
      </c>
    </row>
    <row r="326" spans="1:33" ht="15.75" customHeight="1">
      <c r="A326" s="1">
        <v>45207.931574479167</v>
      </c>
      <c r="B326" s="3" t="s">
        <v>1024</v>
      </c>
      <c r="C326" s="2">
        <v>30035</v>
      </c>
      <c r="D326" s="3">
        <v>41</v>
      </c>
      <c r="E326" s="3" t="s">
        <v>510</v>
      </c>
      <c r="F326" s="3" t="s">
        <v>523</v>
      </c>
      <c r="G326" s="3" t="s">
        <v>539</v>
      </c>
      <c r="H326" s="2">
        <v>44272</v>
      </c>
      <c r="I326" s="3">
        <v>3</v>
      </c>
      <c r="J326" s="3" t="s">
        <v>541</v>
      </c>
      <c r="K326" s="3" t="s">
        <v>1196</v>
      </c>
      <c r="L326" s="3">
        <v>38</v>
      </c>
      <c r="M326" s="3">
        <v>78</v>
      </c>
      <c r="N326" s="3">
        <v>83</v>
      </c>
      <c r="O326" s="3">
        <v>157</v>
      </c>
      <c r="P326" s="3" t="s">
        <v>33</v>
      </c>
      <c r="Q326" s="3" t="s">
        <v>34</v>
      </c>
      <c r="R326" s="3" t="s">
        <v>264</v>
      </c>
      <c r="S326" s="3" t="s">
        <v>664</v>
      </c>
      <c r="T326" s="3" t="s">
        <v>43</v>
      </c>
      <c r="U326" s="3">
        <v>7</v>
      </c>
      <c r="V326" s="3">
        <v>1</v>
      </c>
      <c r="W326" s="3" t="s">
        <v>26</v>
      </c>
      <c r="AA326" s="3" t="s">
        <v>49</v>
      </c>
      <c r="AB326" s="3" t="s">
        <v>29</v>
      </c>
      <c r="AC326" s="3" t="s">
        <v>664</v>
      </c>
      <c r="AD326" s="3" t="s">
        <v>55</v>
      </c>
      <c r="AE326" s="3" t="s">
        <v>72</v>
      </c>
      <c r="AF326" s="3" t="s">
        <v>664</v>
      </c>
      <c r="AG326" s="3" t="s">
        <v>32</v>
      </c>
    </row>
    <row r="327" spans="1:33">
      <c r="A327" s="1">
        <v>45207.939216678242</v>
      </c>
      <c r="B327" s="3" t="s">
        <v>1024</v>
      </c>
      <c r="C327" s="2">
        <v>33104</v>
      </c>
      <c r="D327" s="3">
        <v>33</v>
      </c>
      <c r="E327" s="3" t="s">
        <v>510</v>
      </c>
      <c r="F327" s="3" t="s">
        <v>520</v>
      </c>
      <c r="G327" s="3" t="s">
        <v>537</v>
      </c>
      <c r="H327" s="2">
        <v>43920</v>
      </c>
      <c r="I327" s="3">
        <v>1</v>
      </c>
      <c r="J327" s="3" t="s">
        <v>542</v>
      </c>
      <c r="K327" s="3" t="s">
        <v>1197</v>
      </c>
      <c r="L327" s="3" t="s">
        <v>618</v>
      </c>
      <c r="M327" s="3" t="s">
        <v>1198</v>
      </c>
      <c r="N327" s="3">
        <v>79</v>
      </c>
      <c r="O327" s="3">
        <v>159</v>
      </c>
      <c r="P327" s="3" t="s">
        <v>33</v>
      </c>
      <c r="Q327" s="3" t="s">
        <v>26</v>
      </c>
      <c r="S327" s="3" t="s">
        <v>664</v>
      </c>
      <c r="T327" s="3" t="s">
        <v>79</v>
      </c>
      <c r="U327" s="3">
        <v>7</v>
      </c>
      <c r="V327" s="3">
        <v>1</v>
      </c>
      <c r="W327" s="3" t="s">
        <v>26</v>
      </c>
      <c r="AA327" s="3" t="s">
        <v>49</v>
      </c>
      <c r="AB327" s="3" t="s">
        <v>189</v>
      </c>
      <c r="AC327" s="3" t="s">
        <v>664</v>
      </c>
      <c r="AD327" s="3" t="s">
        <v>55</v>
      </c>
      <c r="AE327" s="3" t="s">
        <v>31</v>
      </c>
      <c r="AF327" s="3" t="s">
        <v>664</v>
      </c>
      <c r="AG327" s="3" t="s">
        <v>94</v>
      </c>
    </row>
    <row r="328" spans="1:33">
      <c r="A328" s="1">
        <v>45207.946135347222</v>
      </c>
      <c r="B328" s="3" t="s">
        <v>1024</v>
      </c>
      <c r="C328" s="2">
        <v>31453</v>
      </c>
      <c r="D328" s="3">
        <v>37</v>
      </c>
      <c r="E328" s="3" t="s">
        <v>510</v>
      </c>
      <c r="F328" s="3" t="s">
        <v>520</v>
      </c>
      <c r="G328" s="3" t="s">
        <v>539</v>
      </c>
      <c r="H328" s="2">
        <v>43871</v>
      </c>
      <c r="I328" s="3">
        <v>1</v>
      </c>
      <c r="J328" s="3" t="s">
        <v>541</v>
      </c>
      <c r="K328" s="3" t="s">
        <v>1199</v>
      </c>
      <c r="L328" s="3">
        <v>38</v>
      </c>
      <c r="M328" s="3">
        <v>46</v>
      </c>
      <c r="N328" s="3">
        <v>51</v>
      </c>
      <c r="O328" s="3">
        <v>148</v>
      </c>
      <c r="P328" s="3" t="s">
        <v>33</v>
      </c>
      <c r="Q328" s="3" t="s">
        <v>26</v>
      </c>
      <c r="S328" s="3" t="s">
        <v>664</v>
      </c>
      <c r="T328" s="3" t="s">
        <v>738</v>
      </c>
      <c r="U328" s="3">
        <v>7</v>
      </c>
      <c r="V328" s="3">
        <v>1</v>
      </c>
      <c r="W328" s="3" t="s">
        <v>26</v>
      </c>
      <c r="AA328" s="3" t="s">
        <v>28</v>
      </c>
      <c r="AB328" s="3" t="s">
        <v>29</v>
      </c>
      <c r="AC328" s="3" t="s">
        <v>664</v>
      </c>
      <c r="AD328" s="3" t="s">
        <v>55</v>
      </c>
      <c r="AE328" s="3" t="s">
        <v>31</v>
      </c>
      <c r="AF328" s="3" t="s">
        <v>664</v>
      </c>
      <c r="AG328" s="3" t="s">
        <v>48</v>
      </c>
    </row>
    <row r="329" spans="1:33">
      <c r="A329" s="1">
        <v>45207.951420613426</v>
      </c>
      <c r="B329" s="3" t="s">
        <v>1024</v>
      </c>
      <c r="C329" s="2">
        <v>29182</v>
      </c>
      <c r="D329" s="3">
        <v>43</v>
      </c>
      <c r="E329" s="3" t="s">
        <v>510</v>
      </c>
      <c r="F329" s="3" t="s">
        <v>521</v>
      </c>
      <c r="G329" s="3" t="s">
        <v>539</v>
      </c>
      <c r="H329" s="2">
        <v>44929</v>
      </c>
      <c r="I329" s="3">
        <v>3</v>
      </c>
      <c r="J329" s="3" t="s">
        <v>541</v>
      </c>
      <c r="K329" s="3">
        <v>3146</v>
      </c>
      <c r="L329" s="3">
        <v>39</v>
      </c>
      <c r="M329" s="3">
        <v>62</v>
      </c>
      <c r="N329" s="3">
        <v>74</v>
      </c>
      <c r="O329" s="3">
        <v>155</v>
      </c>
      <c r="P329" s="3" t="s">
        <v>33</v>
      </c>
      <c r="Q329" s="3" t="s">
        <v>26</v>
      </c>
      <c r="S329" s="3" t="s">
        <v>664</v>
      </c>
      <c r="T329" s="3" t="s">
        <v>27</v>
      </c>
      <c r="U329" s="3">
        <v>7</v>
      </c>
      <c r="V329" s="3">
        <v>1</v>
      </c>
      <c r="W329" s="3" t="s">
        <v>34</v>
      </c>
      <c r="X329" s="3" t="s">
        <v>58</v>
      </c>
      <c r="Y329" s="3">
        <v>7</v>
      </c>
      <c r="Z329" s="3">
        <v>1</v>
      </c>
      <c r="AA329" s="3" t="s">
        <v>36</v>
      </c>
      <c r="AB329" s="3" t="s">
        <v>29</v>
      </c>
      <c r="AC329" s="3" t="s">
        <v>664</v>
      </c>
      <c r="AD329" s="3" t="s">
        <v>30</v>
      </c>
      <c r="AE329" s="3" t="s">
        <v>38</v>
      </c>
      <c r="AF329" s="3" t="s">
        <v>664</v>
      </c>
      <c r="AG329" s="3" t="s">
        <v>32</v>
      </c>
    </row>
    <row r="330" spans="1:33">
      <c r="A330" s="1">
        <v>45207.95158331019</v>
      </c>
      <c r="B330" s="3" t="s">
        <v>1024</v>
      </c>
      <c r="C330" s="2">
        <v>33452</v>
      </c>
      <c r="D330" s="3">
        <v>32</v>
      </c>
      <c r="E330" s="3" t="s">
        <v>510</v>
      </c>
      <c r="F330" s="3" t="s">
        <v>520</v>
      </c>
      <c r="G330" s="3" t="s">
        <v>537</v>
      </c>
      <c r="H330" s="2">
        <v>44101</v>
      </c>
      <c r="I330" s="3">
        <v>2</v>
      </c>
      <c r="J330" s="3" t="s">
        <v>541</v>
      </c>
      <c r="K330" s="3">
        <v>3620</v>
      </c>
      <c r="L330" s="3" t="s">
        <v>722</v>
      </c>
      <c r="M330" s="3">
        <v>59</v>
      </c>
      <c r="N330" s="3">
        <v>69</v>
      </c>
      <c r="O330" s="3">
        <v>160</v>
      </c>
      <c r="P330" s="3" t="s">
        <v>50</v>
      </c>
      <c r="Q330" s="3" t="s">
        <v>26</v>
      </c>
      <c r="S330" s="3" t="s">
        <v>664</v>
      </c>
      <c r="T330" s="3" t="s">
        <v>79</v>
      </c>
      <c r="U330" s="3">
        <v>7</v>
      </c>
      <c r="V330" s="3">
        <v>1</v>
      </c>
      <c r="W330" s="3" t="s">
        <v>26</v>
      </c>
      <c r="AA330" s="3" t="s">
        <v>49</v>
      </c>
      <c r="AB330" s="3" t="s">
        <v>29</v>
      </c>
      <c r="AC330" s="3" t="s">
        <v>664</v>
      </c>
      <c r="AD330" s="3" t="s">
        <v>55</v>
      </c>
      <c r="AE330" s="3" t="s">
        <v>31</v>
      </c>
      <c r="AF330" s="3" t="s">
        <v>664</v>
      </c>
      <c r="AG330" s="3" t="s">
        <v>94</v>
      </c>
    </row>
    <row r="331" spans="1:33">
      <c r="A331" s="1">
        <v>45207.953442372687</v>
      </c>
      <c r="B331" s="3" t="s">
        <v>1024</v>
      </c>
      <c r="C331" s="2">
        <v>33721</v>
      </c>
      <c r="D331" s="3">
        <v>31</v>
      </c>
      <c r="E331" s="3" t="s">
        <v>510</v>
      </c>
      <c r="F331" s="3" t="s">
        <v>520</v>
      </c>
      <c r="G331" s="3" t="s">
        <v>539</v>
      </c>
      <c r="H331" s="2">
        <v>44107</v>
      </c>
      <c r="I331" s="3">
        <v>1</v>
      </c>
      <c r="J331" s="3" t="s">
        <v>541</v>
      </c>
      <c r="K331" s="3">
        <v>3850</v>
      </c>
      <c r="L331" s="3">
        <v>41</v>
      </c>
      <c r="M331" s="3">
        <v>60</v>
      </c>
      <c r="N331" s="3">
        <v>75</v>
      </c>
      <c r="O331" s="3">
        <v>155</v>
      </c>
      <c r="P331" s="3" t="s">
        <v>33</v>
      </c>
      <c r="Q331" s="3" t="s">
        <v>34</v>
      </c>
      <c r="R331" s="3" t="s">
        <v>265</v>
      </c>
      <c r="S331" s="3" t="s">
        <v>664</v>
      </c>
      <c r="T331" s="3" t="s">
        <v>79</v>
      </c>
      <c r="U331" s="3">
        <v>6</v>
      </c>
      <c r="V331" s="3">
        <v>1</v>
      </c>
      <c r="W331" s="3" t="s">
        <v>26</v>
      </c>
      <c r="AA331" s="3" t="s">
        <v>49</v>
      </c>
      <c r="AB331" s="3" t="s">
        <v>29</v>
      </c>
      <c r="AC331" s="3" t="s">
        <v>664</v>
      </c>
      <c r="AD331" s="3" t="s">
        <v>55</v>
      </c>
      <c r="AE331" s="3" t="s">
        <v>31</v>
      </c>
      <c r="AF331" s="3" t="s">
        <v>664</v>
      </c>
      <c r="AG331" s="3" t="s">
        <v>32</v>
      </c>
    </row>
    <row r="332" spans="1:33">
      <c r="A332" s="1">
        <v>45207.953734537034</v>
      </c>
      <c r="B332" s="3" t="s">
        <v>1024</v>
      </c>
      <c r="C332" s="2">
        <v>33280</v>
      </c>
      <c r="D332" s="3">
        <v>32</v>
      </c>
      <c r="E332" s="3" t="s">
        <v>510</v>
      </c>
      <c r="F332" s="3" t="s">
        <v>520</v>
      </c>
      <c r="G332" s="3" t="s">
        <v>540</v>
      </c>
      <c r="H332" s="2">
        <v>44349</v>
      </c>
      <c r="I332" s="3">
        <v>1</v>
      </c>
      <c r="J332" s="3" t="s">
        <v>542</v>
      </c>
      <c r="K332" s="3">
        <v>3850</v>
      </c>
      <c r="L332" s="3" t="s">
        <v>739</v>
      </c>
      <c r="M332" s="3">
        <v>76</v>
      </c>
      <c r="N332" s="3">
        <v>89</v>
      </c>
      <c r="O332" s="3">
        <v>165</v>
      </c>
      <c r="P332" s="3" t="s">
        <v>33</v>
      </c>
      <c r="Q332" s="3" t="s">
        <v>26</v>
      </c>
      <c r="S332" s="3" t="s">
        <v>664</v>
      </c>
      <c r="T332" s="3" t="s">
        <v>79</v>
      </c>
      <c r="U332" s="3">
        <v>7</v>
      </c>
      <c r="V332" s="3">
        <v>1</v>
      </c>
      <c r="W332" s="3" t="s">
        <v>34</v>
      </c>
      <c r="X332" s="3" t="s">
        <v>186</v>
      </c>
      <c r="Y332" s="3">
        <v>7</v>
      </c>
      <c r="Z332" s="3">
        <v>1</v>
      </c>
      <c r="AA332" s="3" t="s">
        <v>49</v>
      </c>
      <c r="AB332" s="3" t="s">
        <v>29</v>
      </c>
      <c r="AC332" s="3" t="s">
        <v>664</v>
      </c>
      <c r="AD332" s="3" t="s">
        <v>55</v>
      </c>
      <c r="AE332" s="3" t="s">
        <v>38</v>
      </c>
      <c r="AF332" s="3" t="s">
        <v>664</v>
      </c>
      <c r="AG332" s="3" t="s">
        <v>48</v>
      </c>
    </row>
    <row r="333" spans="1:33">
      <c r="A333" s="1">
        <v>45207.957576180561</v>
      </c>
      <c r="B333" s="3" t="s">
        <v>1024</v>
      </c>
      <c r="C333" s="2">
        <v>31208</v>
      </c>
      <c r="D333" s="3">
        <v>38</v>
      </c>
      <c r="E333" s="3" t="s">
        <v>510</v>
      </c>
      <c r="F333" s="3" t="s">
        <v>529</v>
      </c>
      <c r="G333" s="3" t="s">
        <v>539</v>
      </c>
      <c r="H333" s="2">
        <v>45044</v>
      </c>
      <c r="I333" s="3">
        <v>3</v>
      </c>
      <c r="J333" s="3" t="s">
        <v>541</v>
      </c>
      <c r="K333" s="3">
        <v>3045</v>
      </c>
      <c r="L333" s="3" t="s">
        <v>1200</v>
      </c>
      <c r="M333" s="3">
        <v>56</v>
      </c>
      <c r="N333" s="3">
        <v>65</v>
      </c>
      <c r="O333" s="3">
        <v>158</v>
      </c>
      <c r="P333" s="3" t="s">
        <v>50</v>
      </c>
      <c r="Q333" s="3" t="s">
        <v>26</v>
      </c>
      <c r="S333" s="3" t="s">
        <v>664</v>
      </c>
      <c r="T333" s="3" t="s">
        <v>56</v>
      </c>
      <c r="U333" s="3">
        <v>7</v>
      </c>
      <c r="V333" s="3">
        <v>1</v>
      </c>
      <c r="W333" s="3" t="s">
        <v>34</v>
      </c>
      <c r="X333" s="3" t="s">
        <v>266</v>
      </c>
      <c r="Y333" s="3">
        <v>7</v>
      </c>
      <c r="Z333" s="3">
        <v>1</v>
      </c>
      <c r="AA333" s="3" t="s">
        <v>42</v>
      </c>
      <c r="AB333" s="3" t="s">
        <v>29</v>
      </c>
      <c r="AC333" s="3" t="s">
        <v>664</v>
      </c>
      <c r="AD333" s="3" t="s">
        <v>63</v>
      </c>
      <c r="AE333" s="3" t="s">
        <v>31</v>
      </c>
      <c r="AF333" s="3" t="s">
        <v>664</v>
      </c>
      <c r="AG333" s="3" t="s">
        <v>32</v>
      </c>
    </row>
    <row r="334" spans="1:33">
      <c r="A334" s="1">
        <v>45207.960731793981</v>
      </c>
      <c r="B334" s="3" t="s">
        <v>1024</v>
      </c>
      <c r="C334" s="2">
        <v>32903</v>
      </c>
      <c r="D334" s="3">
        <v>33</v>
      </c>
      <c r="E334" s="3" t="s">
        <v>510</v>
      </c>
      <c r="F334" s="3" t="s">
        <v>520</v>
      </c>
      <c r="G334" s="3" t="s">
        <v>539</v>
      </c>
      <c r="H334" s="2">
        <v>44092</v>
      </c>
      <c r="I334" s="3">
        <v>3</v>
      </c>
      <c r="J334" s="3" t="s">
        <v>541</v>
      </c>
      <c r="K334" s="3">
        <v>3044</v>
      </c>
      <c r="L334" s="3" t="s">
        <v>662</v>
      </c>
      <c r="M334" s="3">
        <v>70</v>
      </c>
      <c r="N334" s="3">
        <v>85</v>
      </c>
      <c r="O334" s="3">
        <v>158</v>
      </c>
      <c r="P334" s="3" t="s">
        <v>25</v>
      </c>
      <c r="Q334" s="3" t="s">
        <v>26</v>
      </c>
      <c r="S334" s="3" t="s">
        <v>664</v>
      </c>
      <c r="T334" s="3" t="s">
        <v>740</v>
      </c>
      <c r="U334" s="3">
        <v>7</v>
      </c>
      <c r="V334" s="3">
        <v>1</v>
      </c>
      <c r="W334" s="3" t="s">
        <v>34</v>
      </c>
      <c r="X334" s="3" t="s">
        <v>684</v>
      </c>
      <c r="Y334" s="3">
        <v>7</v>
      </c>
      <c r="Z334" s="3">
        <v>1</v>
      </c>
      <c r="AA334" s="3" t="s">
        <v>49</v>
      </c>
      <c r="AB334" s="3" t="s">
        <v>29</v>
      </c>
      <c r="AC334" s="3" t="s">
        <v>664</v>
      </c>
      <c r="AD334" s="3" t="s">
        <v>55</v>
      </c>
      <c r="AE334" s="3" t="s">
        <v>31</v>
      </c>
      <c r="AF334" s="3" t="s">
        <v>664</v>
      </c>
      <c r="AG334" s="3" t="s">
        <v>32</v>
      </c>
    </row>
    <row r="335" spans="1:33">
      <c r="A335" s="1">
        <v>45207.963119942127</v>
      </c>
      <c r="B335" s="3" t="s">
        <v>1024</v>
      </c>
      <c r="C335" s="2">
        <v>31905</v>
      </c>
      <c r="D335" s="3">
        <v>36</v>
      </c>
      <c r="E335" s="3" t="s">
        <v>510</v>
      </c>
      <c r="F335" s="3" t="s">
        <v>529</v>
      </c>
      <c r="G335" s="3" t="s">
        <v>540</v>
      </c>
      <c r="H335" s="2">
        <v>44636</v>
      </c>
      <c r="I335" s="3">
        <v>1</v>
      </c>
      <c r="J335" s="3" t="s">
        <v>542</v>
      </c>
      <c r="K335" s="3">
        <v>3.01</v>
      </c>
      <c r="L335" s="3" t="s">
        <v>622</v>
      </c>
      <c r="M335" s="3">
        <v>70</v>
      </c>
      <c r="N335" s="3">
        <v>77</v>
      </c>
      <c r="O335" s="3">
        <v>166</v>
      </c>
      <c r="P335" s="3" t="s">
        <v>33</v>
      </c>
      <c r="Q335" s="3" t="s">
        <v>26</v>
      </c>
      <c r="S335" s="3" t="s">
        <v>664</v>
      </c>
      <c r="T335" s="3" t="s">
        <v>97</v>
      </c>
      <c r="U335" s="3">
        <v>7</v>
      </c>
      <c r="V335" s="3">
        <v>1</v>
      </c>
      <c r="W335" s="3" t="s">
        <v>34</v>
      </c>
      <c r="X335" s="3" t="s">
        <v>97</v>
      </c>
      <c r="Y335" s="3">
        <v>7</v>
      </c>
      <c r="Z335" s="3">
        <v>1</v>
      </c>
      <c r="AA335" s="3" t="s">
        <v>49</v>
      </c>
      <c r="AB335" s="3" t="s">
        <v>267</v>
      </c>
      <c r="AC335" s="3" t="s">
        <v>664</v>
      </c>
      <c r="AD335" s="3" t="s">
        <v>268</v>
      </c>
      <c r="AE335" s="3" t="s">
        <v>38</v>
      </c>
      <c r="AF335" s="3" t="s">
        <v>26</v>
      </c>
    </row>
    <row r="336" spans="1:33">
      <c r="A336" s="1">
        <v>45207.963262245372</v>
      </c>
      <c r="B336" s="3" t="s">
        <v>1024</v>
      </c>
      <c r="C336" s="2">
        <v>35315</v>
      </c>
      <c r="D336" s="3" t="s">
        <v>1201</v>
      </c>
      <c r="E336" s="3" t="s">
        <v>510</v>
      </c>
      <c r="F336" s="3" t="s">
        <v>530</v>
      </c>
      <c r="G336" s="3" t="s">
        <v>539</v>
      </c>
      <c r="H336" s="2">
        <v>44333</v>
      </c>
      <c r="I336" s="3">
        <v>1</v>
      </c>
      <c r="J336" s="3" t="s">
        <v>542</v>
      </c>
      <c r="K336" s="3" t="s">
        <v>1202</v>
      </c>
      <c r="L336" s="3" t="s">
        <v>636</v>
      </c>
      <c r="M336" s="3" t="s">
        <v>1203</v>
      </c>
      <c r="N336" s="3">
        <v>70</v>
      </c>
      <c r="O336" s="3">
        <v>158</v>
      </c>
      <c r="P336" s="3" t="s">
        <v>44</v>
      </c>
      <c r="Q336" s="3" t="s">
        <v>26</v>
      </c>
      <c r="S336" s="3" t="s">
        <v>664</v>
      </c>
      <c r="T336" s="3" t="s">
        <v>79</v>
      </c>
      <c r="U336" s="3">
        <v>7</v>
      </c>
      <c r="V336" s="3">
        <v>1</v>
      </c>
      <c r="W336" s="3" t="s">
        <v>26</v>
      </c>
      <c r="AA336" s="3" t="s">
        <v>28</v>
      </c>
      <c r="AB336" s="3" t="s">
        <v>29</v>
      </c>
      <c r="AC336" s="3" t="s">
        <v>664</v>
      </c>
      <c r="AD336" s="3" t="s">
        <v>63</v>
      </c>
      <c r="AE336" s="3" t="s">
        <v>31</v>
      </c>
      <c r="AF336" s="3" t="s">
        <v>664</v>
      </c>
      <c r="AG336" s="3" t="s">
        <v>48</v>
      </c>
    </row>
    <row r="337" spans="1:33">
      <c r="A337" s="1">
        <v>45207.963869097221</v>
      </c>
      <c r="B337" s="3" t="s">
        <v>1024</v>
      </c>
      <c r="C337" s="2">
        <v>32280</v>
      </c>
      <c r="D337" s="3">
        <v>35</v>
      </c>
      <c r="E337" s="3" t="s">
        <v>510</v>
      </c>
      <c r="F337" s="3" t="s">
        <v>523</v>
      </c>
      <c r="G337" s="3" t="s">
        <v>539</v>
      </c>
      <c r="H337" s="2">
        <v>44578</v>
      </c>
      <c r="I337" s="3">
        <v>2</v>
      </c>
      <c r="J337" s="3" t="s">
        <v>542</v>
      </c>
      <c r="K337" s="3">
        <v>3675</v>
      </c>
      <c r="L337" s="3">
        <v>38</v>
      </c>
      <c r="M337" s="3">
        <v>101</v>
      </c>
      <c r="N337" s="3">
        <v>112</v>
      </c>
      <c r="O337" s="3">
        <v>174</v>
      </c>
      <c r="P337" s="3" t="s">
        <v>269</v>
      </c>
      <c r="Q337" s="3" t="s">
        <v>26</v>
      </c>
      <c r="S337" s="3" t="s">
        <v>664</v>
      </c>
      <c r="T337" s="3" t="s">
        <v>166</v>
      </c>
      <c r="U337" s="3">
        <v>7</v>
      </c>
      <c r="V337" s="3">
        <v>1</v>
      </c>
      <c r="W337" s="3" t="s">
        <v>34</v>
      </c>
      <c r="X337" s="3" t="s">
        <v>71</v>
      </c>
      <c r="Y337" s="3">
        <v>7</v>
      </c>
      <c r="Z337" s="3">
        <v>1</v>
      </c>
      <c r="AA337" s="3" t="s">
        <v>49</v>
      </c>
      <c r="AB337" s="3" t="s">
        <v>29</v>
      </c>
      <c r="AC337" s="3" t="s">
        <v>664</v>
      </c>
      <c r="AD337" s="3" t="s">
        <v>63</v>
      </c>
      <c r="AE337" s="3" t="s">
        <v>72</v>
      </c>
      <c r="AF337" s="3" t="s">
        <v>664</v>
      </c>
      <c r="AG337" s="3" t="s">
        <v>39</v>
      </c>
    </row>
    <row r="338" spans="1:33">
      <c r="A338" s="1">
        <v>45207.970395046301</v>
      </c>
      <c r="B338" s="3" t="s">
        <v>1024</v>
      </c>
      <c r="C338" s="2">
        <v>36657</v>
      </c>
      <c r="D338" s="3">
        <v>23</v>
      </c>
      <c r="E338" s="3" t="s">
        <v>510</v>
      </c>
      <c r="F338" s="3" t="s">
        <v>525</v>
      </c>
      <c r="G338" s="3" t="s">
        <v>537</v>
      </c>
      <c r="H338" s="2">
        <v>44998</v>
      </c>
      <c r="I338" s="3">
        <v>1</v>
      </c>
      <c r="J338" s="3" t="s">
        <v>541</v>
      </c>
      <c r="K338" s="3" t="s">
        <v>1204</v>
      </c>
      <c r="L338" s="3" t="s">
        <v>623</v>
      </c>
      <c r="M338" s="3">
        <v>60</v>
      </c>
      <c r="N338" s="3">
        <v>76</v>
      </c>
      <c r="O338" s="3">
        <v>147</v>
      </c>
      <c r="P338" s="3" t="s">
        <v>50</v>
      </c>
      <c r="Q338" s="3" t="s">
        <v>26</v>
      </c>
      <c r="S338" s="3" t="s">
        <v>26</v>
      </c>
      <c r="W338" s="3" t="s">
        <v>34</v>
      </c>
      <c r="X338" s="3" t="s">
        <v>270</v>
      </c>
      <c r="Y338" s="3">
        <v>7</v>
      </c>
      <c r="Z338" s="3">
        <v>1</v>
      </c>
      <c r="AA338" s="3" t="s">
        <v>51</v>
      </c>
      <c r="AB338" s="3" t="s">
        <v>185</v>
      </c>
      <c r="AC338" s="3" t="s">
        <v>664</v>
      </c>
      <c r="AD338" s="3" t="s">
        <v>55</v>
      </c>
      <c r="AE338" s="3" t="s">
        <v>38</v>
      </c>
      <c r="AF338" s="3" t="s">
        <v>664</v>
      </c>
      <c r="AG338" s="3" t="s">
        <v>48</v>
      </c>
    </row>
    <row r="339" spans="1:33">
      <c r="A339" s="1">
        <v>45207.977488263889</v>
      </c>
      <c r="B339" s="3" t="s">
        <v>1024</v>
      </c>
      <c r="C339" s="2">
        <v>29104</v>
      </c>
      <c r="D339" s="3">
        <v>44</v>
      </c>
      <c r="E339" s="3" t="s">
        <v>510</v>
      </c>
      <c r="F339" s="3" t="s">
        <v>529</v>
      </c>
      <c r="G339" s="3" t="s">
        <v>539</v>
      </c>
      <c r="H339" s="2">
        <v>43211</v>
      </c>
      <c r="I339" s="3">
        <v>2</v>
      </c>
      <c r="J339" s="3" t="s">
        <v>542</v>
      </c>
      <c r="K339" s="3" t="s">
        <v>1205</v>
      </c>
      <c r="L339" s="3" t="s">
        <v>741</v>
      </c>
      <c r="M339" s="3">
        <v>73</v>
      </c>
      <c r="N339" s="3">
        <v>80</v>
      </c>
      <c r="O339" s="3">
        <v>165</v>
      </c>
      <c r="P339" s="3" t="s">
        <v>742</v>
      </c>
      <c r="Q339" s="3" t="s">
        <v>34</v>
      </c>
      <c r="R339" s="3" t="s">
        <v>743</v>
      </c>
      <c r="S339" s="3" t="s">
        <v>664</v>
      </c>
      <c r="T339" s="3" t="s">
        <v>206</v>
      </c>
      <c r="U339" s="3">
        <v>7</v>
      </c>
      <c r="V339" s="3">
        <v>1</v>
      </c>
      <c r="W339" s="3" t="s">
        <v>26</v>
      </c>
      <c r="AA339" s="3" t="s">
        <v>49</v>
      </c>
      <c r="AB339" s="3" t="s">
        <v>29</v>
      </c>
      <c r="AC339" s="3" t="s">
        <v>664</v>
      </c>
      <c r="AD339" s="3" t="s">
        <v>30</v>
      </c>
      <c r="AE339" s="3" t="s">
        <v>31</v>
      </c>
      <c r="AF339" s="3" t="s">
        <v>664</v>
      </c>
      <c r="AG339" s="3" t="s">
        <v>32</v>
      </c>
    </row>
    <row r="340" spans="1:33">
      <c r="A340" s="1">
        <v>45207.979760752314</v>
      </c>
      <c r="B340" s="3" t="s">
        <v>1024</v>
      </c>
      <c r="C340" s="2">
        <v>33324</v>
      </c>
      <c r="D340" s="3">
        <v>32</v>
      </c>
      <c r="E340" s="3" t="s">
        <v>510</v>
      </c>
      <c r="F340" s="3" t="s">
        <v>520</v>
      </c>
      <c r="G340" s="3" t="s">
        <v>539</v>
      </c>
      <c r="H340" s="2">
        <v>43962</v>
      </c>
      <c r="I340" s="3">
        <v>1</v>
      </c>
      <c r="J340" s="3" t="s">
        <v>542</v>
      </c>
      <c r="K340" s="3" t="s">
        <v>1206</v>
      </c>
      <c r="L340" s="3" t="s">
        <v>656</v>
      </c>
      <c r="M340" s="3">
        <v>69</v>
      </c>
      <c r="N340" s="3" t="s">
        <v>1207</v>
      </c>
      <c r="O340" s="3">
        <v>157</v>
      </c>
      <c r="P340" s="3" t="s">
        <v>33</v>
      </c>
      <c r="Q340" s="3" t="s">
        <v>26</v>
      </c>
      <c r="S340" s="3" t="s">
        <v>664</v>
      </c>
      <c r="T340" s="3" t="s">
        <v>43</v>
      </c>
      <c r="U340" s="3">
        <v>7</v>
      </c>
      <c r="V340" s="3">
        <v>1</v>
      </c>
      <c r="W340" s="3" t="s">
        <v>26</v>
      </c>
      <c r="AA340" s="3" t="s">
        <v>42</v>
      </c>
      <c r="AB340" s="3" t="s">
        <v>29</v>
      </c>
      <c r="AC340" s="3" t="s">
        <v>664</v>
      </c>
      <c r="AD340" s="3" t="s">
        <v>30</v>
      </c>
      <c r="AE340" s="3" t="s">
        <v>38</v>
      </c>
      <c r="AF340" s="3" t="s">
        <v>664</v>
      </c>
      <c r="AG340" s="3" t="s">
        <v>48</v>
      </c>
    </row>
    <row r="341" spans="1:33">
      <c r="A341" s="1">
        <v>45207.98090599537</v>
      </c>
      <c r="B341" s="3" t="s">
        <v>1024</v>
      </c>
      <c r="C341" s="2">
        <v>34887</v>
      </c>
      <c r="D341" s="3">
        <v>28</v>
      </c>
      <c r="E341" s="3" t="s">
        <v>510</v>
      </c>
      <c r="F341" s="3" t="s">
        <v>526</v>
      </c>
      <c r="G341" s="3" t="s">
        <v>538</v>
      </c>
      <c r="H341" s="2">
        <v>44211</v>
      </c>
      <c r="I341" s="3">
        <v>1</v>
      </c>
      <c r="J341" s="3" t="s">
        <v>541</v>
      </c>
      <c r="K341" s="3">
        <v>1695</v>
      </c>
      <c r="L341" s="3" t="s">
        <v>744</v>
      </c>
      <c r="M341" s="3">
        <v>67</v>
      </c>
      <c r="N341" s="3">
        <v>72</v>
      </c>
      <c r="O341" s="3">
        <v>170</v>
      </c>
      <c r="P341" s="3" t="s">
        <v>745</v>
      </c>
      <c r="Q341" s="3" t="s">
        <v>34</v>
      </c>
      <c r="R341" s="3" t="s">
        <v>746</v>
      </c>
      <c r="S341" s="3" t="s">
        <v>664</v>
      </c>
      <c r="T341" s="3" t="s">
        <v>79</v>
      </c>
      <c r="U341" s="3">
        <v>7</v>
      </c>
      <c r="V341" s="3">
        <v>1</v>
      </c>
      <c r="W341" s="3" t="s">
        <v>26</v>
      </c>
      <c r="AA341" s="3" t="s">
        <v>42</v>
      </c>
      <c r="AB341" s="3" t="s">
        <v>29</v>
      </c>
      <c r="AC341" s="3" t="s">
        <v>664</v>
      </c>
      <c r="AD341" s="3" t="s">
        <v>55</v>
      </c>
      <c r="AE341" s="3" t="s">
        <v>87</v>
      </c>
      <c r="AF341" s="3" t="s">
        <v>664</v>
      </c>
      <c r="AG341" s="3" t="s">
        <v>32</v>
      </c>
    </row>
    <row r="342" spans="1:33">
      <c r="A342" s="1">
        <v>45207.993919976856</v>
      </c>
      <c r="B342" s="3" t="s">
        <v>1024</v>
      </c>
      <c r="C342" s="2">
        <v>32645</v>
      </c>
      <c r="D342" s="3">
        <v>34</v>
      </c>
      <c r="E342" s="3" t="s">
        <v>510</v>
      </c>
      <c r="F342" s="3" t="s">
        <v>529</v>
      </c>
      <c r="G342" s="3" t="s">
        <v>539</v>
      </c>
      <c r="H342" s="2">
        <v>44662</v>
      </c>
      <c r="I342" s="3">
        <v>3</v>
      </c>
      <c r="J342" s="3" t="s">
        <v>541</v>
      </c>
      <c r="K342" s="3" t="s">
        <v>1208</v>
      </c>
      <c r="L342" s="3" t="s">
        <v>618</v>
      </c>
      <c r="M342" s="3" t="s">
        <v>1209</v>
      </c>
      <c r="N342" s="3" t="s">
        <v>1210</v>
      </c>
      <c r="O342" s="3">
        <v>156</v>
      </c>
      <c r="P342" s="3" t="s">
        <v>50</v>
      </c>
      <c r="Q342" s="3" t="s">
        <v>26</v>
      </c>
      <c r="S342" s="3" t="s">
        <v>664</v>
      </c>
      <c r="T342" s="3" t="s">
        <v>43</v>
      </c>
      <c r="U342" s="3">
        <v>2</v>
      </c>
      <c r="V342" s="3">
        <v>1</v>
      </c>
      <c r="W342" s="3" t="s">
        <v>26</v>
      </c>
      <c r="AA342" s="3" t="s">
        <v>49</v>
      </c>
      <c r="AB342" s="3" t="s">
        <v>240</v>
      </c>
      <c r="AC342" s="3" t="s">
        <v>664</v>
      </c>
      <c r="AD342" s="3" t="s">
        <v>30</v>
      </c>
      <c r="AE342" s="3" t="s">
        <v>38</v>
      </c>
      <c r="AF342" s="3" t="s">
        <v>664</v>
      </c>
      <c r="AG342" s="3" t="s">
        <v>32</v>
      </c>
    </row>
    <row r="343" spans="1:33">
      <c r="A343" s="1">
        <v>45208.000017129627</v>
      </c>
      <c r="B343" s="3" t="s">
        <v>1024</v>
      </c>
      <c r="C343" s="2">
        <v>35666</v>
      </c>
      <c r="D343" s="3">
        <v>26</v>
      </c>
      <c r="E343" s="3" t="s">
        <v>510</v>
      </c>
      <c r="F343" s="3" t="s">
        <v>531</v>
      </c>
      <c r="G343" s="3" t="s">
        <v>539</v>
      </c>
      <c r="H343" s="2">
        <v>44231</v>
      </c>
      <c r="I343" s="3">
        <v>1</v>
      </c>
      <c r="J343" s="3" t="s">
        <v>541</v>
      </c>
      <c r="K343" s="3" t="s">
        <v>1211</v>
      </c>
      <c r="L343" s="3" t="s">
        <v>747</v>
      </c>
      <c r="M343" s="3">
        <v>80</v>
      </c>
      <c r="N343" s="3">
        <v>95</v>
      </c>
      <c r="O343" s="3">
        <v>1.6</v>
      </c>
      <c r="P343" s="3" t="s">
        <v>33</v>
      </c>
      <c r="Q343" s="3" t="s">
        <v>26</v>
      </c>
      <c r="S343" s="3" t="s">
        <v>664</v>
      </c>
      <c r="T343" s="3" t="s">
        <v>79</v>
      </c>
      <c r="U343" s="3">
        <v>7</v>
      </c>
      <c r="V343" s="3">
        <v>1</v>
      </c>
      <c r="W343" s="3" t="s">
        <v>26</v>
      </c>
      <c r="AA343" s="3" t="s">
        <v>42</v>
      </c>
      <c r="AB343" s="3" t="s">
        <v>29</v>
      </c>
      <c r="AC343" s="3" t="s">
        <v>664</v>
      </c>
      <c r="AD343" s="3" t="s">
        <v>55</v>
      </c>
      <c r="AE343" s="3" t="s">
        <v>38</v>
      </c>
      <c r="AF343" s="3" t="s">
        <v>664</v>
      </c>
      <c r="AG343" s="3" t="s">
        <v>39</v>
      </c>
    </row>
    <row r="344" spans="1:33">
      <c r="A344" s="1">
        <v>45208.021884201386</v>
      </c>
      <c r="B344" s="3" t="s">
        <v>1024</v>
      </c>
      <c r="C344" s="2">
        <v>35191</v>
      </c>
      <c r="D344" s="3">
        <v>27</v>
      </c>
      <c r="E344" s="3" t="s">
        <v>510</v>
      </c>
      <c r="F344" s="3" t="s">
        <v>532</v>
      </c>
      <c r="G344" s="3" t="s">
        <v>539</v>
      </c>
      <c r="H344" s="2">
        <v>44233</v>
      </c>
      <c r="I344" s="3">
        <v>1</v>
      </c>
      <c r="J344" s="3" t="s">
        <v>542</v>
      </c>
      <c r="K344" s="3">
        <v>4.0199999999999996</v>
      </c>
      <c r="L344" s="3" t="s">
        <v>709</v>
      </c>
      <c r="M344" s="3">
        <v>84</v>
      </c>
      <c r="N344" s="3">
        <v>71</v>
      </c>
      <c r="O344" s="3">
        <v>159</v>
      </c>
      <c r="P344" s="3" t="s">
        <v>33</v>
      </c>
      <c r="Q344" s="3" t="s">
        <v>34</v>
      </c>
      <c r="R344" s="3" t="s">
        <v>271</v>
      </c>
      <c r="S344" s="3" t="s">
        <v>664</v>
      </c>
      <c r="T344" s="3" t="s">
        <v>79</v>
      </c>
      <c r="U344" s="3">
        <v>7</v>
      </c>
      <c r="V344" s="3">
        <v>1</v>
      </c>
      <c r="W344" s="3" t="s">
        <v>26</v>
      </c>
      <c r="AA344" s="3" t="s">
        <v>49</v>
      </c>
      <c r="AB344" s="3" t="s">
        <v>272</v>
      </c>
      <c r="AC344" s="3" t="s">
        <v>664</v>
      </c>
      <c r="AD344" s="3" t="s">
        <v>273</v>
      </c>
      <c r="AE344" s="3" t="s">
        <v>31</v>
      </c>
      <c r="AF344" s="3" t="s">
        <v>664</v>
      </c>
      <c r="AG344" s="3" t="s">
        <v>32</v>
      </c>
    </row>
    <row r="345" spans="1:33">
      <c r="A345" s="1">
        <v>45208.034898923608</v>
      </c>
      <c r="B345" s="3" t="s">
        <v>1024</v>
      </c>
      <c r="C345" s="2">
        <v>35999</v>
      </c>
      <c r="D345" s="3">
        <v>25</v>
      </c>
      <c r="E345" s="3" t="s">
        <v>510</v>
      </c>
      <c r="F345" s="3" t="s">
        <v>522</v>
      </c>
      <c r="G345" s="3" t="s">
        <v>537</v>
      </c>
      <c r="H345" s="2">
        <v>43424</v>
      </c>
      <c r="I345" s="3">
        <v>1</v>
      </c>
      <c r="J345" s="3" t="s">
        <v>541</v>
      </c>
      <c r="K345" s="3" t="s">
        <v>1212</v>
      </c>
      <c r="L345" s="3" t="s">
        <v>616</v>
      </c>
      <c r="M345" s="3">
        <v>53</v>
      </c>
      <c r="N345" s="3">
        <v>53</v>
      </c>
      <c r="O345" s="3">
        <v>162</v>
      </c>
      <c r="P345" s="3" t="s">
        <v>33</v>
      </c>
      <c r="Q345" s="3" t="s">
        <v>26</v>
      </c>
      <c r="S345" s="3" t="s">
        <v>664</v>
      </c>
      <c r="T345" s="3" t="s">
        <v>79</v>
      </c>
      <c r="U345" s="3">
        <v>6</v>
      </c>
      <c r="V345" s="3">
        <v>1</v>
      </c>
      <c r="W345" s="3" t="s">
        <v>26</v>
      </c>
      <c r="AA345" s="3" t="s">
        <v>42</v>
      </c>
      <c r="AB345" s="3" t="s">
        <v>29</v>
      </c>
      <c r="AC345" s="3" t="s">
        <v>664</v>
      </c>
      <c r="AD345" s="3" t="s">
        <v>55</v>
      </c>
      <c r="AE345" s="3" t="s">
        <v>31</v>
      </c>
      <c r="AF345" s="3" t="s">
        <v>664</v>
      </c>
      <c r="AG345" s="3" t="s">
        <v>39</v>
      </c>
    </row>
    <row r="346" spans="1:33">
      <c r="A346" s="1">
        <v>45208.055253541665</v>
      </c>
      <c r="B346" s="3" t="s">
        <v>1024</v>
      </c>
      <c r="C346" s="2">
        <v>32986</v>
      </c>
      <c r="D346" s="3">
        <v>33</v>
      </c>
      <c r="E346" s="3" t="s">
        <v>510</v>
      </c>
      <c r="F346" s="3" t="s">
        <v>520</v>
      </c>
      <c r="G346" s="3" t="s">
        <v>539</v>
      </c>
      <c r="H346" s="2">
        <v>44026</v>
      </c>
      <c r="I346" s="3">
        <v>2</v>
      </c>
      <c r="J346" s="3" t="s">
        <v>541</v>
      </c>
      <c r="K346" s="3" t="s">
        <v>655</v>
      </c>
      <c r="L346" s="3">
        <v>40</v>
      </c>
      <c r="M346" s="3">
        <v>61</v>
      </c>
      <c r="N346" s="3">
        <v>81</v>
      </c>
      <c r="O346" s="3">
        <v>1.61</v>
      </c>
      <c r="P346" s="3" t="s">
        <v>123</v>
      </c>
      <c r="Q346" s="3" t="s">
        <v>34</v>
      </c>
      <c r="R346" s="3" t="s">
        <v>748</v>
      </c>
      <c r="S346" s="3" t="s">
        <v>664</v>
      </c>
      <c r="U346" s="3">
        <v>7</v>
      </c>
      <c r="V346" s="3">
        <v>1</v>
      </c>
      <c r="W346" s="3" t="s">
        <v>34</v>
      </c>
      <c r="Y346" s="3">
        <v>7</v>
      </c>
      <c r="Z346" s="3">
        <v>1</v>
      </c>
      <c r="AA346" s="3" t="s">
        <v>49</v>
      </c>
      <c r="AB346" s="3" t="s">
        <v>749</v>
      </c>
      <c r="AC346" s="3" t="s">
        <v>664</v>
      </c>
      <c r="AD346" s="3" t="s">
        <v>63</v>
      </c>
      <c r="AE346" s="3" t="s">
        <v>87</v>
      </c>
      <c r="AF346" s="3" t="s">
        <v>664</v>
      </c>
      <c r="AG346" s="3" t="s">
        <v>94</v>
      </c>
    </row>
    <row r="347" spans="1:33">
      <c r="A347" s="1">
        <v>45208.05574275463</v>
      </c>
      <c r="B347" s="3" t="s">
        <v>1024</v>
      </c>
      <c r="C347" s="2">
        <v>34244</v>
      </c>
      <c r="D347" s="3">
        <v>30</v>
      </c>
      <c r="E347" s="3" t="s">
        <v>510</v>
      </c>
      <c r="F347" s="3" t="s">
        <v>531</v>
      </c>
      <c r="G347" s="3" t="s">
        <v>538</v>
      </c>
      <c r="H347" s="2">
        <v>44905</v>
      </c>
      <c r="I347" s="3">
        <v>1</v>
      </c>
      <c r="J347" s="3" t="s">
        <v>542</v>
      </c>
      <c r="K347" s="3">
        <v>3400</v>
      </c>
      <c r="L347" s="3" t="s">
        <v>697</v>
      </c>
      <c r="M347" s="3">
        <v>87</v>
      </c>
      <c r="N347" s="3">
        <v>81</v>
      </c>
      <c r="O347" s="3">
        <v>152</v>
      </c>
      <c r="P347" s="3" t="s">
        <v>33</v>
      </c>
      <c r="Q347" s="3" t="s">
        <v>26</v>
      </c>
      <c r="S347" s="3" t="s">
        <v>664</v>
      </c>
      <c r="T347" s="3" t="s">
        <v>79</v>
      </c>
      <c r="U347" s="3">
        <v>7</v>
      </c>
      <c r="V347" s="3">
        <v>1</v>
      </c>
      <c r="W347" s="3" t="s">
        <v>34</v>
      </c>
      <c r="X347" s="3" t="s">
        <v>274</v>
      </c>
      <c r="Y347" s="3">
        <v>7</v>
      </c>
      <c r="Z347" s="3">
        <v>1</v>
      </c>
      <c r="AA347" s="3" t="s">
        <v>49</v>
      </c>
      <c r="AB347" s="3" t="s">
        <v>29</v>
      </c>
      <c r="AC347" s="3" t="s">
        <v>664</v>
      </c>
      <c r="AD347" s="3" t="s">
        <v>55</v>
      </c>
      <c r="AE347" s="3" t="s">
        <v>31</v>
      </c>
      <c r="AF347" s="3" t="s">
        <v>664</v>
      </c>
      <c r="AG347" s="3" t="s">
        <v>48</v>
      </c>
    </row>
    <row r="348" spans="1:33">
      <c r="A348" s="1">
        <v>45208.088501493054</v>
      </c>
      <c r="B348" s="3" t="s">
        <v>1024</v>
      </c>
      <c r="C348" s="2">
        <v>32996</v>
      </c>
      <c r="D348" s="3">
        <v>33</v>
      </c>
      <c r="E348" s="3" t="s">
        <v>510</v>
      </c>
      <c r="F348" s="3" t="s">
        <v>520</v>
      </c>
      <c r="G348" s="3" t="s">
        <v>537</v>
      </c>
      <c r="H348" s="2">
        <v>44857</v>
      </c>
      <c r="I348" s="3">
        <v>3</v>
      </c>
      <c r="J348" s="3" t="s">
        <v>541</v>
      </c>
      <c r="K348" s="3" t="s">
        <v>1213</v>
      </c>
      <c r="L348" s="3" t="s">
        <v>636</v>
      </c>
      <c r="M348" s="3">
        <v>51</v>
      </c>
      <c r="N348" s="3">
        <v>63</v>
      </c>
      <c r="O348" s="3">
        <v>157</v>
      </c>
      <c r="P348" s="3" t="s">
        <v>44</v>
      </c>
      <c r="Q348" s="3" t="s">
        <v>26</v>
      </c>
      <c r="S348" s="3" t="s">
        <v>664</v>
      </c>
      <c r="T348" s="3" t="s">
        <v>27</v>
      </c>
      <c r="U348" s="3">
        <v>7</v>
      </c>
      <c r="V348" s="3">
        <v>1</v>
      </c>
      <c r="W348" s="3" t="s">
        <v>34</v>
      </c>
      <c r="X348" s="3" t="s">
        <v>275</v>
      </c>
      <c r="Y348" s="3">
        <v>7</v>
      </c>
      <c r="Z348" s="3">
        <v>1</v>
      </c>
      <c r="AA348" s="3" t="s">
        <v>49</v>
      </c>
      <c r="AB348" s="3" t="s">
        <v>29</v>
      </c>
      <c r="AC348" s="3" t="s">
        <v>664</v>
      </c>
      <c r="AD348" s="3" t="s">
        <v>30</v>
      </c>
      <c r="AE348" s="3" t="s">
        <v>38</v>
      </c>
      <c r="AF348" s="3" t="s">
        <v>664</v>
      </c>
      <c r="AG348" s="3" t="s">
        <v>39</v>
      </c>
    </row>
    <row r="349" spans="1:33">
      <c r="A349" s="1">
        <v>45208.093461481483</v>
      </c>
      <c r="B349" s="3" t="s">
        <v>1024</v>
      </c>
      <c r="C349" s="2">
        <v>34460</v>
      </c>
      <c r="D349" s="3">
        <v>29</v>
      </c>
      <c r="E349" s="3" t="s">
        <v>510</v>
      </c>
      <c r="F349" s="3" t="s">
        <v>520</v>
      </c>
      <c r="G349" s="3" t="s">
        <v>539</v>
      </c>
      <c r="H349" s="2">
        <v>45008</v>
      </c>
      <c r="I349" s="3">
        <v>1</v>
      </c>
      <c r="J349" s="3" t="s">
        <v>541</v>
      </c>
      <c r="K349" s="3" t="s">
        <v>1214</v>
      </c>
      <c r="L349" s="3" t="s">
        <v>750</v>
      </c>
      <c r="M349" s="3">
        <v>77.5</v>
      </c>
      <c r="N349" s="3">
        <v>92</v>
      </c>
      <c r="O349" s="3">
        <v>159</v>
      </c>
      <c r="P349" s="3" t="s">
        <v>44</v>
      </c>
      <c r="Q349" s="3" t="s">
        <v>26</v>
      </c>
      <c r="S349" s="3" t="s">
        <v>664</v>
      </c>
      <c r="T349" s="3" t="s">
        <v>79</v>
      </c>
      <c r="U349" s="3">
        <v>7</v>
      </c>
      <c r="V349" s="3">
        <v>1</v>
      </c>
      <c r="W349" s="3" t="s">
        <v>26</v>
      </c>
      <c r="AA349" s="3" t="s">
        <v>42</v>
      </c>
      <c r="AB349" s="3" t="s">
        <v>276</v>
      </c>
      <c r="AC349" s="3" t="s">
        <v>664</v>
      </c>
      <c r="AD349" s="3" t="s">
        <v>30</v>
      </c>
      <c r="AE349" s="3" t="s">
        <v>38</v>
      </c>
      <c r="AF349" s="3" t="s">
        <v>664</v>
      </c>
      <c r="AG349" s="3" t="s">
        <v>62</v>
      </c>
    </row>
    <row r="350" spans="1:33">
      <c r="A350" s="1">
        <v>45208.093573391205</v>
      </c>
      <c r="B350" s="3" t="s">
        <v>1024</v>
      </c>
      <c r="C350" s="2">
        <v>32825</v>
      </c>
      <c r="D350" s="3">
        <v>33</v>
      </c>
      <c r="E350" s="3" t="s">
        <v>510</v>
      </c>
      <c r="F350" s="3" t="s">
        <v>523</v>
      </c>
      <c r="G350" s="3" t="s">
        <v>539</v>
      </c>
      <c r="H350" s="2">
        <v>43544</v>
      </c>
      <c r="I350" s="3">
        <v>1</v>
      </c>
      <c r="J350" s="3" t="s">
        <v>541</v>
      </c>
      <c r="K350" s="3">
        <v>1960</v>
      </c>
      <c r="L350" s="3">
        <v>36</v>
      </c>
      <c r="M350" s="3">
        <v>86</v>
      </c>
      <c r="N350" s="3">
        <v>100</v>
      </c>
      <c r="O350" s="3">
        <v>162</v>
      </c>
      <c r="P350" s="3" t="s">
        <v>25</v>
      </c>
      <c r="Q350" s="3" t="s">
        <v>26</v>
      </c>
      <c r="S350" s="3" t="s">
        <v>664</v>
      </c>
      <c r="T350" s="3" t="s">
        <v>79</v>
      </c>
      <c r="U350" s="3">
        <v>7</v>
      </c>
      <c r="V350" s="3">
        <v>1</v>
      </c>
      <c r="W350" s="3" t="s">
        <v>34</v>
      </c>
      <c r="X350" s="3" t="s">
        <v>277</v>
      </c>
      <c r="Y350" s="3">
        <v>7</v>
      </c>
      <c r="Z350" s="3">
        <v>1</v>
      </c>
      <c r="AA350" s="3" t="s">
        <v>42</v>
      </c>
      <c r="AB350" s="3" t="s">
        <v>278</v>
      </c>
      <c r="AC350" s="3" t="s">
        <v>664</v>
      </c>
      <c r="AD350" s="3" t="s">
        <v>30</v>
      </c>
      <c r="AE350" s="3" t="s">
        <v>31</v>
      </c>
      <c r="AF350" s="3" t="s">
        <v>664</v>
      </c>
      <c r="AG350" s="3" t="s">
        <v>94</v>
      </c>
    </row>
    <row r="351" spans="1:33">
      <c r="A351" s="1">
        <v>45208.095083148146</v>
      </c>
      <c r="B351" s="3" t="s">
        <v>1024</v>
      </c>
      <c r="C351" s="2">
        <v>31382</v>
      </c>
      <c r="D351" s="3">
        <v>37</v>
      </c>
      <c r="E351" s="3" t="s">
        <v>510</v>
      </c>
      <c r="F351" s="3" t="s">
        <v>521</v>
      </c>
      <c r="G351" s="3" t="s">
        <v>539</v>
      </c>
      <c r="H351" s="2">
        <v>44612</v>
      </c>
      <c r="I351" s="3">
        <v>3</v>
      </c>
      <c r="J351" s="3" t="s">
        <v>542</v>
      </c>
      <c r="K351" s="3">
        <v>4270</v>
      </c>
      <c r="L351" s="3" t="s">
        <v>616</v>
      </c>
      <c r="M351" s="3">
        <v>70</v>
      </c>
      <c r="N351" s="3">
        <v>78</v>
      </c>
      <c r="O351" s="3">
        <v>162</v>
      </c>
      <c r="P351" s="3" t="s">
        <v>33</v>
      </c>
      <c r="Q351" s="3" t="s">
        <v>26</v>
      </c>
      <c r="S351" s="3" t="s">
        <v>664</v>
      </c>
      <c r="T351" s="3" t="s">
        <v>27</v>
      </c>
      <c r="U351" s="3">
        <v>7</v>
      </c>
      <c r="V351" s="3">
        <v>1</v>
      </c>
      <c r="W351" s="3" t="s">
        <v>26</v>
      </c>
      <c r="AA351" s="3" t="s">
        <v>28</v>
      </c>
      <c r="AB351" s="3" t="s">
        <v>29</v>
      </c>
      <c r="AC351" s="3" t="s">
        <v>664</v>
      </c>
      <c r="AD351" s="3" t="s">
        <v>30</v>
      </c>
      <c r="AE351" s="3" t="s">
        <v>60</v>
      </c>
      <c r="AF351" s="3" t="s">
        <v>664</v>
      </c>
      <c r="AG351" s="3" t="s">
        <v>39</v>
      </c>
    </row>
    <row r="352" spans="1:33">
      <c r="A352" s="1">
        <v>45208.095345486116</v>
      </c>
      <c r="B352" s="3" t="s">
        <v>1024</v>
      </c>
      <c r="C352" s="2">
        <v>31530</v>
      </c>
      <c r="D352" s="3">
        <v>37</v>
      </c>
      <c r="E352" s="3" t="s">
        <v>510</v>
      </c>
      <c r="F352" s="3" t="s">
        <v>528</v>
      </c>
      <c r="G352" s="3" t="s">
        <v>539</v>
      </c>
      <c r="H352" s="2">
        <v>44201</v>
      </c>
      <c r="I352" s="3">
        <v>1</v>
      </c>
      <c r="J352" s="3" t="s">
        <v>542</v>
      </c>
      <c r="K352" s="3">
        <v>3210</v>
      </c>
      <c r="L352" s="3" t="s">
        <v>751</v>
      </c>
      <c r="M352" s="3">
        <v>57</v>
      </c>
      <c r="N352" s="3">
        <v>68</v>
      </c>
      <c r="O352" s="3">
        <v>160</v>
      </c>
      <c r="P352" s="3" t="s">
        <v>33</v>
      </c>
      <c r="Q352" s="3" t="s">
        <v>26</v>
      </c>
      <c r="S352" s="3" t="s">
        <v>664</v>
      </c>
      <c r="T352" s="3" t="s">
        <v>98</v>
      </c>
      <c r="U352" s="3">
        <v>7</v>
      </c>
      <c r="V352" s="3">
        <v>1</v>
      </c>
      <c r="W352" s="3" t="s">
        <v>26</v>
      </c>
      <c r="AA352" s="3" t="s">
        <v>42</v>
      </c>
      <c r="AB352" s="3" t="s">
        <v>29</v>
      </c>
      <c r="AC352" s="3" t="s">
        <v>664</v>
      </c>
      <c r="AD352" s="3" t="s">
        <v>30</v>
      </c>
      <c r="AE352" s="3" t="s">
        <v>38</v>
      </c>
      <c r="AF352" s="3" t="s">
        <v>664</v>
      </c>
      <c r="AG352" s="3" t="s">
        <v>62</v>
      </c>
    </row>
    <row r="353" spans="1:33">
      <c r="A353" s="1">
        <v>45208.104770069447</v>
      </c>
      <c r="B353" s="3" t="s">
        <v>1024</v>
      </c>
      <c r="C353" s="2">
        <v>34993</v>
      </c>
      <c r="D353" s="3">
        <v>27</v>
      </c>
      <c r="E353" s="3" t="s">
        <v>510</v>
      </c>
      <c r="F353" s="3" t="s">
        <v>531</v>
      </c>
      <c r="G353" s="3" t="s">
        <v>540</v>
      </c>
      <c r="H353" s="2">
        <v>43715</v>
      </c>
      <c r="I353" s="3">
        <v>1</v>
      </c>
      <c r="J353" s="3" t="s">
        <v>542</v>
      </c>
      <c r="K353" s="3">
        <v>2950</v>
      </c>
      <c r="L353" s="3">
        <v>37</v>
      </c>
      <c r="M353" s="3">
        <v>65</v>
      </c>
      <c r="N353" s="3">
        <v>83</v>
      </c>
      <c r="O353" s="3">
        <v>1.6</v>
      </c>
      <c r="P353" s="3" t="s">
        <v>33</v>
      </c>
      <c r="Q353" s="3" t="s">
        <v>26</v>
      </c>
      <c r="S353" s="3" t="s">
        <v>664</v>
      </c>
      <c r="T353" s="3" t="s">
        <v>27</v>
      </c>
      <c r="U353" s="3">
        <v>7</v>
      </c>
      <c r="V353" s="3">
        <v>1</v>
      </c>
      <c r="W353" s="3" t="s">
        <v>34</v>
      </c>
      <c r="X353" s="3" t="s">
        <v>58</v>
      </c>
      <c r="Y353" s="3">
        <v>7</v>
      </c>
      <c r="Z353" s="3">
        <v>1</v>
      </c>
      <c r="AA353" s="3" t="s">
        <v>49</v>
      </c>
      <c r="AB353" s="3" t="s">
        <v>29</v>
      </c>
      <c r="AC353" s="3" t="s">
        <v>664</v>
      </c>
      <c r="AD353" s="3" t="s">
        <v>55</v>
      </c>
      <c r="AE353" s="3" t="s">
        <v>38</v>
      </c>
      <c r="AF353" s="3" t="s">
        <v>664</v>
      </c>
      <c r="AG353" s="3" t="s">
        <v>94</v>
      </c>
    </row>
    <row r="354" spans="1:33">
      <c r="A354" s="1">
        <v>45208.105657615743</v>
      </c>
      <c r="B354" s="3" t="s">
        <v>1024</v>
      </c>
      <c r="C354" s="2">
        <v>29963</v>
      </c>
      <c r="D354" s="3">
        <v>41</v>
      </c>
      <c r="E354" s="3" t="s">
        <v>510</v>
      </c>
      <c r="F354" s="3" t="s">
        <v>520</v>
      </c>
      <c r="G354" s="3" t="s">
        <v>539</v>
      </c>
      <c r="H354" s="2">
        <v>44725</v>
      </c>
      <c r="I354" s="3">
        <v>1</v>
      </c>
      <c r="J354" s="3" t="s">
        <v>542</v>
      </c>
      <c r="K354" s="3">
        <v>2600</v>
      </c>
      <c r="L354" s="3">
        <v>36</v>
      </c>
      <c r="M354" s="3">
        <v>56</v>
      </c>
      <c r="N354" s="3">
        <v>72</v>
      </c>
      <c r="O354" s="3">
        <v>154</v>
      </c>
      <c r="P354" s="3" t="s">
        <v>33</v>
      </c>
      <c r="Q354" s="3" t="s">
        <v>26</v>
      </c>
      <c r="S354" s="3" t="s">
        <v>664</v>
      </c>
      <c r="T354" s="3" t="s">
        <v>27</v>
      </c>
      <c r="U354" s="3">
        <v>7</v>
      </c>
      <c r="V354" s="3">
        <v>1</v>
      </c>
      <c r="W354" s="3" t="s">
        <v>26</v>
      </c>
      <c r="AA354" s="3" t="s">
        <v>54</v>
      </c>
      <c r="AB354" s="3" t="s">
        <v>29</v>
      </c>
      <c r="AC354" s="3" t="s">
        <v>664</v>
      </c>
      <c r="AD354" s="3" t="s">
        <v>37</v>
      </c>
      <c r="AE354" s="3" t="s">
        <v>31</v>
      </c>
      <c r="AF354" s="3" t="s">
        <v>664</v>
      </c>
      <c r="AG354" s="3" t="s">
        <v>39</v>
      </c>
    </row>
    <row r="355" spans="1:33">
      <c r="A355" s="1">
        <v>45208.121160104165</v>
      </c>
      <c r="B355" s="3" t="s">
        <v>1024</v>
      </c>
      <c r="C355" s="2">
        <v>30320</v>
      </c>
      <c r="D355" s="3">
        <v>40</v>
      </c>
      <c r="E355" s="3" t="s">
        <v>510</v>
      </c>
      <c r="F355" s="3" t="s">
        <v>522</v>
      </c>
      <c r="G355" s="3" t="s">
        <v>539</v>
      </c>
      <c r="H355" s="2">
        <v>44838</v>
      </c>
      <c r="I355" s="3">
        <v>2</v>
      </c>
      <c r="J355" s="3" t="s">
        <v>541</v>
      </c>
      <c r="K355" s="3">
        <v>3850</v>
      </c>
      <c r="L355" s="3">
        <v>38</v>
      </c>
      <c r="M355" s="3">
        <v>87</v>
      </c>
      <c r="N355" s="3">
        <v>65</v>
      </c>
      <c r="O355" s="3">
        <v>158</v>
      </c>
      <c r="P355" s="3" t="s">
        <v>33</v>
      </c>
      <c r="Q355" s="3" t="s">
        <v>26</v>
      </c>
      <c r="S355" s="3" t="s">
        <v>664</v>
      </c>
      <c r="T355" s="3" t="s">
        <v>27</v>
      </c>
      <c r="U355" s="3">
        <v>7</v>
      </c>
      <c r="V355" s="3">
        <v>1</v>
      </c>
      <c r="W355" s="3" t="s">
        <v>34</v>
      </c>
      <c r="X355" s="3" t="s">
        <v>632</v>
      </c>
      <c r="Y355" s="3">
        <v>7</v>
      </c>
      <c r="Z355" s="3">
        <v>1</v>
      </c>
      <c r="AA355" s="3" t="s">
        <v>49</v>
      </c>
      <c r="AB355" s="3" t="s">
        <v>29</v>
      </c>
      <c r="AC355" s="3" t="s">
        <v>664</v>
      </c>
      <c r="AD355" s="3" t="s">
        <v>55</v>
      </c>
      <c r="AE355" s="3" t="s">
        <v>31</v>
      </c>
      <c r="AF355" s="3" t="s">
        <v>664</v>
      </c>
      <c r="AG355" s="3" t="s">
        <v>94</v>
      </c>
    </row>
    <row r="356" spans="1:33">
      <c r="A356" s="1">
        <v>45208.122253009264</v>
      </c>
      <c r="B356" s="3" t="s">
        <v>1024</v>
      </c>
      <c r="C356" s="2">
        <v>34656</v>
      </c>
      <c r="D356" s="3">
        <v>28</v>
      </c>
      <c r="E356" s="3" t="s">
        <v>510</v>
      </c>
      <c r="F356" s="3" t="s">
        <v>530</v>
      </c>
      <c r="G356" s="3" t="s">
        <v>539</v>
      </c>
      <c r="H356" s="2">
        <v>44505</v>
      </c>
      <c r="I356" s="3">
        <v>1</v>
      </c>
      <c r="J356" s="3" t="s">
        <v>541</v>
      </c>
      <c r="K356" s="3">
        <v>2860</v>
      </c>
      <c r="L356" s="3" t="s">
        <v>752</v>
      </c>
      <c r="M356" s="3">
        <v>80</v>
      </c>
      <c r="N356" s="3">
        <v>83</v>
      </c>
      <c r="O356" s="3">
        <v>169</v>
      </c>
      <c r="P356" s="3" t="s">
        <v>50</v>
      </c>
      <c r="Q356" s="3" t="s">
        <v>26</v>
      </c>
      <c r="S356" s="3" t="s">
        <v>664</v>
      </c>
      <c r="T356" s="3" t="s">
        <v>79</v>
      </c>
      <c r="U356" s="3">
        <v>7</v>
      </c>
      <c r="V356" s="3">
        <v>1</v>
      </c>
      <c r="W356" s="3" t="s">
        <v>34</v>
      </c>
      <c r="X356" s="3" t="s">
        <v>71</v>
      </c>
      <c r="Y356" s="3">
        <v>7</v>
      </c>
      <c r="Z356" s="3">
        <v>1</v>
      </c>
      <c r="AA356" s="3" t="s">
        <v>49</v>
      </c>
      <c r="AB356" s="3" t="s">
        <v>29</v>
      </c>
      <c r="AC356" s="3" t="s">
        <v>664</v>
      </c>
      <c r="AD356" s="3" t="s">
        <v>55</v>
      </c>
      <c r="AE356" s="3" t="s">
        <v>31</v>
      </c>
      <c r="AF356" s="3" t="s">
        <v>664</v>
      </c>
      <c r="AG356" s="3" t="s">
        <v>48</v>
      </c>
    </row>
    <row r="357" spans="1:33">
      <c r="A357" s="1">
        <v>45208.158414004633</v>
      </c>
      <c r="B357" s="3" t="s">
        <v>1024</v>
      </c>
      <c r="C357" s="2">
        <v>32823</v>
      </c>
      <c r="D357" s="3">
        <v>33</v>
      </c>
      <c r="E357" s="3" t="s">
        <v>510</v>
      </c>
      <c r="F357" s="3" t="s">
        <v>529</v>
      </c>
      <c r="G357" s="3" t="s">
        <v>540</v>
      </c>
      <c r="H357" s="2">
        <v>45016</v>
      </c>
      <c r="I357" s="3">
        <v>2</v>
      </c>
      <c r="J357" s="3" t="s">
        <v>541</v>
      </c>
      <c r="K357" s="3">
        <v>2780</v>
      </c>
      <c r="L357" s="3">
        <v>35</v>
      </c>
      <c r="M357" s="3">
        <v>97</v>
      </c>
      <c r="N357" s="3">
        <v>106</v>
      </c>
      <c r="O357" s="3">
        <v>173</v>
      </c>
      <c r="P357" s="3" t="s">
        <v>173</v>
      </c>
      <c r="Q357" s="3" t="s">
        <v>26</v>
      </c>
      <c r="S357" s="3" t="s">
        <v>664</v>
      </c>
      <c r="T357" s="3" t="s">
        <v>27</v>
      </c>
      <c r="U357" s="3">
        <v>7</v>
      </c>
      <c r="V357" s="3">
        <v>1</v>
      </c>
      <c r="W357" s="3" t="s">
        <v>34</v>
      </c>
      <c r="X357" s="3" t="s">
        <v>279</v>
      </c>
      <c r="Y357" s="3">
        <v>7</v>
      </c>
      <c r="Z357" s="3">
        <v>1</v>
      </c>
      <c r="AA357" s="3" t="s">
        <v>49</v>
      </c>
      <c r="AB357" s="3" t="s">
        <v>29</v>
      </c>
      <c r="AC357" s="3" t="s">
        <v>664</v>
      </c>
      <c r="AD357" s="3" t="s">
        <v>37</v>
      </c>
      <c r="AE357" s="3" t="s">
        <v>31</v>
      </c>
      <c r="AF357" s="3" t="s">
        <v>664</v>
      </c>
      <c r="AG357" s="3" t="s">
        <v>62</v>
      </c>
    </row>
    <row r="358" spans="1:33">
      <c r="A358" s="1">
        <v>45208.199252488426</v>
      </c>
      <c r="B358" s="3" t="s">
        <v>1024</v>
      </c>
      <c r="C358" s="2">
        <v>33079</v>
      </c>
      <c r="D358" s="3">
        <v>33</v>
      </c>
      <c r="E358" s="3" t="s">
        <v>510</v>
      </c>
      <c r="F358" s="3" t="s">
        <v>522</v>
      </c>
      <c r="G358" s="3" t="s">
        <v>539</v>
      </c>
      <c r="H358" s="2">
        <v>43512</v>
      </c>
      <c r="I358" s="3">
        <v>1</v>
      </c>
      <c r="J358" s="3" t="s">
        <v>541</v>
      </c>
      <c r="K358" s="3">
        <v>2040</v>
      </c>
      <c r="L358" s="3">
        <v>33</v>
      </c>
      <c r="M358" s="3">
        <v>54</v>
      </c>
      <c r="N358" s="3">
        <v>54</v>
      </c>
      <c r="O358" s="3">
        <v>157</v>
      </c>
      <c r="P358" s="3" t="s">
        <v>33</v>
      </c>
      <c r="Q358" s="3" t="s">
        <v>26</v>
      </c>
      <c r="S358" s="3" t="s">
        <v>664</v>
      </c>
      <c r="T358" s="3" t="s">
        <v>35</v>
      </c>
      <c r="U358" s="3">
        <v>7</v>
      </c>
      <c r="V358" s="3">
        <v>1</v>
      </c>
      <c r="W358" s="3" t="s">
        <v>34</v>
      </c>
      <c r="X358" s="3" t="s">
        <v>35</v>
      </c>
      <c r="Y358" s="3">
        <v>7</v>
      </c>
      <c r="Z358" s="3">
        <v>1</v>
      </c>
      <c r="AA358" s="3" t="s">
        <v>42</v>
      </c>
      <c r="AB358" s="3" t="s">
        <v>29</v>
      </c>
      <c r="AC358" s="3" t="s">
        <v>664</v>
      </c>
      <c r="AD358" s="3" t="s">
        <v>55</v>
      </c>
      <c r="AE358" s="3" t="s">
        <v>31</v>
      </c>
      <c r="AF358" s="3" t="s">
        <v>664</v>
      </c>
      <c r="AG358" s="3" t="s">
        <v>32</v>
      </c>
    </row>
    <row r="359" spans="1:33">
      <c r="A359" s="1">
        <v>45208.264346574069</v>
      </c>
      <c r="B359" s="3" t="s">
        <v>1024</v>
      </c>
      <c r="C359" s="2">
        <v>31471</v>
      </c>
      <c r="D359" s="3">
        <v>36</v>
      </c>
      <c r="E359" s="3" t="s">
        <v>511</v>
      </c>
      <c r="F359" s="3" t="s">
        <v>520</v>
      </c>
      <c r="G359" s="3" t="s">
        <v>539</v>
      </c>
      <c r="H359" s="2">
        <v>44547</v>
      </c>
      <c r="I359" s="3">
        <v>2</v>
      </c>
      <c r="J359" s="3" t="s">
        <v>541</v>
      </c>
      <c r="K359" s="3" t="s">
        <v>1215</v>
      </c>
      <c r="L359" s="3" t="s">
        <v>752</v>
      </c>
      <c r="M359" s="3">
        <v>69</v>
      </c>
      <c r="N359" s="3">
        <v>79</v>
      </c>
      <c r="O359" s="3">
        <v>155</v>
      </c>
      <c r="P359" s="3" t="s">
        <v>44</v>
      </c>
      <c r="Q359" s="3" t="s">
        <v>26</v>
      </c>
      <c r="S359" s="3" t="s">
        <v>664</v>
      </c>
      <c r="T359" s="3" t="s">
        <v>57</v>
      </c>
      <c r="U359" s="3">
        <v>7</v>
      </c>
      <c r="V359" s="3">
        <v>1</v>
      </c>
      <c r="W359" s="3" t="s">
        <v>34</v>
      </c>
      <c r="X359" s="3" t="s">
        <v>632</v>
      </c>
      <c r="Y359" s="3">
        <v>7</v>
      </c>
      <c r="Z359" s="3">
        <v>1</v>
      </c>
      <c r="AA359" s="3" t="s">
        <v>49</v>
      </c>
      <c r="AB359" s="3" t="s">
        <v>29</v>
      </c>
      <c r="AC359" s="3" t="s">
        <v>664</v>
      </c>
      <c r="AD359" s="3" t="s">
        <v>30</v>
      </c>
      <c r="AE359" s="3" t="s">
        <v>38</v>
      </c>
      <c r="AF359" s="3" t="s">
        <v>664</v>
      </c>
      <c r="AG359" s="3" t="s">
        <v>39</v>
      </c>
    </row>
    <row r="360" spans="1:33">
      <c r="A360" s="1">
        <v>45208.307664004635</v>
      </c>
      <c r="B360" s="3" t="s">
        <v>1024</v>
      </c>
      <c r="C360" s="2">
        <v>32219</v>
      </c>
      <c r="D360" s="3">
        <v>35</v>
      </c>
      <c r="E360" s="3" t="s">
        <v>510</v>
      </c>
      <c r="F360" s="3" t="s">
        <v>527</v>
      </c>
      <c r="G360" s="3" t="s">
        <v>539</v>
      </c>
      <c r="H360" s="2">
        <v>44497</v>
      </c>
      <c r="I360" s="3">
        <v>1</v>
      </c>
      <c r="J360" s="3" t="s">
        <v>541</v>
      </c>
      <c r="K360" s="3">
        <v>3740</v>
      </c>
      <c r="L360" s="3" t="s">
        <v>623</v>
      </c>
      <c r="M360" s="3">
        <v>56</v>
      </c>
      <c r="N360" s="3">
        <v>71</v>
      </c>
      <c r="O360" s="3">
        <v>169</v>
      </c>
      <c r="P360" s="3" t="s">
        <v>33</v>
      </c>
      <c r="Q360" s="3" t="s">
        <v>34</v>
      </c>
      <c r="R360" s="3" t="s">
        <v>280</v>
      </c>
      <c r="S360" s="3" t="s">
        <v>664</v>
      </c>
      <c r="T360" s="3" t="s">
        <v>27</v>
      </c>
      <c r="U360" s="3">
        <v>7</v>
      </c>
      <c r="V360" s="3">
        <v>1</v>
      </c>
      <c r="W360" s="3" t="s">
        <v>34</v>
      </c>
      <c r="X360" s="3" t="s">
        <v>281</v>
      </c>
      <c r="Y360" s="3">
        <v>7</v>
      </c>
      <c r="Z360" s="3">
        <v>1</v>
      </c>
      <c r="AA360" s="3" t="s">
        <v>28</v>
      </c>
      <c r="AB360" s="3" t="s">
        <v>282</v>
      </c>
      <c r="AC360" s="3" t="s">
        <v>664</v>
      </c>
      <c r="AD360" s="3" t="s">
        <v>283</v>
      </c>
      <c r="AE360" s="3" t="s">
        <v>72</v>
      </c>
      <c r="AF360" s="3" t="s">
        <v>664</v>
      </c>
      <c r="AG360" s="3" t="s">
        <v>62</v>
      </c>
    </row>
    <row r="361" spans="1:33">
      <c r="A361" s="1">
        <v>45208.335102106481</v>
      </c>
      <c r="B361" s="3" t="s">
        <v>1024</v>
      </c>
      <c r="C361" s="2">
        <v>31630</v>
      </c>
      <c r="D361" s="3">
        <v>37</v>
      </c>
      <c r="E361" s="3" t="s">
        <v>510</v>
      </c>
      <c r="F361" s="3" t="s">
        <v>531</v>
      </c>
      <c r="G361" s="3" t="s">
        <v>540</v>
      </c>
      <c r="H361" s="2">
        <v>43648</v>
      </c>
      <c r="I361" s="3">
        <v>1</v>
      </c>
      <c r="J361" s="3" t="s">
        <v>541</v>
      </c>
      <c r="K361" s="3">
        <v>1980</v>
      </c>
      <c r="L361" s="3">
        <v>36</v>
      </c>
      <c r="M361" s="3">
        <v>49</v>
      </c>
      <c r="N361" s="3">
        <v>56</v>
      </c>
      <c r="O361" s="3">
        <v>160</v>
      </c>
      <c r="P361" s="3" t="s">
        <v>173</v>
      </c>
      <c r="Q361" s="3" t="s">
        <v>26</v>
      </c>
      <c r="S361" s="3" t="s">
        <v>664</v>
      </c>
      <c r="T361" s="3" t="s">
        <v>57</v>
      </c>
      <c r="U361" s="3">
        <v>7</v>
      </c>
      <c r="V361" s="3">
        <v>1</v>
      </c>
      <c r="W361" s="3" t="s">
        <v>34</v>
      </c>
      <c r="X361" s="3" t="s">
        <v>128</v>
      </c>
      <c r="Y361" s="3">
        <v>7</v>
      </c>
      <c r="Z361" s="3">
        <v>1</v>
      </c>
      <c r="AA361" s="3" t="s">
        <v>54</v>
      </c>
      <c r="AB361" s="3" t="s">
        <v>29</v>
      </c>
      <c r="AC361" s="3" t="s">
        <v>664</v>
      </c>
      <c r="AD361" s="3" t="s">
        <v>30</v>
      </c>
      <c r="AE361" s="3" t="s">
        <v>38</v>
      </c>
      <c r="AF361" s="3" t="s">
        <v>664</v>
      </c>
      <c r="AG361" s="3" t="s">
        <v>39</v>
      </c>
    </row>
    <row r="362" spans="1:33">
      <c r="A362" s="1">
        <v>45208.355353194449</v>
      </c>
      <c r="B362" s="3" t="s">
        <v>1024</v>
      </c>
      <c r="C362" s="2">
        <v>32721</v>
      </c>
      <c r="D362" s="3">
        <v>34</v>
      </c>
      <c r="E362" s="3" t="s">
        <v>510</v>
      </c>
      <c r="F362" s="3" t="s">
        <v>529</v>
      </c>
      <c r="G362" s="3" t="s">
        <v>539</v>
      </c>
      <c r="H362" s="2">
        <v>44355</v>
      </c>
      <c r="I362" s="3">
        <v>1</v>
      </c>
      <c r="J362" s="3" t="s">
        <v>541</v>
      </c>
      <c r="K362" s="3" t="s">
        <v>1216</v>
      </c>
      <c r="L362" s="3" t="s">
        <v>618</v>
      </c>
      <c r="M362" s="3">
        <v>72</v>
      </c>
      <c r="N362" s="3">
        <v>83</v>
      </c>
      <c r="O362" s="3">
        <v>163</v>
      </c>
      <c r="P362" s="3" t="s">
        <v>33</v>
      </c>
      <c r="Q362" s="3" t="s">
        <v>26</v>
      </c>
      <c r="S362" s="3" t="s">
        <v>664</v>
      </c>
      <c r="T362" s="3" t="s">
        <v>79</v>
      </c>
      <c r="U362" s="3">
        <v>5</v>
      </c>
      <c r="V362" s="3">
        <v>1</v>
      </c>
      <c r="W362" s="3" t="s">
        <v>34</v>
      </c>
      <c r="X362" s="3" t="s">
        <v>753</v>
      </c>
      <c r="Y362" s="3">
        <v>5</v>
      </c>
      <c r="Z362" s="3">
        <v>1</v>
      </c>
      <c r="AA362" s="3" t="s">
        <v>49</v>
      </c>
      <c r="AB362" s="3" t="s">
        <v>29</v>
      </c>
      <c r="AC362" s="3" t="s">
        <v>664</v>
      </c>
      <c r="AD362" s="3" t="s">
        <v>55</v>
      </c>
      <c r="AE362" s="3" t="s">
        <v>38</v>
      </c>
      <c r="AF362" s="3" t="s">
        <v>664</v>
      </c>
      <c r="AG362" s="3" t="s">
        <v>32</v>
      </c>
    </row>
    <row r="363" spans="1:33">
      <c r="A363" s="1">
        <v>45208.356382928236</v>
      </c>
      <c r="B363" s="3" t="s">
        <v>1024</v>
      </c>
      <c r="C363" s="2">
        <v>33404</v>
      </c>
      <c r="D363" s="3">
        <v>32</v>
      </c>
      <c r="E363" s="3" t="s">
        <v>510</v>
      </c>
      <c r="F363" s="3" t="s">
        <v>520</v>
      </c>
      <c r="G363" s="3" t="s">
        <v>540</v>
      </c>
      <c r="H363" s="2">
        <v>44556</v>
      </c>
      <c r="I363" s="3">
        <v>1</v>
      </c>
      <c r="J363" s="3" t="s">
        <v>541</v>
      </c>
      <c r="K363" s="3">
        <v>3380</v>
      </c>
      <c r="L363" s="3">
        <v>39</v>
      </c>
      <c r="M363" s="3">
        <v>60</v>
      </c>
      <c r="N363" s="3">
        <v>68</v>
      </c>
      <c r="O363" s="3">
        <v>159</v>
      </c>
      <c r="P363" s="3" t="s">
        <v>33</v>
      </c>
      <c r="Q363" s="3" t="s">
        <v>26</v>
      </c>
      <c r="S363" s="3" t="s">
        <v>664</v>
      </c>
      <c r="T363" s="3" t="s">
        <v>43</v>
      </c>
      <c r="U363" s="3">
        <v>7</v>
      </c>
      <c r="V363" s="3">
        <v>1</v>
      </c>
      <c r="W363" s="3" t="s">
        <v>34</v>
      </c>
      <c r="X363" s="3" t="s">
        <v>178</v>
      </c>
      <c r="Y363" s="3">
        <v>7</v>
      </c>
      <c r="Z363" s="3">
        <v>1</v>
      </c>
      <c r="AA363" s="3" t="s">
        <v>42</v>
      </c>
      <c r="AB363" s="3" t="s">
        <v>29</v>
      </c>
      <c r="AC363" s="3" t="s">
        <v>664</v>
      </c>
      <c r="AD363" s="3" t="s">
        <v>37</v>
      </c>
      <c r="AE363" s="3" t="s">
        <v>31</v>
      </c>
      <c r="AF363" s="3" t="s">
        <v>664</v>
      </c>
      <c r="AG363" s="3" t="s">
        <v>39</v>
      </c>
    </row>
    <row r="364" spans="1:33">
      <c r="A364" s="1">
        <v>45208.378281770834</v>
      </c>
      <c r="B364" s="3" t="s">
        <v>1024</v>
      </c>
      <c r="C364" s="2">
        <v>33404</v>
      </c>
      <c r="D364" s="3">
        <v>32</v>
      </c>
      <c r="E364" s="3" t="s">
        <v>510</v>
      </c>
      <c r="F364" s="3" t="s">
        <v>521</v>
      </c>
      <c r="G364" s="3" t="s">
        <v>538</v>
      </c>
      <c r="H364" s="2">
        <v>42924</v>
      </c>
      <c r="I364" s="3">
        <v>1</v>
      </c>
      <c r="J364" s="3" t="s">
        <v>542</v>
      </c>
      <c r="K364" s="3" t="s">
        <v>1217</v>
      </c>
      <c r="L364" s="3" t="s">
        <v>638</v>
      </c>
      <c r="M364" s="3">
        <v>65</v>
      </c>
      <c r="N364" s="3">
        <v>69</v>
      </c>
      <c r="O364" s="3">
        <v>154</v>
      </c>
      <c r="P364" s="3" t="s">
        <v>33</v>
      </c>
      <c r="Q364" s="3" t="s">
        <v>26</v>
      </c>
      <c r="S364" s="3" t="s">
        <v>664</v>
      </c>
      <c r="T364" s="3" t="s">
        <v>79</v>
      </c>
      <c r="U364" s="3">
        <v>7</v>
      </c>
      <c r="V364" s="3">
        <v>1</v>
      </c>
      <c r="W364" s="3" t="s">
        <v>26</v>
      </c>
      <c r="AA364" s="3" t="s">
        <v>42</v>
      </c>
      <c r="AB364" s="3" t="s">
        <v>284</v>
      </c>
      <c r="AC364" s="3" t="s">
        <v>664</v>
      </c>
      <c r="AD364" s="3" t="s">
        <v>55</v>
      </c>
      <c r="AE364" s="3" t="s">
        <v>31</v>
      </c>
      <c r="AF364" s="3" t="s">
        <v>664</v>
      </c>
    </row>
    <row r="365" spans="1:33">
      <c r="A365" s="1">
        <v>45208.388324652777</v>
      </c>
      <c r="B365" s="3" t="s">
        <v>1024</v>
      </c>
      <c r="C365" s="2">
        <v>31773</v>
      </c>
      <c r="D365" s="3">
        <v>36</v>
      </c>
      <c r="E365" s="3" t="s">
        <v>510</v>
      </c>
      <c r="F365" s="3" t="s">
        <v>520</v>
      </c>
      <c r="G365" s="3" t="s">
        <v>540</v>
      </c>
      <c r="H365" s="2">
        <v>44973</v>
      </c>
      <c r="I365" s="3">
        <v>1</v>
      </c>
      <c r="J365" s="3" t="s">
        <v>542</v>
      </c>
      <c r="K365" s="3">
        <v>3350</v>
      </c>
      <c r="L365" s="3">
        <v>39</v>
      </c>
      <c r="M365" s="3">
        <v>73</v>
      </c>
      <c r="N365" s="3">
        <v>90</v>
      </c>
      <c r="O365" s="3">
        <v>170</v>
      </c>
      <c r="P365" s="3" t="s">
        <v>33</v>
      </c>
      <c r="Q365" s="3" t="s">
        <v>26</v>
      </c>
      <c r="S365" s="3" t="s">
        <v>664</v>
      </c>
      <c r="T365" s="3" t="s">
        <v>57</v>
      </c>
      <c r="U365" s="3">
        <v>7</v>
      </c>
      <c r="W365" s="3" t="s">
        <v>34</v>
      </c>
      <c r="Y365" s="3">
        <v>7</v>
      </c>
      <c r="Z365" s="3">
        <v>1</v>
      </c>
      <c r="AA365" s="3" t="s">
        <v>28</v>
      </c>
      <c r="AB365" s="3" t="s">
        <v>563</v>
      </c>
      <c r="AC365" s="3" t="s">
        <v>664</v>
      </c>
      <c r="AE365" s="3" t="s">
        <v>31</v>
      </c>
      <c r="AF365" s="3" t="s">
        <v>664</v>
      </c>
      <c r="AG365" s="3" t="s">
        <v>32</v>
      </c>
    </row>
    <row r="366" spans="1:33">
      <c r="A366" s="1">
        <v>45208.399638958334</v>
      </c>
      <c r="B366" s="3" t="s">
        <v>1024</v>
      </c>
      <c r="C366" s="2">
        <v>30631</v>
      </c>
      <c r="D366" s="3">
        <v>39</v>
      </c>
      <c r="E366" s="3" t="s">
        <v>510</v>
      </c>
      <c r="F366" s="3" t="s">
        <v>520</v>
      </c>
      <c r="G366" s="3" t="s">
        <v>540</v>
      </c>
      <c r="H366" s="2">
        <v>43587</v>
      </c>
      <c r="I366" s="3">
        <v>2</v>
      </c>
      <c r="J366" s="3" t="s">
        <v>542</v>
      </c>
      <c r="K366" s="3">
        <v>2060</v>
      </c>
      <c r="L366" s="3">
        <v>38</v>
      </c>
      <c r="M366" s="3" t="s">
        <v>1218</v>
      </c>
      <c r="N366" s="3">
        <v>75</v>
      </c>
      <c r="O366" s="3">
        <v>153</v>
      </c>
      <c r="P366" s="3" t="s">
        <v>33</v>
      </c>
      <c r="Q366" s="3" t="s">
        <v>26</v>
      </c>
      <c r="S366" s="3" t="s">
        <v>664</v>
      </c>
      <c r="T366" s="3" t="s">
        <v>41</v>
      </c>
      <c r="U366" s="3">
        <v>7</v>
      </c>
      <c r="V366" s="3">
        <v>1</v>
      </c>
      <c r="W366" s="3" t="s">
        <v>34</v>
      </c>
      <c r="X366" s="3" t="s">
        <v>58</v>
      </c>
      <c r="Y366" s="3">
        <v>7</v>
      </c>
      <c r="Z366" s="3">
        <v>1</v>
      </c>
      <c r="AA366" s="3" t="s">
        <v>54</v>
      </c>
      <c r="AB366" s="3" t="s">
        <v>29</v>
      </c>
      <c r="AC366" s="3" t="s">
        <v>664</v>
      </c>
      <c r="AD366" s="3" t="s">
        <v>55</v>
      </c>
      <c r="AE366" s="3" t="s">
        <v>31</v>
      </c>
      <c r="AF366" s="3" t="s">
        <v>664</v>
      </c>
      <c r="AG366" s="3" t="s">
        <v>39</v>
      </c>
    </row>
    <row r="367" spans="1:33">
      <c r="A367" s="1">
        <v>45208.404312858795</v>
      </c>
      <c r="B367" s="3" t="s">
        <v>1024</v>
      </c>
      <c r="C367" s="2">
        <v>34906</v>
      </c>
      <c r="D367" s="3">
        <v>28</v>
      </c>
      <c r="E367" s="3" t="s">
        <v>510</v>
      </c>
      <c r="F367" s="3" t="s">
        <v>532</v>
      </c>
      <c r="G367" s="3" t="s">
        <v>537</v>
      </c>
      <c r="H367" s="2">
        <v>43748</v>
      </c>
      <c r="I367" s="3">
        <v>1</v>
      </c>
      <c r="J367" s="3" t="s">
        <v>542</v>
      </c>
      <c r="K367" s="3" t="s">
        <v>1219</v>
      </c>
      <c r="L367" s="3">
        <v>38</v>
      </c>
      <c r="M367" s="3">
        <v>70</v>
      </c>
      <c r="N367" s="3">
        <v>75</v>
      </c>
      <c r="O367" s="3">
        <v>154</v>
      </c>
      <c r="P367" s="3" t="s">
        <v>25</v>
      </c>
      <c r="Q367" s="3" t="s">
        <v>26</v>
      </c>
      <c r="S367" s="3" t="s">
        <v>664</v>
      </c>
      <c r="T367" s="3" t="s">
        <v>79</v>
      </c>
      <c r="U367" s="3">
        <v>7</v>
      </c>
      <c r="V367" s="3">
        <v>1</v>
      </c>
      <c r="W367" s="3" t="s">
        <v>26</v>
      </c>
      <c r="AA367" s="3" t="s">
        <v>42</v>
      </c>
      <c r="AB367" s="3" t="s">
        <v>29</v>
      </c>
      <c r="AC367" s="3" t="s">
        <v>664</v>
      </c>
      <c r="AD367" s="3" t="s">
        <v>55</v>
      </c>
      <c r="AE367" s="3" t="s">
        <v>72</v>
      </c>
      <c r="AF367" s="3" t="s">
        <v>664</v>
      </c>
      <c r="AG367" s="3" t="s">
        <v>48</v>
      </c>
    </row>
    <row r="368" spans="1:33">
      <c r="A368" s="1">
        <v>45208.404521006945</v>
      </c>
      <c r="B368" s="3" t="s">
        <v>1024</v>
      </c>
      <c r="C368" s="2">
        <v>32879</v>
      </c>
      <c r="D368" s="3">
        <v>33</v>
      </c>
      <c r="E368" s="3" t="s">
        <v>510</v>
      </c>
      <c r="F368" s="3" t="s">
        <v>531</v>
      </c>
      <c r="G368" s="3" t="s">
        <v>539</v>
      </c>
      <c r="H368" s="2">
        <v>44881</v>
      </c>
      <c r="I368" s="3">
        <v>1</v>
      </c>
      <c r="J368" s="3" t="s">
        <v>542</v>
      </c>
      <c r="K368" s="3">
        <v>3365</v>
      </c>
      <c r="L368" s="3">
        <v>39</v>
      </c>
      <c r="M368" s="3">
        <v>63</v>
      </c>
      <c r="N368" s="3">
        <v>90</v>
      </c>
      <c r="O368" s="3">
        <v>163</v>
      </c>
      <c r="P368" s="3" t="s">
        <v>50</v>
      </c>
      <c r="Q368" s="3" t="s">
        <v>26</v>
      </c>
      <c r="S368" s="3" t="s">
        <v>664</v>
      </c>
      <c r="T368" s="3" t="s">
        <v>285</v>
      </c>
      <c r="U368" s="3">
        <v>7</v>
      </c>
      <c r="V368" s="3">
        <v>1</v>
      </c>
      <c r="W368" s="3" t="s">
        <v>26</v>
      </c>
      <c r="AA368" s="3" t="s">
        <v>28</v>
      </c>
      <c r="AB368" s="3" t="s">
        <v>29</v>
      </c>
      <c r="AC368" s="3" t="s">
        <v>664</v>
      </c>
      <c r="AD368" s="3" t="s">
        <v>55</v>
      </c>
      <c r="AE368" s="3" t="s">
        <v>38</v>
      </c>
      <c r="AF368" s="3" t="s">
        <v>664</v>
      </c>
      <c r="AG368" s="3" t="s">
        <v>32</v>
      </c>
    </row>
    <row r="369" spans="1:33">
      <c r="A369" s="1">
        <v>45208.412551597226</v>
      </c>
      <c r="B369" s="3" t="s">
        <v>1024</v>
      </c>
      <c r="C369" s="2">
        <v>34727</v>
      </c>
      <c r="D369" s="3">
        <v>28</v>
      </c>
      <c r="E369" s="3" t="s">
        <v>510</v>
      </c>
      <c r="F369" s="3" t="s">
        <v>522</v>
      </c>
      <c r="G369" s="3" t="s">
        <v>538</v>
      </c>
      <c r="H369" s="2">
        <v>44862</v>
      </c>
      <c r="I369" s="3">
        <v>1</v>
      </c>
      <c r="J369" s="3" t="s">
        <v>541</v>
      </c>
      <c r="K369" s="3">
        <v>4300</v>
      </c>
      <c r="L369" s="3" t="s">
        <v>754</v>
      </c>
      <c r="M369" s="3">
        <v>95</v>
      </c>
      <c r="N369" s="3">
        <v>105</v>
      </c>
      <c r="O369" s="3">
        <v>168</v>
      </c>
      <c r="P369" s="3" t="s">
        <v>33</v>
      </c>
      <c r="Q369" s="3" t="s">
        <v>26</v>
      </c>
      <c r="S369" s="3" t="s">
        <v>664</v>
      </c>
      <c r="T369" s="3" t="s">
        <v>79</v>
      </c>
      <c r="U369" s="3">
        <v>7</v>
      </c>
      <c r="V369" s="3">
        <v>1</v>
      </c>
      <c r="W369" s="3" t="s">
        <v>34</v>
      </c>
      <c r="X369" s="3" t="s">
        <v>286</v>
      </c>
      <c r="Y369" s="3">
        <v>3</v>
      </c>
      <c r="Z369" s="3">
        <v>1</v>
      </c>
      <c r="AA369" s="3" t="s">
        <v>49</v>
      </c>
      <c r="AB369" s="3" t="s">
        <v>29</v>
      </c>
      <c r="AC369" s="3" t="s">
        <v>664</v>
      </c>
      <c r="AD369" s="3" t="s">
        <v>55</v>
      </c>
      <c r="AE369" s="3" t="s">
        <v>31</v>
      </c>
      <c r="AF369" s="3" t="s">
        <v>664</v>
      </c>
      <c r="AG369" s="3" t="s">
        <v>32</v>
      </c>
    </row>
    <row r="370" spans="1:33">
      <c r="A370" s="1">
        <v>45208.417780532407</v>
      </c>
      <c r="B370" s="3" t="s">
        <v>1024</v>
      </c>
      <c r="C370" s="2">
        <v>33676</v>
      </c>
      <c r="D370" s="3">
        <v>31</v>
      </c>
      <c r="E370" s="3" t="s">
        <v>510</v>
      </c>
      <c r="F370" s="3" t="s">
        <v>520</v>
      </c>
      <c r="G370" s="3" t="s">
        <v>540</v>
      </c>
      <c r="H370" s="2">
        <v>44804</v>
      </c>
      <c r="I370" s="3">
        <v>2</v>
      </c>
      <c r="J370" s="3" t="s">
        <v>542</v>
      </c>
      <c r="K370" s="3">
        <v>3580</v>
      </c>
      <c r="L370" s="3" t="s">
        <v>697</v>
      </c>
      <c r="M370" s="3">
        <v>85</v>
      </c>
      <c r="N370" s="3">
        <v>99</v>
      </c>
      <c r="O370" s="3">
        <v>162</v>
      </c>
      <c r="P370" s="3" t="s">
        <v>33</v>
      </c>
      <c r="Q370" s="3" t="s">
        <v>26</v>
      </c>
      <c r="S370" s="3" t="s">
        <v>664</v>
      </c>
      <c r="T370" s="3" t="s">
        <v>27</v>
      </c>
      <c r="U370" s="3">
        <v>7</v>
      </c>
      <c r="V370" s="3">
        <v>1</v>
      </c>
      <c r="W370" s="3" t="s">
        <v>34</v>
      </c>
      <c r="X370" s="3" t="s">
        <v>58</v>
      </c>
      <c r="Y370" s="3">
        <v>7</v>
      </c>
      <c r="Z370" s="3">
        <v>1</v>
      </c>
      <c r="AA370" s="3" t="s">
        <v>28</v>
      </c>
      <c r="AB370" s="3" t="s">
        <v>29</v>
      </c>
      <c r="AC370" s="3" t="s">
        <v>664</v>
      </c>
      <c r="AD370" s="3" t="s">
        <v>55</v>
      </c>
      <c r="AE370" s="3" t="s">
        <v>31</v>
      </c>
      <c r="AF370" s="3" t="s">
        <v>664</v>
      </c>
      <c r="AG370" s="3" t="s">
        <v>32</v>
      </c>
    </row>
    <row r="371" spans="1:33">
      <c r="A371" s="1">
        <v>45208.420673356479</v>
      </c>
      <c r="B371" s="3" t="s">
        <v>1024</v>
      </c>
      <c r="C371" s="2">
        <v>34831</v>
      </c>
      <c r="D371" s="3">
        <v>28</v>
      </c>
      <c r="E371" s="3" t="s">
        <v>510</v>
      </c>
      <c r="F371" s="3" t="s">
        <v>520</v>
      </c>
      <c r="G371" s="3" t="s">
        <v>540</v>
      </c>
      <c r="H371" s="2">
        <v>44362</v>
      </c>
      <c r="I371" s="3">
        <v>1</v>
      </c>
      <c r="J371" s="3" t="s">
        <v>542</v>
      </c>
      <c r="K371" s="3">
        <v>3300</v>
      </c>
      <c r="L371" s="3" t="s">
        <v>695</v>
      </c>
      <c r="M371" s="3">
        <v>58</v>
      </c>
      <c r="N371" s="3">
        <v>68</v>
      </c>
      <c r="O371" s="3">
        <v>155</v>
      </c>
      <c r="P371" s="3" t="s">
        <v>33</v>
      </c>
      <c r="Q371" s="3" t="s">
        <v>26</v>
      </c>
      <c r="S371" s="3" t="s">
        <v>664</v>
      </c>
      <c r="T371" s="3" t="s">
        <v>43</v>
      </c>
      <c r="U371" s="3">
        <v>7</v>
      </c>
      <c r="V371" s="3">
        <v>1</v>
      </c>
      <c r="W371" s="3" t="s">
        <v>34</v>
      </c>
      <c r="X371" s="3" t="s">
        <v>287</v>
      </c>
      <c r="Y371" s="3">
        <v>7</v>
      </c>
      <c r="Z371" s="3">
        <v>1</v>
      </c>
      <c r="AA371" s="3" t="s">
        <v>28</v>
      </c>
      <c r="AB371" s="3" t="s">
        <v>29</v>
      </c>
      <c r="AC371" s="3" t="s">
        <v>664</v>
      </c>
      <c r="AD371" s="3" t="s">
        <v>30</v>
      </c>
      <c r="AE371" s="3" t="s">
        <v>31</v>
      </c>
      <c r="AF371" s="3" t="s">
        <v>664</v>
      </c>
      <c r="AG371" s="3" t="s">
        <v>94</v>
      </c>
    </row>
    <row r="372" spans="1:33">
      <c r="A372" s="1">
        <v>45208.434556539352</v>
      </c>
      <c r="B372" s="3" t="s">
        <v>1024</v>
      </c>
      <c r="C372" s="2">
        <v>31981</v>
      </c>
      <c r="D372" s="3">
        <v>36</v>
      </c>
      <c r="E372" s="3" t="s">
        <v>510</v>
      </c>
      <c r="F372" s="3" t="s">
        <v>520</v>
      </c>
      <c r="G372" s="3" t="s">
        <v>539</v>
      </c>
      <c r="H372" s="2">
        <v>44928</v>
      </c>
      <c r="I372" s="3">
        <v>3</v>
      </c>
      <c r="J372" s="3" t="s">
        <v>542</v>
      </c>
      <c r="K372" s="3">
        <v>3690</v>
      </c>
      <c r="L372" s="3">
        <v>41</v>
      </c>
      <c r="M372" s="3">
        <v>93</v>
      </c>
      <c r="N372" s="3">
        <v>88</v>
      </c>
      <c r="O372" s="3">
        <v>160</v>
      </c>
      <c r="P372" s="3" t="s">
        <v>33</v>
      </c>
      <c r="Q372" s="3" t="s">
        <v>26</v>
      </c>
      <c r="S372" s="3" t="s">
        <v>26</v>
      </c>
      <c r="W372" s="3" t="s">
        <v>26</v>
      </c>
      <c r="AA372" s="3" t="s">
        <v>51</v>
      </c>
      <c r="AB372" s="3" t="s">
        <v>288</v>
      </c>
      <c r="AC372" s="3" t="s">
        <v>664</v>
      </c>
      <c r="AD372" s="3" t="s">
        <v>37</v>
      </c>
      <c r="AE372" s="3" t="s">
        <v>31</v>
      </c>
      <c r="AF372" s="3" t="s">
        <v>664</v>
      </c>
      <c r="AG372" s="3" t="s">
        <v>62</v>
      </c>
    </row>
    <row r="373" spans="1:33">
      <c r="A373" s="1">
        <v>45208.472510335647</v>
      </c>
      <c r="B373" s="3" t="s">
        <v>1024</v>
      </c>
      <c r="C373" s="2">
        <v>32505</v>
      </c>
      <c r="D373" s="3">
        <v>34</v>
      </c>
      <c r="E373" s="3" t="s">
        <v>510</v>
      </c>
      <c r="F373" s="3" t="s">
        <v>522</v>
      </c>
      <c r="G373" s="3" t="s">
        <v>539</v>
      </c>
      <c r="H373" s="2">
        <v>43643</v>
      </c>
      <c r="I373" s="3">
        <v>2</v>
      </c>
      <c r="J373" s="3" t="s">
        <v>542</v>
      </c>
      <c r="K373" s="3">
        <v>3650</v>
      </c>
      <c r="L373" s="3">
        <v>37</v>
      </c>
      <c r="M373" s="3">
        <v>91</v>
      </c>
      <c r="N373" s="3">
        <v>110</v>
      </c>
      <c r="O373" s="3">
        <v>165</v>
      </c>
      <c r="P373" s="3" t="s">
        <v>25</v>
      </c>
      <c r="Q373" s="3" t="s">
        <v>26</v>
      </c>
      <c r="S373" s="3" t="s">
        <v>664</v>
      </c>
      <c r="T373" s="3" t="s">
        <v>79</v>
      </c>
      <c r="U373" s="3">
        <v>7</v>
      </c>
      <c r="V373" s="3">
        <v>1</v>
      </c>
      <c r="W373" s="3" t="s">
        <v>26</v>
      </c>
      <c r="X373" s="3" t="s">
        <v>289</v>
      </c>
      <c r="Y373" s="3">
        <v>7</v>
      </c>
      <c r="Z373" s="3">
        <v>1</v>
      </c>
      <c r="AA373" s="3" t="s">
        <v>49</v>
      </c>
      <c r="AB373" s="3" t="s">
        <v>122</v>
      </c>
      <c r="AC373" s="3" t="s">
        <v>664</v>
      </c>
      <c r="AD373" s="3" t="s">
        <v>55</v>
      </c>
      <c r="AE373" s="3" t="s">
        <v>72</v>
      </c>
      <c r="AF373" s="3" t="s">
        <v>664</v>
      </c>
      <c r="AG373" s="3" t="s">
        <v>32</v>
      </c>
    </row>
    <row r="374" spans="1:33">
      <c r="A374" s="1">
        <v>45208.524136921296</v>
      </c>
      <c r="B374" s="3" t="s">
        <v>1024</v>
      </c>
      <c r="C374" s="2">
        <v>35072</v>
      </c>
      <c r="D374" s="3">
        <v>27</v>
      </c>
      <c r="E374" s="3" t="s">
        <v>510</v>
      </c>
      <c r="F374" s="3" t="s">
        <v>529</v>
      </c>
      <c r="G374" s="3" t="s">
        <v>539</v>
      </c>
      <c r="H374" s="2">
        <v>44927</v>
      </c>
      <c r="I374" s="3">
        <v>2</v>
      </c>
      <c r="J374" s="3" t="s">
        <v>541</v>
      </c>
      <c r="K374" s="3" t="s">
        <v>1064</v>
      </c>
      <c r="L374" s="3">
        <v>38</v>
      </c>
      <c r="M374" s="3">
        <v>57</v>
      </c>
      <c r="N374" s="3">
        <v>85</v>
      </c>
      <c r="O374" s="3">
        <v>165</v>
      </c>
      <c r="P374" s="3" t="s">
        <v>33</v>
      </c>
      <c r="Q374" s="3" t="s">
        <v>26</v>
      </c>
      <c r="S374" s="3" t="s">
        <v>664</v>
      </c>
      <c r="T374" s="3" t="s">
        <v>79</v>
      </c>
      <c r="U374" s="3">
        <v>7</v>
      </c>
      <c r="V374" s="3">
        <v>1</v>
      </c>
      <c r="W374" s="3" t="s">
        <v>34</v>
      </c>
      <c r="X374" s="3" t="s">
        <v>290</v>
      </c>
      <c r="Y374" s="3">
        <v>7</v>
      </c>
      <c r="Z374" s="3">
        <v>1</v>
      </c>
      <c r="AA374" s="3" t="s">
        <v>49</v>
      </c>
      <c r="AB374" s="3" t="s">
        <v>189</v>
      </c>
      <c r="AC374" s="3" t="s">
        <v>664</v>
      </c>
      <c r="AD374" s="3" t="s">
        <v>30</v>
      </c>
      <c r="AE374" s="3" t="s">
        <v>38</v>
      </c>
      <c r="AF374" s="3" t="s">
        <v>664</v>
      </c>
      <c r="AG374" s="3" t="s">
        <v>48</v>
      </c>
    </row>
    <row r="375" spans="1:33">
      <c r="A375" s="1">
        <v>45208.524230034724</v>
      </c>
      <c r="B375" s="3" t="s">
        <v>1024</v>
      </c>
      <c r="C375" s="2">
        <v>30913</v>
      </c>
      <c r="D375" s="3">
        <v>39</v>
      </c>
      <c r="E375" s="3" t="s">
        <v>510</v>
      </c>
      <c r="F375" s="3" t="s">
        <v>520</v>
      </c>
      <c r="G375" s="3" t="s">
        <v>539</v>
      </c>
      <c r="H375" s="2">
        <v>43768</v>
      </c>
      <c r="I375" s="3">
        <v>1</v>
      </c>
      <c r="J375" s="3" t="s">
        <v>541</v>
      </c>
      <c r="K375" s="3">
        <v>4110</v>
      </c>
      <c r="L375" s="3" t="s">
        <v>755</v>
      </c>
      <c r="M375" s="3">
        <v>65</v>
      </c>
      <c r="N375" s="3">
        <v>75</v>
      </c>
      <c r="O375" s="3">
        <v>169</v>
      </c>
      <c r="P375" s="3" t="s">
        <v>33</v>
      </c>
      <c r="Q375" s="3" t="s">
        <v>26</v>
      </c>
      <c r="S375" s="3" t="s">
        <v>26</v>
      </c>
      <c r="T375" s="3" t="s">
        <v>121</v>
      </c>
      <c r="W375" s="3" t="s">
        <v>26</v>
      </c>
      <c r="AA375" s="3" t="s">
        <v>51</v>
      </c>
      <c r="AB375" s="3" t="s">
        <v>291</v>
      </c>
      <c r="AC375" s="3" t="s">
        <v>664</v>
      </c>
      <c r="AD375" s="3" t="s">
        <v>30</v>
      </c>
      <c r="AE375" s="3" t="s">
        <v>72</v>
      </c>
      <c r="AF375" s="3" t="s">
        <v>664</v>
      </c>
      <c r="AG375" s="3" t="s">
        <v>48</v>
      </c>
    </row>
    <row r="376" spans="1:33">
      <c r="A376" s="1">
        <v>45208.540305636576</v>
      </c>
      <c r="B376" s="3" t="s">
        <v>1024</v>
      </c>
      <c r="C376" s="2">
        <v>34656</v>
      </c>
      <c r="D376" s="3">
        <v>28</v>
      </c>
      <c r="E376" s="3" t="s">
        <v>510</v>
      </c>
      <c r="F376" s="3" t="s">
        <v>529</v>
      </c>
      <c r="G376" s="3" t="s">
        <v>539</v>
      </c>
      <c r="H376" s="2">
        <v>45130</v>
      </c>
      <c r="I376" s="3">
        <v>1</v>
      </c>
      <c r="J376" s="3" t="s">
        <v>542</v>
      </c>
      <c r="K376" s="3" t="s">
        <v>1220</v>
      </c>
      <c r="L376" s="3" t="s">
        <v>756</v>
      </c>
      <c r="M376" s="3">
        <v>66.099999999999994</v>
      </c>
      <c r="N376" s="3">
        <v>79</v>
      </c>
      <c r="O376" s="3">
        <v>156.5</v>
      </c>
      <c r="P376" s="3" t="s">
        <v>33</v>
      </c>
      <c r="Q376" s="3" t="s">
        <v>26</v>
      </c>
      <c r="S376" s="3" t="s">
        <v>664</v>
      </c>
      <c r="T376" s="3" t="s">
        <v>56</v>
      </c>
      <c r="U376" s="3">
        <v>7</v>
      </c>
      <c r="V376" s="3">
        <v>1</v>
      </c>
      <c r="W376" s="3" t="s">
        <v>34</v>
      </c>
      <c r="X376" s="3" t="s">
        <v>58</v>
      </c>
      <c r="Y376" s="3">
        <v>7</v>
      </c>
      <c r="Z376" s="3">
        <v>1</v>
      </c>
      <c r="AA376" s="3" t="s">
        <v>28</v>
      </c>
      <c r="AB376" s="3" t="s">
        <v>29</v>
      </c>
      <c r="AC376" s="3" t="s">
        <v>664</v>
      </c>
      <c r="AD376" s="3" t="s">
        <v>30</v>
      </c>
      <c r="AE376" s="3" t="s">
        <v>38</v>
      </c>
      <c r="AF376" s="3" t="s">
        <v>664</v>
      </c>
      <c r="AG376" s="3" t="s">
        <v>32</v>
      </c>
    </row>
    <row r="377" spans="1:33">
      <c r="A377" s="1">
        <v>45208.573650092592</v>
      </c>
      <c r="B377" s="3" t="s">
        <v>1024</v>
      </c>
      <c r="C377" s="2">
        <v>30203</v>
      </c>
      <c r="D377" s="3">
        <v>41</v>
      </c>
      <c r="E377" s="3" t="s">
        <v>510</v>
      </c>
      <c r="F377" s="3" t="s">
        <v>520</v>
      </c>
      <c r="G377" s="3" t="s">
        <v>539</v>
      </c>
      <c r="H377" s="2">
        <v>44743</v>
      </c>
      <c r="I377" s="3">
        <v>5</v>
      </c>
      <c r="J377" s="3" t="s">
        <v>542</v>
      </c>
      <c r="K377" s="3" t="s">
        <v>1221</v>
      </c>
      <c r="L377" s="3" t="s">
        <v>757</v>
      </c>
      <c r="M377" s="3">
        <v>70</v>
      </c>
      <c r="N377" s="3" t="s">
        <v>1222</v>
      </c>
      <c r="O377" s="3">
        <v>160</v>
      </c>
      <c r="P377" s="3" t="s">
        <v>33</v>
      </c>
      <c r="Q377" s="3" t="s">
        <v>26</v>
      </c>
      <c r="S377" s="3" t="s">
        <v>664</v>
      </c>
      <c r="T377" s="3" t="s">
        <v>43</v>
      </c>
      <c r="U377" s="3">
        <v>7</v>
      </c>
      <c r="V377" s="3">
        <v>1</v>
      </c>
      <c r="W377" s="3" t="s">
        <v>34</v>
      </c>
      <c r="Y377" s="3">
        <v>7</v>
      </c>
      <c r="Z377" s="3">
        <v>1</v>
      </c>
      <c r="AA377" s="3" t="s">
        <v>49</v>
      </c>
      <c r="AB377" s="3" t="s">
        <v>29</v>
      </c>
      <c r="AC377" s="3" t="s">
        <v>664</v>
      </c>
      <c r="AD377" s="3" t="s">
        <v>30</v>
      </c>
      <c r="AE377" s="3" t="s">
        <v>38</v>
      </c>
      <c r="AF377" s="3" t="s">
        <v>664</v>
      </c>
      <c r="AG377" s="3" t="s">
        <v>48</v>
      </c>
    </row>
    <row r="378" spans="1:33">
      <c r="A378" s="1">
        <v>45208.590702291665</v>
      </c>
      <c r="B378" s="3" t="s">
        <v>1024</v>
      </c>
      <c r="C378" s="2">
        <v>33538</v>
      </c>
      <c r="D378" s="3">
        <v>32</v>
      </c>
      <c r="E378" s="3" t="s">
        <v>510</v>
      </c>
      <c r="F378" s="3" t="s">
        <v>530</v>
      </c>
      <c r="G378" s="3" t="s">
        <v>539</v>
      </c>
      <c r="H378" s="2">
        <v>44341</v>
      </c>
      <c r="I378" s="3">
        <v>1</v>
      </c>
      <c r="J378" s="3" t="s">
        <v>541</v>
      </c>
      <c r="K378" s="3">
        <v>3750</v>
      </c>
      <c r="L378" s="3" t="s">
        <v>616</v>
      </c>
      <c r="M378" s="3">
        <v>54</v>
      </c>
      <c r="N378" s="3">
        <v>62</v>
      </c>
      <c r="O378" s="3">
        <v>154</v>
      </c>
      <c r="P378" s="3" t="s">
        <v>33</v>
      </c>
      <c r="Q378" s="3" t="s">
        <v>26</v>
      </c>
      <c r="S378" s="3" t="s">
        <v>664</v>
      </c>
      <c r="T378" s="3" t="s">
        <v>43</v>
      </c>
      <c r="U378" s="3">
        <v>6</v>
      </c>
      <c r="V378" s="3">
        <v>1</v>
      </c>
      <c r="W378" s="3" t="s">
        <v>34</v>
      </c>
      <c r="X378" s="3" t="s">
        <v>292</v>
      </c>
      <c r="Y378" s="3">
        <v>4</v>
      </c>
      <c r="Z378" s="3">
        <v>1</v>
      </c>
      <c r="AA378" s="3" t="s">
        <v>228</v>
      </c>
      <c r="AB378" s="3" t="s">
        <v>293</v>
      </c>
      <c r="AC378" s="3" t="s">
        <v>664</v>
      </c>
      <c r="AD378" s="3" t="s">
        <v>55</v>
      </c>
      <c r="AE378" s="3" t="s">
        <v>72</v>
      </c>
      <c r="AF378" s="3" t="s">
        <v>664</v>
      </c>
      <c r="AG378" s="3" t="s">
        <v>32</v>
      </c>
    </row>
    <row r="379" spans="1:33">
      <c r="A379" s="1">
        <v>45208.590739155094</v>
      </c>
      <c r="B379" s="3" t="s">
        <v>1024</v>
      </c>
      <c r="C379" s="2">
        <v>33358</v>
      </c>
      <c r="D379" s="3">
        <v>32</v>
      </c>
      <c r="E379" s="3" t="s">
        <v>510</v>
      </c>
      <c r="F379" s="3" t="s">
        <v>527</v>
      </c>
      <c r="G379" s="3" t="s">
        <v>539</v>
      </c>
      <c r="H379" s="2">
        <v>45145</v>
      </c>
      <c r="I379" s="3">
        <v>1</v>
      </c>
      <c r="J379" s="3" t="s">
        <v>541</v>
      </c>
      <c r="K379" s="3">
        <v>3620</v>
      </c>
      <c r="L379" s="3">
        <v>40</v>
      </c>
      <c r="M379" s="3">
        <v>56</v>
      </c>
      <c r="N379" s="3" t="s">
        <v>1223</v>
      </c>
      <c r="O379" s="3">
        <v>162</v>
      </c>
      <c r="P379" s="3" t="s">
        <v>44</v>
      </c>
      <c r="Q379" s="3" t="s">
        <v>26</v>
      </c>
      <c r="S379" s="3" t="s">
        <v>664</v>
      </c>
      <c r="T379" s="3" t="s">
        <v>57</v>
      </c>
      <c r="U379" s="3">
        <v>7</v>
      </c>
      <c r="V379" s="3">
        <v>1</v>
      </c>
      <c r="W379" s="3" t="s">
        <v>34</v>
      </c>
      <c r="X379" s="3" t="s">
        <v>294</v>
      </c>
      <c r="Y379" s="3">
        <v>7</v>
      </c>
      <c r="Z379" s="3">
        <v>1</v>
      </c>
      <c r="AA379" s="3" t="s">
        <v>42</v>
      </c>
      <c r="AB379" s="3" t="s">
        <v>29</v>
      </c>
      <c r="AC379" s="3" t="s">
        <v>664</v>
      </c>
      <c r="AD379" s="3" t="s">
        <v>37</v>
      </c>
      <c r="AE379" s="3" t="s">
        <v>31</v>
      </c>
      <c r="AF379" s="3" t="s">
        <v>664</v>
      </c>
      <c r="AG379" s="3" t="s">
        <v>62</v>
      </c>
    </row>
    <row r="380" spans="1:33">
      <c r="A380" s="1">
        <v>45208.601662835645</v>
      </c>
      <c r="B380" s="3" t="s">
        <v>1024</v>
      </c>
      <c r="C380" s="2">
        <v>35471</v>
      </c>
      <c r="D380" s="3">
        <v>26</v>
      </c>
      <c r="E380" s="3" t="s">
        <v>510</v>
      </c>
      <c r="F380" s="3" t="s">
        <v>527</v>
      </c>
      <c r="G380" s="3" t="s">
        <v>539</v>
      </c>
      <c r="H380" s="2">
        <v>45161</v>
      </c>
      <c r="I380" s="3">
        <v>3</v>
      </c>
      <c r="J380" s="3" t="s">
        <v>541</v>
      </c>
      <c r="K380" s="3">
        <v>3010</v>
      </c>
      <c r="L380" s="3">
        <v>39</v>
      </c>
      <c r="M380" s="3">
        <v>48</v>
      </c>
      <c r="N380" s="3">
        <v>56</v>
      </c>
      <c r="O380" s="3">
        <v>151</v>
      </c>
      <c r="P380" s="3" t="s">
        <v>33</v>
      </c>
      <c r="Q380" s="3" t="s">
        <v>26</v>
      </c>
      <c r="S380" s="3" t="s">
        <v>664</v>
      </c>
      <c r="T380" s="3" t="s">
        <v>81</v>
      </c>
      <c r="U380" s="3">
        <v>7</v>
      </c>
      <c r="V380" s="3">
        <v>1</v>
      </c>
      <c r="W380" s="3" t="s">
        <v>34</v>
      </c>
      <c r="X380" s="3" t="s">
        <v>35</v>
      </c>
      <c r="Y380" s="3">
        <v>7</v>
      </c>
      <c r="Z380" s="3">
        <v>1</v>
      </c>
      <c r="AA380" s="3" t="s">
        <v>49</v>
      </c>
      <c r="AB380" s="3" t="s">
        <v>83</v>
      </c>
      <c r="AC380" s="3" t="s">
        <v>664</v>
      </c>
      <c r="AD380" s="3" t="s">
        <v>37</v>
      </c>
      <c r="AE380" s="3" t="s">
        <v>31</v>
      </c>
      <c r="AF380" s="3" t="s">
        <v>664</v>
      </c>
      <c r="AG380" s="3" t="s">
        <v>48</v>
      </c>
    </row>
    <row r="381" spans="1:33">
      <c r="A381" s="1">
        <v>45208.622864340279</v>
      </c>
      <c r="B381" s="3" t="s">
        <v>1024</v>
      </c>
      <c r="C381" s="2">
        <v>33165</v>
      </c>
      <c r="D381" s="3">
        <v>32</v>
      </c>
      <c r="E381" s="3" t="s">
        <v>510</v>
      </c>
      <c r="F381" s="3" t="s">
        <v>520</v>
      </c>
      <c r="G381" s="3" t="s">
        <v>540</v>
      </c>
      <c r="H381" s="2">
        <v>45000</v>
      </c>
      <c r="I381" s="3">
        <v>1</v>
      </c>
      <c r="J381" s="3" t="s">
        <v>542</v>
      </c>
      <c r="K381" s="3" t="s">
        <v>1224</v>
      </c>
      <c r="L381" s="3" t="s">
        <v>758</v>
      </c>
      <c r="M381" s="3">
        <v>60</v>
      </c>
      <c r="N381" s="3">
        <v>86</v>
      </c>
      <c r="O381" s="3">
        <v>1.57</v>
      </c>
      <c r="P381" s="3" t="s">
        <v>295</v>
      </c>
      <c r="Q381" s="3" t="s">
        <v>26</v>
      </c>
      <c r="S381" s="3" t="s">
        <v>664</v>
      </c>
      <c r="T381" s="3" t="s">
        <v>43</v>
      </c>
      <c r="U381" s="3">
        <v>7</v>
      </c>
      <c r="V381" s="3">
        <v>1</v>
      </c>
      <c r="W381" s="3" t="s">
        <v>26</v>
      </c>
      <c r="AA381" s="3" t="s">
        <v>28</v>
      </c>
      <c r="AB381" s="3" t="s">
        <v>185</v>
      </c>
      <c r="AC381" s="3" t="s">
        <v>664</v>
      </c>
      <c r="AD381" s="3" t="s">
        <v>30</v>
      </c>
      <c r="AE381" s="3" t="s">
        <v>72</v>
      </c>
      <c r="AF381" s="3" t="s">
        <v>664</v>
      </c>
      <c r="AG381" s="3" t="s">
        <v>32</v>
      </c>
    </row>
    <row r="382" spans="1:33">
      <c r="A382" s="1">
        <v>45208.624599710645</v>
      </c>
      <c r="B382" s="3" t="s">
        <v>1024</v>
      </c>
      <c r="C382" s="2">
        <v>30791</v>
      </c>
      <c r="D382" s="3">
        <v>39</v>
      </c>
      <c r="E382" s="3" t="s">
        <v>510</v>
      </c>
      <c r="F382" s="3" t="s">
        <v>521</v>
      </c>
      <c r="G382" s="3" t="s">
        <v>539</v>
      </c>
      <c r="H382" s="2">
        <v>43612</v>
      </c>
      <c r="I382" s="3">
        <v>2</v>
      </c>
      <c r="J382" s="3" t="s">
        <v>541</v>
      </c>
      <c r="K382" s="3">
        <v>3450</v>
      </c>
      <c r="L382" s="3" t="s">
        <v>616</v>
      </c>
      <c r="M382" s="3">
        <v>71</v>
      </c>
      <c r="N382" s="3">
        <v>81</v>
      </c>
      <c r="O382" s="3">
        <v>169</v>
      </c>
      <c r="P382" s="3" t="s">
        <v>33</v>
      </c>
      <c r="Q382" s="3" t="s">
        <v>26</v>
      </c>
      <c r="S382" s="3" t="s">
        <v>664</v>
      </c>
      <c r="T382" s="3" t="s">
        <v>57</v>
      </c>
      <c r="U382" s="3">
        <v>7</v>
      </c>
      <c r="V382" s="3">
        <v>1</v>
      </c>
      <c r="W382" s="3" t="s">
        <v>34</v>
      </c>
      <c r="X382" s="3" t="s">
        <v>97</v>
      </c>
      <c r="Y382" s="3">
        <v>7</v>
      </c>
      <c r="Z382" s="3">
        <v>1</v>
      </c>
      <c r="AA382" s="3" t="s">
        <v>49</v>
      </c>
      <c r="AB382" s="3" t="s">
        <v>29</v>
      </c>
      <c r="AC382" s="3" t="s">
        <v>664</v>
      </c>
      <c r="AD382" s="3" t="s">
        <v>55</v>
      </c>
      <c r="AE382" s="3" t="s">
        <v>72</v>
      </c>
      <c r="AF382" s="3" t="s">
        <v>664</v>
      </c>
      <c r="AG382" s="3" t="s">
        <v>32</v>
      </c>
    </row>
    <row r="383" spans="1:33">
      <c r="A383" s="1">
        <v>45208.626724641203</v>
      </c>
      <c r="B383" s="3" t="s">
        <v>1024</v>
      </c>
      <c r="C383" s="2">
        <v>32400</v>
      </c>
      <c r="D383" s="3">
        <v>35</v>
      </c>
      <c r="E383" s="3" t="s">
        <v>510</v>
      </c>
      <c r="F383" s="3" t="s">
        <v>525</v>
      </c>
      <c r="G383" s="3" t="s">
        <v>539</v>
      </c>
      <c r="H383" s="2">
        <v>44463</v>
      </c>
      <c r="I383" s="3">
        <v>2</v>
      </c>
      <c r="J383" s="3" t="s">
        <v>541</v>
      </c>
      <c r="K383" s="3">
        <v>1630</v>
      </c>
      <c r="L383" s="3" t="s">
        <v>759</v>
      </c>
      <c r="M383" s="3">
        <v>86</v>
      </c>
      <c r="N383" s="3">
        <v>86</v>
      </c>
      <c r="O383" s="3">
        <v>162</v>
      </c>
      <c r="P383" s="3" t="s">
        <v>25</v>
      </c>
      <c r="Q383" s="3" t="s">
        <v>26</v>
      </c>
      <c r="S383" s="3" t="s">
        <v>664</v>
      </c>
      <c r="T383" s="3" t="s">
        <v>79</v>
      </c>
      <c r="U383" s="3">
        <v>7</v>
      </c>
      <c r="V383" s="3">
        <v>1</v>
      </c>
      <c r="W383" s="3" t="s">
        <v>34</v>
      </c>
      <c r="X383" s="3" t="s">
        <v>760</v>
      </c>
      <c r="Y383" s="3">
        <v>7</v>
      </c>
      <c r="Z383" s="3">
        <v>1</v>
      </c>
      <c r="AA383" s="3" t="s">
        <v>49</v>
      </c>
      <c r="AB383" s="3" t="s">
        <v>29</v>
      </c>
      <c r="AC383" s="3" t="s">
        <v>664</v>
      </c>
      <c r="AD383" s="3" t="s">
        <v>30</v>
      </c>
      <c r="AE383" s="3" t="s">
        <v>38</v>
      </c>
      <c r="AF383" s="3" t="s">
        <v>664</v>
      </c>
      <c r="AG383" s="3" t="s">
        <v>32</v>
      </c>
    </row>
    <row r="384" spans="1:33">
      <c r="A384" s="1">
        <v>45208.628819641206</v>
      </c>
      <c r="B384" s="3" t="s">
        <v>1024</v>
      </c>
      <c r="C384" s="2">
        <v>32361</v>
      </c>
      <c r="D384" s="3">
        <v>35</v>
      </c>
      <c r="E384" s="3" t="s">
        <v>510</v>
      </c>
      <c r="F384" s="3" t="s">
        <v>520</v>
      </c>
      <c r="G384" s="3" t="s">
        <v>539</v>
      </c>
      <c r="H384" s="2">
        <v>44411</v>
      </c>
      <c r="I384" s="3">
        <v>3</v>
      </c>
      <c r="J384" s="3" t="s">
        <v>541</v>
      </c>
      <c r="K384" s="3">
        <v>3.65</v>
      </c>
      <c r="L384" s="3" t="s">
        <v>622</v>
      </c>
      <c r="M384" s="3">
        <v>64</v>
      </c>
      <c r="N384" s="3">
        <v>75</v>
      </c>
      <c r="O384" s="3">
        <v>160</v>
      </c>
      <c r="P384" s="3" t="s">
        <v>33</v>
      </c>
      <c r="Q384" s="3" t="s">
        <v>34</v>
      </c>
      <c r="R384" s="3" t="s">
        <v>296</v>
      </c>
      <c r="S384" s="3" t="s">
        <v>664</v>
      </c>
      <c r="T384" s="3" t="s">
        <v>27</v>
      </c>
      <c r="U384" s="3">
        <v>7</v>
      </c>
      <c r="V384" s="3">
        <v>1</v>
      </c>
      <c r="W384" s="3" t="s">
        <v>34</v>
      </c>
      <c r="X384" s="3" t="s">
        <v>58</v>
      </c>
      <c r="Y384" s="3">
        <v>7</v>
      </c>
      <c r="Z384" s="3">
        <v>1</v>
      </c>
      <c r="AA384" s="3" t="s">
        <v>42</v>
      </c>
      <c r="AB384" s="3" t="s">
        <v>29</v>
      </c>
      <c r="AC384" s="3" t="s">
        <v>664</v>
      </c>
      <c r="AD384" s="3" t="s">
        <v>30</v>
      </c>
      <c r="AE384" s="3" t="s">
        <v>31</v>
      </c>
      <c r="AF384" s="3" t="s">
        <v>664</v>
      </c>
      <c r="AG384" s="3" t="s">
        <v>39</v>
      </c>
    </row>
    <row r="385" spans="1:33">
      <c r="A385" s="1">
        <v>45208.658076956017</v>
      </c>
      <c r="B385" s="3" t="s">
        <v>1024</v>
      </c>
      <c r="C385" s="2">
        <v>32433</v>
      </c>
      <c r="D385" s="3">
        <v>35</v>
      </c>
      <c r="E385" s="3" t="s">
        <v>510</v>
      </c>
      <c r="F385" s="3" t="s">
        <v>520</v>
      </c>
      <c r="G385" s="3" t="s">
        <v>540</v>
      </c>
      <c r="H385" s="2">
        <v>44875</v>
      </c>
      <c r="I385" s="3">
        <v>1</v>
      </c>
      <c r="J385" s="3" t="s">
        <v>541</v>
      </c>
      <c r="K385" s="3" t="s">
        <v>1225</v>
      </c>
      <c r="L385" s="3" t="s">
        <v>757</v>
      </c>
      <c r="M385" s="3">
        <v>96</v>
      </c>
      <c r="N385" s="3">
        <v>121</v>
      </c>
      <c r="O385" s="3">
        <v>172</v>
      </c>
      <c r="P385" s="3" t="s">
        <v>25</v>
      </c>
      <c r="Q385" s="3" t="s">
        <v>26</v>
      </c>
      <c r="S385" s="3" t="s">
        <v>664</v>
      </c>
      <c r="T385" s="3" t="s">
        <v>41</v>
      </c>
      <c r="U385" s="3">
        <v>7</v>
      </c>
      <c r="V385" s="3">
        <v>1</v>
      </c>
      <c r="W385" s="3" t="s">
        <v>34</v>
      </c>
      <c r="X385" s="3" t="s">
        <v>58</v>
      </c>
      <c r="Y385" s="3">
        <v>7</v>
      </c>
      <c r="Z385" s="3">
        <v>1</v>
      </c>
      <c r="AA385" s="3" t="s">
        <v>42</v>
      </c>
      <c r="AB385" s="3" t="s">
        <v>29</v>
      </c>
      <c r="AC385" s="3" t="s">
        <v>664</v>
      </c>
      <c r="AD385" s="3" t="s">
        <v>37</v>
      </c>
      <c r="AE385" s="3" t="s">
        <v>87</v>
      </c>
      <c r="AF385" s="3" t="s">
        <v>664</v>
      </c>
      <c r="AG385" s="3" t="s">
        <v>32</v>
      </c>
    </row>
    <row r="386" spans="1:33">
      <c r="A386" s="1">
        <v>45208.671786331019</v>
      </c>
      <c r="B386" s="3" t="s">
        <v>1024</v>
      </c>
      <c r="C386" s="2">
        <v>30146</v>
      </c>
      <c r="D386" s="3">
        <v>41</v>
      </c>
      <c r="E386" s="3" t="s">
        <v>510</v>
      </c>
      <c r="F386" s="3" t="s">
        <v>524</v>
      </c>
      <c r="G386" s="3" t="s">
        <v>537</v>
      </c>
      <c r="H386" s="2">
        <v>44923</v>
      </c>
      <c r="I386" s="3">
        <v>3</v>
      </c>
      <c r="J386" s="3" t="s">
        <v>541</v>
      </c>
      <c r="K386" s="3">
        <v>3960</v>
      </c>
      <c r="L386" s="3">
        <v>37</v>
      </c>
      <c r="M386" s="3">
        <v>68</v>
      </c>
      <c r="N386" s="3">
        <v>80</v>
      </c>
      <c r="O386" s="3">
        <v>160</v>
      </c>
      <c r="P386" s="3" t="s">
        <v>33</v>
      </c>
      <c r="Q386" s="3" t="s">
        <v>26</v>
      </c>
      <c r="S386" s="3" t="s">
        <v>664</v>
      </c>
      <c r="T386" s="3" t="s">
        <v>57</v>
      </c>
      <c r="U386" s="3">
        <v>7</v>
      </c>
      <c r="V386" s="3">
        <v>1</v>
      </c>
      <c r="W386" s="3" t="s">
        <v>26</v>
      </c>
      <c r="AA386" s="3" t="s">
        <v>36</v>
      </c>
      <c r="AB386" s="3" t="s">
        <v>29</v>
      </c>
      <c r="AC386" s="3" t="s">
        <v>664</v>
      </c>
      <c r="AD386" s="3" t="s">
        <v>30</v>
      </c>
      <c r="AE386" s="3" t="s">
        <v>31</v>
      </c>
      <c r="AF386" s="3" t="s">
        <v>664</v>
      </c>
      <c r="AG386" s="3" t="s">
        <v>39</v>
      </c>
    </row>
    <row r="387" spans="1:33">
      <c r="A387" s="1">
        <v>45208.677957881941</v>
      </c>
      <c r="B387" s="3" t="s">
        <v>1024</v>
      </c>
      <c r="C387" s="2">
        <v>33137</v>
      </c>
      <c r="D387" s="3">
        <v>33</v>
      </c>
      <c r="E387" s="3" t="s">
        <v>510</v>
      </c>
      <c r="F387" s="3" t="s">
        <v>520</v>
      </c>
      <c r="G387" s="3" t="s">
        <v>539</v>
      </c>
      <c r="H387" s="2">
        <v>44860</v>
      </c>
      <c r="I387" s="3">
        <v>1</v>
      </c>
      <c r="J387" s="3" t="s">
        <v>542</v>
      </c>
      <c r="K387" s="3">
        <v>2888</v>
      </c>
      <c r="L387" s="3" t="s">
        <v>761</v>
      </c>
      <c r="M387" s="3">
        <v>80</v>
      </c>
      <c r="N387" s="3" t="s">
        <v>1051</v>
      </c>
      <c r="O387" s="3" t="s">
        <v>1226</v>
      </c>
      <c r="P387" s="3" t="s">
        <v>33</v>
      </c>
      <c r="Q387" s="3" t="s">
        <v>26</v>
      </c>
      <c r="S387" s="3" t="s">
        <v>664</v>
      </c>
      <c r="T387" s="3" t="s">
        <v>297</v>
      </c>
      <c r="U387" s="3">
        <v>7</v>
      </c>
      <c r="V387" s="3">
        <v>1</v>
      </c>
      <c r="W387" s="3" t="s">
        <v>34</v>
      </c>
      <c r="X387" s="3" t="s">
        <v>298</v>
      </c>
      <c r="Y387" s="3">
        <v>7</v>
      </c>
      <c r="Z387" s="3">
        <v>1</v>
      </c>
      <c r="AA387" s="3" t="s">
        <v>36</v>
      </c>
      <c r="AB387" s="3" t="s">
        <v>189</v>
      </c>
      <c r="AC387" s="3" t="s">
        <v>664</v>
      </c>
      <c r="AD387" s="3" t="s">
        <v>30</v>
      </c>
      <c r="AE387" s="3" t="s">
        <v>31</v>
      </c>
      <c r="AF387" s="3" t="s">
        <v>664</v>
      </c>
      <c r="AG387" s="3" t="s">
        <v>32</v>
      </c>
    </row>
    <row r="388" spans="1:33">
      <c r="A388" s="1">
        <v>45208.717465787035</v>
      </c>
      <c r="B388" s="3" t="s">
        <v>1024</v>
      </c>
      <c r="C388" s="2">
        <v>32017</v>
      </c>
      <c r="D388" s="3">
        <v>36</v>
      </c>
      <c r="E388" s="3" t="s">
        <v>510</v>
      </c>
      <c r="F388" s="3" t="s">
        <v>521</v>
      </c>
      <c r="G388" s="3" t="s">
        <v>540</v>
      </c>
      <c r="H388" s="2">
        <v>44791</v>
      </c>
      <c r="I388" s="3">
        <v>1</v>
      </c>
      <c r="J388" s="3" t="s">
        <v>541</v>
      </c>
      <c r="K388" s="3">
        <v>2740</v>
      </c>
      <c r="L388" s="3">
        <v>37</v>
      </c>
      <c r="M388" s="3">
        <v>58</v>
      </c>
      <c r="N388" s="3">
        <v>63</v>
      </c>
      <c r="O388" s="3">
        <v>158</v>
      </c>
      <c r="P388" s="3" t="s">
        <v>33</v>
      </c>
      <c r="Q388" s="3" t="s">
        <v>26</v>
      </c>
      <c r="S388" s="3" t="s">
        <v>664</v>
      </c>
      <c r="T388" s="3" t="s">
        <v>27</v>
      </c>
      <c r="U388" s="3">
        <v>7</v>
      </c>
      <c r="V388" s="3">
        <v>1</v>
      </c>
      <c r="W388" s="3" t="s">
        <v>34</v>
      </c>
      <c r="X388" s="3" t="s">
        <v>35</v>
      </c>
      <c r="Y388" s="3">
        <v>7</v>
      </c>
      <c r="Z388" s="3">
        <v>1</v>
      </c>
      <c r="AA388" s="3" t="s">
        <v>28</v>
      </c>
      <c r="AB388" s="3" t="s">
        <v>29</v>
      </c>
      <c r="AC388" s="3" t="s">
        <v>664</v>
      </c>
      <c r="AD388" s="3" t="s">
        <v>55</v>
      </c>
      <c r="AE388" s="3" t="s">
        <v>31</v>
      </c>
      <c r="AF388" s="3" t="s">
        <v>664</v>
      </c>
      <c r="AG388" s="3" t="s">
        <v>39</v>
      </c>
    </row>
    <row r="389" spans="1:33">
      <c r="A389" s="1">
        <v>45208.720637777777</v>
      </c>
      <c r="B389" s="3" t="s">
        <v>1024</v>
      </c>
      <c r="C389" s="2">
        <v>32020</v>
      </c>
      <c r="D389" s="3">
        <v>36</v>
      </c>
      <c r="E389" s="3" t="s">
        <v>510</v>
      </c>
      <c r="F389" s="3" t="s">
        <v>520</v>
      </c>
      <c r="G389" s="3" t="s">
        <v>539</v>
      </c>
      <c r="H389" s="2">
        <v>45096</v>
      </c>
      <c r="I389" s="3">
        <v>2</v>
      </c>
      <c r="J389" s="3" t="s">
        <v>542</v>
      </c>
      <c r="K389" s="3">
        <v>4237</v>
      </c>
      <c r="L389" s="3" t="s">
        <v>762</v>
      </c>
      <c r="M389" s="3">
        <v>114</v>
      </c>
      <c r="N389" s="3">
        <v>117</v>
      </c>
      <c r="O389" s="3">
        <v>164</v>
      </c>
      <c r="P389" s="3" t="s">
        <v>33</v>
      </c>
      <c r="Q389" s="3" t="s">
        <v>26</v>
      </c>
      <c r="S389" s="3" t="s">
        <v>664</v>
      </c>
      <c r="T389" s="3" t="s">
        <v>43</v>
      </c>
      <c r="U389" s="3">
        <v>7</v>
      </c>
      <c r="V389" s="3">
        <v>1</v>
      </c>
      <c r="W389" s="3" t="s">
        <v>34</v>
      </c>
      <c r="X389" s="3" t="s">
        <v>58</v>
      </c>
      <c r="Y389" s="3">
        <v>7</v>
      </c>
      <c r="Z389" s="3">
        <v>1</v>
      </c>
      <c r="AA389" s="3" t="s">
        <v>36</v>
      </c>
      <c r="AB389" s="3" t="s">
        <v>29</v>
      </c>
      <c r="AC389" s="3" t="s">
        <v>664</v>
      </c>
      <c r="AD389" s="3" t="s">
        <v>30</v>
      </c>
      <c r="AE389" s="3" t="s">
        <v>31</v>
      </c>
      <c r="AF389" s="3" t="s">
        <v>664</v>
      </c>
      <c r="AG389" s="3" t="s">
        <v>39</v>
      </c>
    </row>
    <row r="390" spans="1:33">
      <c r="A390" s="1">
        <v>45208.726090891199</v>
      </c>
      <c r="B390" s="3" t="s">
        <v>1024</v>
      </c>
      <c r="C390" s="2">
        <v>36495</v>
      </c>
      <c r="D390" s="3">
        <v>23</v>
      </c>
      <c r="E390" s="3" t="s">
        <v>510</v>
      </c>
      <c r="F390" s="3" t="s">
        <v>526</v>
      </c>
      <c r="G390" s="3" t="s">
        <v>538</v>
      </c>
      <c r="H390" s="2">
        <v>44994</v>
      </c>
      <c r="I390" s="3">
        <v>1</v>
      </c>
      <c r="J390" s="3" t="s">
        <v>541</v>
      </c>
      <c r="K390" s="3">
        <v>3430</v>
      </c>
      <c r="L390" s="3" t="s">
        <v>649</v>
      </c>
      <c r="M390" s="3">
        <v>62</v>
      </c>
      <c r="N390" s="3" t="s">
        <v>1227</v>
      </c>
      <c r="O390" s="3">
        <v>156</v>
      </c>
      <c r="P390" s="3" t="s">
        <v>50</v>
      </c>
      <c r="Q390" s="3" t="s">
        <v>26</v>
      </c>
      <c r="S390" s="3" t="s">
        <v>664</v>
      </c>
      <c r="T390" s="3" t="s">
        <v>79</v>
      </c>
      <c r="U390" s="3">
        <v>7</v>
      </c>
      <c r="V390" s="3">
        <v>1</v>
      </c>
      <c r="W390" s="3" t="s">
        <v>34</v>
      </c>
      <c r="X390" s="3" t="s">
        <v>299</v>
      </c>
      <c r="Y390" s="3">
        <v>7</v>
      </c>
      <c r="Z390" s="3">
        <v>1</v>
      </c>
      <c r="AA390" s="3" t="s">
        <v>49</v>
      </c>
      <c r="AB390" s="3" t="s">
        <v>29</v>
      </c>
      <c r="AC390" s="3" t="s">
        <v>664</v>
      </c>
      <c r="AD390" s="3" t="s">
        <v>63</v>
      </c>
      <c r="AE390" s="3" t="s">
        <v>38</v>
      </c>
      <c r="AF390" s="3" t="s">
        <v>664</v>
      </c>
      <c r="AG390" s="3" t="s">
        <v>48</v>
      </c>
    </row>
    <row r="391" spans="1:33">
      <c r="A391" s="1">
        <v>45208.777582210649</v>
      </c>
      <c r="B391" s="3" t="s">
        <v>1024</v>
      </c>
      <c r="C391" s="2">
        <v>32257</v>
      </c>
      <c r="D391" s="3">
        <v>35</v>
      </c>
      <c r="E391" s="3" t="s">
        <v>510</v>
      </c>
      <c r="F391" s="3" t="s">
        <v>522</v>
      </c>
      <c r="G391" s="3" t="s">
        <v>540</v>
      </c>
      <c r="H391" s="2">
        <v>44989</v>
      </c>
      <c r="I391" s="3">
        <v>2</v>
      </c>
      <c r="J391" s="3" t="s">
        <v>542</v>
      </c>
      <c r="K391" s="3" t="s">
        <v>1228</v>
      </c>
      <c r="L391" s="3" t="s">
        <v>636</v>
      </c>
      <c r="M391" s="3" t="s">
        <v>1229</v>
      </c>
      <c r="N391" s="3" t="s">
        <v>1164</v>
      </c>
      <c r="O391" s="3">
        <v>159</v>
      </c>
      <c r="P391" s="3" t="s">
        <v>44</v>
      </c>
      <c r="Q391" s="3" t="s">
        <v>26</v>
      </c>
      <c r="S391" s="3" t="s">
        <v>664</v>
      </c>
      <c r="T391" s="3" t="s">
        <v>43</v>
      </c>
      <c r="U391" s="3">
        <v>3</v>
      </c>
      <c r="V391" s="3">
        <v>1</v>
      </c>
      <c r="W391" s="3" t="s">
        <v>34</v>
      </c>
      <c r="X391" s="3" t="s">
        <v>300</v>
      </c>
      <c r="Y391" s="3">
        <v>3</v>
      </c>
      <c r="Z391" s="3">
        <v>1</v>
      </c>
      <c r="AA391" s="3" t="s">
        <v>49</v>
      </c>
      <c r="AB391" s="3" t="s">
        <v>29</v>
      </c>
      <c r="AC391" s="3" t="s">
        <v>664</v>
      </c>
      <c r="AD391" s="3" t="s">
        <v>30</v>
      </c>
      <c r="AE391" s="3" t="s">
        <v>38</v>
      </c>
      <c r="AF391" s="3" t="s">
        <v>664</v>
      </c>
      <c r="AG391" s="3" t="s">
        <v>39</v>
      </c>
    </row>
    <row r="392" spans="1:33">
      <c r="A392" s="1">
        <v>45208.791292361115</v>
      </c>
      <c r="B392" s="3" t="s">
        <v>1024</v>
      </c>
      <c r="C392" s="2">
        <v>33646</v>
      </c>
      <c r="D392" s="3">
        <v>31</v>
      </c>
      <c r="E392" s="3" t="s">
        <v>510</v>
      </c>
      <c r="F392" s="3" t="s">
        <v>520</v>
      </c>
      <c r="G392" s="3" t="s">
        <v>539</v>
      </c>
      <c r="H392" s="2">
        <v>43689</v>
      </c>
      <c r="I392" s="3">
        <v>2</v>
      </c>
      <c r="J392" s="3" t="s">
        <v>542</v>
      </c>
      <c r="K392" s="3" t="s">
        <v>1052</v>
      </c>
      <c r="L392" s="3">
        <v>37</v>
      </c>
      <c r="M392" s="3">
        <v>70</v>
      </c>
      <c r="N392" s="3">
        <v>68</v>
      </c>
      <c r="O392" s="3" t="s">
        <v>1230</v>
      </c>
      <c r="P392" s="3" t="s">
        <v>33</v>
      </c>
      <c r="Q392" s="3" t="s">
        <v>26</v>
      </c>
      <c r="S392" s="3" t="s">
        <v>664</v>
      </c>
      <c r="T392" s="3" t="s">
        <v>79</v>
      </c>
      <c r="U392" s="3">
        <v>7</v>
      </c>
      <c r="V392" s="3">
        <v>1</v>
      </c>
      <c r="W392" s="3" t="s">
        <v>34</v>
      </c>
      <c r="X392" s="3" t="s">
        <v>170</v>
      </c>
      <c r="Y392" s="3">
        <v>7</v>
      </c>
      <c r="Z392" s="3">
        <v>1</v>
      </c>
      <c r="AA392" s="3" t="s">
        <v>49</v>
      </c>
      <c r="AB392" s="3" t="s">
        <v>154</v>
      </c>
      <c r="AC392" s="3" t="s">
        <v>664</v>
      </c>
      <c r="AD392" s="3" t="s">
        <v>30</v>
      </c>
      <c r="AE392" s="3" t="s">
        <v>38</v>
      </c>
      <c r="AF392" s="3" t="s">
        <v>664</v>
      </c>
      <c r="AG392" s="3" t="s">
        <v>32</v>
      </c>
    </row>
    <row r="393" spans="1:33">
      <c r="A393" s="1">
        <v>45208.795084016208</v>
      </c>
      <c r="B393" s="3" t="s">
        <v>1024</v>
      </c>
      <c r="C393" s="2">
        <v>31120</v>
      </c>
      <c r="D393" s="3">
        <v>38</v>
      </c>
      <c r="E393" s="3" t="s">
        <v>510</v>
      </c>
      <c r="F393" s="3" t="s">
        <v>520</v>
      </c>
      <c r="G393" s="3" t="s">
        <v>539</v>
      </c>
      <c r="H393" s="2">
        <v>44623</v>
      </c>
      <c r="I393" s="3">
        <v>3</v>
      </c>
      <c r="J393" s="3" t="s">
        <v>541</v>
      </c>
      <c r="K393" s="3">
        <v>2900</v>
      </c>
      <c r="L393" s="3">
        <v>36</v>
      </c>
      <c r="M393" s="3">
        <v>60</v>
      </c>
      <c r="N393" s="3">
        <v>67</v>
      </c>
      <c r="O393" s="3">
        <v>164</v>
      </c>
      <c r="P393" s="3" t="s">
        <v>33</v>
      </c>
      <c r="Q393" s="3" t="s">
        <v>26</v>
      </c>
      <c r="S393" s="3" t="s">
        <v>664</v>
      </c>
      <c r="T393" s="3" t="s">
        <v>56</v>
      </c>
      <c r="U393" s="3">
        <v>7</v>
      </c>
      <c r="V393" s="3">
        <v>1</v>
      </c>
      <c r="W393" s="3" t="s">
        <v>26</v>
      </c>
      <c r="AA393" s="3" t="s">
        <v>36</v>
      </c>
      <c r="AB393" s="3" t="s">
        <v>29</v>
      </c>
      <c r="AC393" s="3" t="s">
        <v>664</v>
      </c>
      <c r="AD393" s="3" t="s">
        <v>37</v>
      </c>
      <c r="AE393" s="3" t="s">
        <v>31</v>
      </c>
      <c r="AF393" s="3" t="s">
        <v>664</v>
      </c>
      <c r="AG393" s="3" t="s">
        <v>32</v>
      </c>
    </row>
    <row r="394" spans="1:33">
      <c r="A394" s="1">
        <v>45208.801260532404</v>
      </c>
      <c r="B394" s="3" t="s">
        <v>1024</v>
      </c>
      <c r="C394" s="2">
        <v>33279</v>
      </c>
      <c r="D394" s="3">
        <v>32</v>
      </c>
      <c r="E394" s="3" t="s">
        <v>510</v>
      </c>
      <c r="F394" s="3" t="s">
        <v>521</v>
      </c>
      <c r="G394" s="3" t="s">
        <v>539</v>
      </c>
      <c r="H394" s="2">
        <v>44855</v>
      </c>
      <c r="I394" s="3">
        <v>2</v>
      </c>
      <c r="J394" s="3" t="s">
        <v>542</v>
      </c>
      <c r="K394" s="3">
        <v>3450</v>
      </c>
      <c r="L394" s="3" t="s">
        <v>636</v>
      </c>
      <c r="M394" s="3">
        <v>68</v>
      </c>
      <c r="N394" s="3">
        <v>58</v>
      </c>
      <c r="O394" s="3">
        <v>156</v>
      </c>
      <c r="P394" s="3" t="s">
        <v>33</v>
      </c>
      <c r="Q394" s="3" t="s">
        <v>26</v>
      </c>
      <c r="S394" s="3" t="s">
        <v>664</v>
      </c>
      <c r="T394" s="3" t="s">
        <v>79</v>
      </c>
      <c r="U394" s="3">
        <v>7</v>
      </c>
      <c r="V394" s="3">
        <v>1</v>
      </c>
      <c r="W394" s="3" t="s">
        <v>26</v>
      </c>
      <c r="AA394" s="3" t="s">
        <v>54</v>
      </c>
      <c r="AB394" s="3" t="s">
        <v>301</v>
      </c>
      <c r="AC394" s="3" t="s">
        <v>664</v>
      </c>
      <c r="AD394" s="3" t="s">
        <v>30</v>
      </c>
      <c r="AE394" s="3" t="s">
        <v>60</v>
      </c>
      <c r="AF394" s="3" t="s">
        <v>664</v>
      </c>
      <c r="AG394" s="3" t="s">
        <v>76</v>
      </c>
    </row>
    <row r="395" spans="1:33">
      <c r="A395" s="1">
        <v>45208.831761956018</v>
      </c>
      <c r="B395" s="3" t="s">
        <v>1024</v>
      </c>
      <c r="C395" s="2">
        <v>32054</v>
      </c>
      <c r="D395" s="3">
        <v>36</v>
      </c>
      <c r="E395" s="3" t="s">
        <v>510</v>
      </c>
      <c r="F395" s="3" t="s">
        <v>531</v>
      </c>
      <c r="G395" s="3" t="s">
        <v>537</v>
      </c>
      <c r="H395" s="2">
        <v>44348</v>
      </c>
      <c r="I395" s="3">
        <v>3</v>
      </c>
      <c r="J395" s="3" t="s">
        <v>542</v>
      </c>
      <c r="K395" s="3">
        <v>2550</v>
      </c>
      <c r="L395" s="3">
        <v>37</v>
      </c>
      <c r="M395" s="3">
        <v>109</v>
      </c>
      <c r="N395" s="3">
        <v>98</v>
      </c>
      <c r="O395" s="3">
        <v>157</v>
      </c>
      <c r="P395" s="3" t="s">
        <v>44</v>
      </c>
      <c r="Q395" s="3" t="s">
        <v>26</v>
      </c>
      <c r="S395" s="3" t="s">
        <v>664</v>
      </c>
      <c r="T395" s="3" t="s">
        <v>56</v>
      </c>
      <c r="U395" s="3">
        <v>7</v>
      </c>
      <c r="V395" s="3">
        <v>1</v>
      </c>
      <c r="W395" s="3" t="s">
        <v>26</v>
      </c>
      <c r="AA395" s="3" t="s">
        <v>28</v>
      </c>
      <c r="AB395" s="3" t="s">
        <v>29</v>
      </c>
      <c r="AC395" s="3" t="s">
        <v>664</v>
      </c>
      <c r="AD395" s="3" t="s">
        <v>63</v>
      </c>
      <c r="AE395" s="3" t="s">
        <v>38</v>
      </c>
      <c r="AF395" s="3" t="s">
        <v>664</v>
      </c>
      <c r="AG395" s="3" t="s">
        <v>62</v>
      </c>
    </row>
    <row r="396" spans="1:33">
      <c r="A396" s="1">
        <v>45208.853150092589</v>
      </c>
      <c r="B396" s="3" t="s">
        <v>1024</v>
      </c>
      <c r="C396" s="2">
        <v>32338</v>
      </c>
      <c r="D396" s="3">
        <v>35</v>
      </c>
      <c r="E396" s="3" t="s">
        <v>510</v>
      </c>
      <c r="F396" s="3" t="s">
        <v>520</v>
      </c>
      <c r="G396" s="3" t="s">
        <v>538</v>
      </c>
      <c r="H396" s="2">
        <v>44939</v>
      </c>
      <c r="I396" s="3">
        <v>3</v>
      </c>
      <c r="J396" s="3" t="s">
        <v>542</v>
      </c>
      <c r="K396" s="3">
        <v>3550</v>
      </c>
      <c r="L396" s="3">
        <v>38</v>
      </c>
      <c r="M396" s="3">
        <v>85</v>
      </c>
      <c r="N396" s="3">
        <v>90</v>
      </c>
      <c r="O396" s="3">
        <v>150</v>
      </c>
      <c r="P396" s="3" t="s">
        <v>33</v>
      </c>
      <c r="Q396" s="3" t="s">
        <v>26</v>
      </c>
      <c r="S396" s="3" t="s">
        <v>664</v>
      </c>
      <c r="T396" s="3" t="s">
        <v>79</v>
      </c>
      <c r="U396" s="3">
        <v>7</v>
      </c>
      <c r="V396" s="3">
        <v>1</v>
      </c>
      <c r="W396" s="3" t="s">
        <v>26</v>
      </c>
      <c r="AA396" s="3" t="s">
        <v>49</v>
      </c>
      <c r="AB396" s="3" t="s">
        <v>29</v>
      </c>
      <c r="AC396" s="3" t="s">
        <v>664</v>
      </c>
      <c r="AD396" s="3" t="s">
        <v>55</v>
      </c>
      <c r="AE396" s="3" t="s">
        <v>72</v>
      </c>
      <c r="AF396" s="3" t="s">
        <v>664</v>
      </c>
      <c r="AG396" s="3" t="s">
        <v>94</v>
      </c>
    </row>
    <row r="397" spans="1:33">
      <c r="A397" s="1">
        <v>45208.854666053245</v>
      </c>
      <c r="B397" s="3" t="s">
        <v>1024</v>
      </c>
      <c r="C397" s="2">
        <v>33219</v>
      </c>
      <c r="D397" s="3">
        <v>32</v>
      </c>
      <c r="E397" s="3" t="s">
        <v>510</v>
      </c>
      <c r="F397" s="3" t="s">
        <v>520</v>
      </c>
      <c r="G397" s="3" t="s">
        <v>539</v>
      </c>
      <c r="H397" s="2">
        <v>44654</v>
      </c>
      <c r="I397" s="3">
        <v>4</v>
      </c>
      <c r="J397" s="3" t="s">
        <v>542</v>
      </c>
      <c r="K397" s="3" t="s">
        <v>1231</v>
      </c>
      <c r="L397" s="3" t="s">
        <v>732</v>
      </c>
      <c r="M397" s="3">
        <v>78</v>
      </c>
      <c r="N397" s="3">
        <v>92</v>
      </c>
      <c r="O397" s="3">
        <v>162</v>
      </c>
      <c r="P397" s="3" t="s">
        <v>33</v>
      </c>
      <c r="Q397" s="3" t="s">
        <v>26</v>
      </c>
      <c r="S397" s="3" t="s">
        <v>26</v>
      </c>
      <c r="W397" s="3" t="s">
        <v>26</v>
      </c>
      <c r="AA397" s="3" t="s">
        <v>51</v>
      </c>
      <c r="AB397" s="3" t="s">
        <v>29</v>
      </c>
      <c r="AC397" s="3" t="s">
        <v>664</v>
      </c>
      <c r="AD397" s="3" t="s">
        <v>55</v>
      </c>
      <c r="AE397" s="3" t="s">
        <v>72</v>
      </c>
      <c r="AF397" s="3" t="s">
        <v>664</v>
      </c>
      <c r="AG397" s="3" t="s">
        <v>94</v>
      </c>
    </row>
    <row r="398" spans="1:33">
      <c r="A398" s="1">
        <v>45208.859136817133</v>
      </c>
      <c r="B398" s="3" t="s">
        <v>1024</v>
      </c>
      <c r="C398" s="2">
        <v>36085</v>
      </c>
      <c r="D398" s="3">
        <v>24</v>
      </c>
      <c r="E398" s="3" t="s">
        <v>510</v>
      </c>
      <c r="F398" s="3" t="s">
        <v>520</v>
      </c>
      <c r="G398" s="3" t="s">
        <v>539</v>
      </c>
      <c r="H398" s="2">
        <v>44464</v>
      </c>
      <c r="I398" s="3">
        <v>1</v>
      </c>
      <c r="J398" s="3" t="s">
        <v>541</v>
      </c>
      <c r="K398" s="3">
        <v>3219</v>
      </c>
      <c r="L398" s="3" t="s">
        <v>636</v>
      </c>
      <c r="M398" s="3">
        <v>75</v>
      </c>
      <c r="N398" s="3">
        <v>80</v>
      </c>
      <c r="O398" s="3">
        <v>162</v>
      </c>
      <c r="P398" s="3" t="s">
        <v>33</v>
      </c>
      <c r="Q398" s="3" t="s">
        <v>26</v>
      </c>
      <c r="S398" s="3" t="s">
        <v>664</v>
      </c>
      <c r="T398" s="3" t="s">
        <v>79</v>
      </c>
      <c r="U398" s="3">
        <v>7</v>
      </c>
      <c r="V398" s="3">
        <v>1</v>
      </c>
      <c r="W398" s="3" t="s">
        <v>34</v>
      </c>
      <c r="X398" s="3" t="s">
        <v>238</v>
      </c>
      <c r="Y398" s="3">
        <v>7</v>
      </c>
      <c r="Z398" s="3">
        <v>2</v>
      </c>
      <c r="AA398" s="3" t="s">
        <v>42</v>
      </c>
      <c r="AB398" s="3" t="s">
        <v>302</v>
      </c>
      <c r="AC398" s="3" t="s">
        <v>664</v>
      </c>
      <c r="AD398" s="3" t="s">
        <v>30</v>
      </c>
      <c r="AE398" s="3" t="s">
        <v>31</v>
      </c>
      <c r="AF398" s="3" t="s">
        <v>664</v>
      </c>
      <c r="AG398" s="3" t="s">
        <v>32</v>
      </c>
    </row>
    <row r="399" spans="1:33">
      <c r="A399" s="1">
        <v>45208.865294849536</v>
      </c>
      <c r="B399" s="3" t="s">
        <v>1024</v>
      </c>
      <c r="C399" s="2">
        <v>32843</v>
      </c>
      <c r="D399" s="3">
        <v>33</v>
      </c>
      <c r="E399" s="3" t="s">
        <v>510</v>
      </c>
      <c r="F399" s="3" t="s">
        <v>520</v>
      </c>
      <c r="G399" s="3" t="s">
        <v>540</v>
      </c>
      <c r="H399" s="2">
        <v>44251</v>
      </c>
      <c r="I399" s="3">
        <v>2</v>
      </c>
      <c r="J399" s="3" t="s">
        <v>542</v>
      </c>
      <c r="K399" s="3">
        <v>3930</v>
      </c>
      <c r="L399" s="3">
        <v>38</v>
      </c>
      <c r="M399" s="3">
        <v>72</v>
      </c>
      <c r="N399" s="3">
        <v>84</v>
      </c>
      <c r="O399" s="3">
        <v>168</v>
      </c>
      <c r="P399" s="3" t="s">
        <v>44</v>
      </c>
      <c r="Q399" s="3" t="s">
        <v>34</v>
      </c>
      <c r="R399" s="3" t="s">
        <v>303</v>
      </c>
      <c r="S399" s="3" t="s">
        <v>664</v>
      </c>
      <c r="T399" s="3" t="s">
        <v>41</v>
      </c>
      <c r="U399" s="3">
        <v>7</v>
      </c>
      <c r="V399" s="3">
        <v>1</v>
      </c>
      <c r="W399" s="3" t="s">
        <v>34</v>
      </c>
      <c r="X399" s="3" t="s">
        <v>58</v>
      </c>
      <c r="Y399" s="3">
        <v>7</v>
      </c>
      <c r="Z399" s="3">
        <v>1</v>
      </c>
      <c r="AA399" s="3" t="s">
        <v>42</v>
      </c>
      <c r="AB399" s="3" t="s">
        <v>29</v>
      </c>
      <c r="AC399" s="3" t="s">
        <v>664</v>
      </c>
      <c r="AD399" s="3" t="s">
        <v>55</v>
      </c>
      <c r="AE399" s="3" t="s">
        <v>31</v>
      </c>
      <c r="AF399" s="3" t="s">
        <v>664</v>
      </c>
      <c r="AG399" s="3" t="s">
        <v>32</v>
      </c>
    </row>
    <row r="400" spans="1:33">
      <c r="A400" s="1">
        <v>45208.878734097219</v>
      </c>
      <c r="B400" s="3" t="s">
        <v>1024</v>
      </c>
      <c r="C400" s="2">
        <v>32049</v>
      </c>
      <c r="D400" s="3">
        <v>36</v>
      </c>
      <c r="E400" s="3" t="s">
        <v>510</v>
      </c>
      <c r="F400" s="3" t="s">
        <v>532</v>
      </c>
      <c r="G400" s="3" t="s">
        <v>539</v>
      </c>
      <c r="H400" s="2">
        <v>44743</v>
      </c>
      <c r="I400" s="3">
        <v>3</v>
      </c>
      <c r="J400" s="3" t="s">
        <v>541</v>
      </c>
      <c r="K400" s="3">
        <v>3250</v>
      </c>
      <c r="L400" s="3" t="s">
        <v>1232</v>
      </c>
      <c r="M400" s="3">
        <v>75</v>
      </c>
      <c r="N400" s="3">
        <v>95</v>
      </c>
      <c r="O400" s="3">
        <v>160</v>
      </c>
      <c r="P400" s="3" t="s">
        <v>25</v>
      </c>
      <c r="Q400" s="3" t="s">
        <v>26</v>
      </c>
      <c r="S400" s="3" t="s">
        <v>664</v>
      </c>
      <c r="T400" s="3" t="s">
        <v>27</v>
      </c>
      <c r="U400" s="3">
        <v>7</v>
      </c>
      <c r="V400" s="3">
        <v>1</v>
      </c>
      <c r="W400" s="3" t="s">
        <v>34</v>
      </c>
      <c r="X400" s="3" t="s">
        <v>304</v>
      </c>
      <c r="Y400" s="3">
        <v>7</v>
      </c>
      <c r="Z400" s="3">
        <v>1</v>
      </c>
      <c r="AA400" s="3" t="s">
        <v>114</v>
      </c>
      <c r="AB400" s="3" t="s">
        <v>83</v>
      </c>
      <c r="AC400" s="3" t="s">
        <v>664</v>
      </c>
      <c r="AD400" s="3" t="s">
        <v>30</v>
      </c>
      <c r="AE400" s="3" t="s">
        <v>38</v>
      </c>
      <c r="AF400" s="3" t="s">
        <v>664</v>
      </c>
      <c r="AG400" s="3" t="s">
        <v>39</v>
      </c>
    </row>
    <row r="401" spans="1:33">
      <c r="A401" s="1">
        <v>45208.882782303241</v>
      </c>
      <c r="B401" s="3" t="s">
        <v>1024</v>
      </c>
      <c r="C401" s="2">
        <v>32075</v>
      </c>
      <c r="D401" s="3">
        <v>35</v>
      </c>
      <c r="E401" s="3" t="s">
        <v>510</v>
      </c>
      <c r="F401" s="3" t="s">
        <v>529</v>
      </c>
      <c r="G401" s="3" t="s">
        <v>540</v>
      </c>
      <c r="H401" s="2">
        <v>45078</v>
      </c>
      <c r="I401" s="3">
        <v>3</v>
      </c>
      <c r="J401" s="3" t="s">
        <v>541</v>
      </c>
      <c r="K401" s="3">
        <v>3190</v>
      </c>
      <c r="L401" s="3" t="s">
        <v>1233</v>
      </c>
      <c r="M401" s="3">
        <v>88</v>
      </c>
      <c r="N401" s="3">
        <v>99</v>
      </c>
      <c r="O401" s="3">
        <v>165</v>
      </c>
      <c r="P401" s="3" t="s">
        <v>33</v>
      </c>
      <c r="Q401" s="3" t="s">
        <v>26</v>
      </c>
      <c r="S401" s="3" t="s">
        <v>664</v>
      </c>
      <c r="T401" s="3" t="s">
        <v>43</v>
      </c>
      <c r="U401" s="3">
        <v>7</v>
      </c>
      <c r="V401" s="3">
        <v>1</v>
      </c>
      <c r="W401" s="3" t="s">
        <v>34</v>
      </c>
      <c r="X401" s="3" t="s">
        <v>305</v>
      </c>
      <c r="Y401" s="3">
        <v>7</v>
      </c>
      <c r="Z401" s="3">
        <v>1</v>
      </c>
      <c r="AA401" s="3" t="s">
        <v>28</v>
      </c>
      <c r="AB401" s="3" t="s">
        <v>29</v>
      </c>
      <c r="AC401" s="3" t="s">
        <v>664</v>
      </c>
      <c r="AD401" s="3" t="s">
        <v>55</v>
      </c>
      <c r="AE401" s="3" t="s">
        <v>72</v>
      </c>
      <c r="AF401" s="3" t="s">
        <v>664</v>
      </c>
      <c r="AG401" s="3" t="s">
        <v>32</v>
      </c>
    </row>
    <row r="402" spans="1:33">
      <c r="A402" s="1">
        <v>45208.888441111107</v>
      </c>
      <c r="B402" s="3" t="s">
        <v>1024</v>
      </c>
      <c r="C402" s="2">
        <v>32635</v>
      </c>
      <c r="D402" s="3">
        <v>34</v>
      </c>
      <c r="E402" s="3" t="s">
        <v>510</v>
      </c>
      <c r="F402" s="3" t="s">
        <v>521</v>
      </c>
      <c r="G402" s="3" t="s">
        <v>540</v>
      </c>
      <c r="H402" s="2">
        <v>44642</v>
      </c>
      <c r="I402" s="3">
        <v>1</v>
      </c>
      <c r="J402" s="3" t="s">
        <v>542</v>
      </c>
      <c r="K402" s="3">
        <v>3050</v>
      </c>
      <c r="L402" s="3" t="s">
        <v>763</v>
      </c>
      <c r="M402" s="3">
        <v>80</v>
      </c>
      <c r="N402" s="3">
        <v>91</v>
      </c>
      <c r="O402" s="3">
        <v>157</v>
      </c>
      <c r="P402" s="3" t="s">
        <v>44</v>
      </c>
      <c r="Q402" s="3" t="s">
        <v>26</v>
      </c>
      <c r="S402" s="3" t="s">
        <v>664</v>
      </c>
      <c r="T402" s="3" t="s">
        <v>57</v>
      </c>
      <c r="U402" s="3">
        <v>7</v>
      </c>
      <c r="V402" s="3">
        <v>1</v>
      </c>
      <c r="W402" s="3" t="s">
        <v>34</v>
      </c>
      <c r="X402" s="3" t="s">
        <v>203</v>
      </c>
      <c r="Y402" s="3">
        <v>7</v>
      </c>
      <c r="Z402" s="3">
        <v>1</v>
      </c>
      <c r="AA402" s="3" t="s">
        <v>114</v>
      </c>
      <c r="AB402" s="3" t="s">
        <v>306</v>
      </c>
      <c r="AC402" s="3" t="s">
        <v>664</v>
      </c>
      <c r="AD402" s="3" t="s">
        <v>55</v>
      </c>
      <c r="AE402" s="3" t="s">
        <v>31</v>
      </c>
      <c r="AF402" s="3" t="s">
        <v>664</v>
      </c>
      <c r="AG402" s="3" t="s">
        <v>39</v>
      </c>
    </row>
    <row r="403" spans="1:33">
      <c r="A403" s="1">
        <v>45208.898701122685</v>
      </c>
      <c r="B403" s="3" t="s">
        <v>1024</v>
      </c>
      <c r="C403" s="2">
        <v>31525</v>
      </c>
      <c r="D403" s="3">
        <v>37</v>
      </c>
      <c r="E403" s="3" t="s">
        <v>510</v>
      </c>
      <c r="F403" s="3" t="s">
        <v>529</v>
      </c>
      <c r="G403" s="3" t="s">
        <v>539</v>
      </c>
      <c r="H403" s="2">
        <v>43309</v>
      </c>
      <c r="I403" s="3">
        <v>2</v>
      </c>
      <c r="J403" s="3" t="s">
        <v>542</v>
      </c>
      <c r="K403" s="3">
        <v>3870</v>
      </c>
      <c r="L403" s="3" t="s">
        <v>764</v>
      </c>
      <c r="M403" s="3">
        <v>82</v>
      </c>
      <c r="N403" s="3" t="s">
        <v>1234</v>
      </c>
      <c r="O403" s="3">
        <v>160</v>
      </c>
      <c r="P403" s="3" t="s">
        <v>33</v>
      </c>
      <c r="Q403" s="3" t="s">
        <v>26</v>
      </c>
      <c r="S403" s="3" t="s">
        <v>664</v>
      </c>
      <c r="T403" s="3" t="s">
        <v>307</v>
      </c>
      <c r="U403" s="3">
        <v>7</v>
      </c>
      <c r="V403" s="3">
        <v>1</v>
      </c>
      <c r="W403" s="3" t="s">
        <v>34</v>
      </c>
      <c r="X403" s="3" t="s">
        <v>308</v>
      </c>
      <c r="Y403" s="3">
        <v>7</v>
      </c>
      <c r="Z403" s="3">
        <v>1</v>
      </c>
      <c r="AA403" s="3" t="s">
        <v>36</v>
      </c>
      <c r="AB403" s="3" t="s">
        <v>29</v>
      </c>
      <c r="AC403" s="3" t="s">
        <v>664</v>
      </c>
      <c r="AD403" s="3" t="s">
        <v>37</v>
      </c>
      <c r="AE403" s="3" t="s">
        <v>31</v>
      </c>
      <c r="AF403" s="3" t="s">
        <v>664</v>
      </c>
      <c r="AG403" s="3" t="s">
        <v>94</v>
      </c>
    </row>
    <row r="404" spans="1:33">
      <c r="A404" s="1">
        <v>45208.921251574073</v>
      </c>
      <c r="B404" s="3" t="s">
        <v>1024</v>
      </c>
      <c r="C404" s="2">
        <v>30643</v>
      </c>
      <c r="D404" s="3">
        <v>38</v>
      </c>
      <c r="E404" s="3" t="s">
        <v>510</v>
      </c>
      <c r="F404" s="3" t="s">
        <v>520</v>
      </c>
      <c r="G404" s="3" t="s">
        <v>540</v>
      </c>
      <c r="H404" s="2">
        <v>44254</v>
      </c>
      <c r="I404" s="3">
        <v>1</v>
      </c>
      <c r="J404" s="3" t="s">
        <v>541</v>
      </c>
      <c r="K404" s="3">
        <v>2750</v>
      </c>
      <c r="L404" s="3">
        <v>38</v>
      </c>
      <c r="M404" s="3">
        <v>57</v>
      </c>
      <c r="N404" s="3">
        <v>64</v>
      </c>
      <c r="O404" s="3">
        <v>156</v>
      </c>
      <c r="P404" s="3" t="s">
        <v>44</v>
      </c>
      <c r="Q404" s="3" t="s">
        <v>34</v>
      </c>
      <c r="R404" s="3" t="s">
        <v>309</v>
      </c>
      <c r="S404" s="3" t="s">
        <v>664</v>
      </c>
      <c r="T404" s="3" t="s">
        <v>310</v>
      </c>
      <c r="U404" s="3">
        <v>6</v>
      </c>
      <c r="V404" s="3">
        <v>1</v>
      </c>
      <c r="W404" s="3" t="s">
        <v>26</v>
      </c>
      <c r="AA404" s="3" t="s">
        <v>49</v>
      </c>
      <c r="AB404" s="3" t="s">
        <v>311</v>
      </c>
      <c r="AC404" s="3" t="s">
        <v>664</v>
      </c>
      <c r="AD404" s="3" t="s">
        <v>59</v>
      </c>
      <c r="AE404" s="3" t="s">
        <v>31</v>
      </c>
      <c r="AF404" s="3" t="s">
        <v>664</v>
      </c>
      <c r="AG404" s="3" t="s">
        <v>32</v>
      </c>
    </row>
    <row r="405" spans="1:33">
      <c r="A405" s="1">
        <v>45208.921623391201</v>
      </c>
      <c r="B405" s="3" t="s">
        <v>1024</v>
      </c>
      <c r="C405" s="2">
        <v>33817</v>
      </c>
      <c r="D405" s="3">
        <v>31</v>
      </c>
      <c r="E405" s="3" t="s">
        <v>510</v>
      </c>
      <c r="F405" s="3" t="s">
        <v>520</v>
      </c>
      <c r="G405" s="3" t="s">
        <v>539</v>
      </c>
      <c r="H405" s="2">
        <v>44875</v>
      </c>
      <c r="I405" s="3">
        <v>3</v>
      </c>
      <c r="J405" s="3" t="s">
        <v>542</v>
      </c>
      <c r="K405" s="3">
        <v>3640</v>
      </c>
      <c r="L405" s="3" t="s">
        <v>765</v>
      </c>
      <c r="M405" s="3">
        <v>67</v>
      </c>
      <c r="N405" s="3">
        <v>84</v>
      </c>
      <c r="O405" s="3">
        <v>165</v>
      </c>
      <c r="P405" s="3" t="s">
        <v>33</v>
      </c>
      <c r="Q405" s="3" t="s">
        <v>34</v>
      </c>
      <c r="R405" s="3" t="s">
        <v>312</v>
      </c>
      <c r="S405" s="3" t="s">
        <v>664</v>
      </c>
      <c r="T405" s="3" t="s">
        <v>43</v>
      </c>
      <c r="U405" s="3">
        <v>7</v>
      </c>
      <c r="V405" s="3">
        <v>1</v>
      </c>
      <c r="W405" s="3" t="s">
        <v>34</v>
      </c>
      <c r="X405" s="3" t="s">
        <v>71</v>
      </c>
      <c r="Y405" s="3">
        <v>7</v>
      </c>
      <c r="Z405" s="3">
        <v>1</v>
      </c>
      <c r="AA405" s="3" t="s">
        <v>28</v>
      </c>
      <c r="AB405" s="3" t="s">
        <v>29</v>
      </c>
      <c r="AC405" s="3" t="s">
        <v>664</v>
      </c>
      <c r="AD405" s="3" t="s">
        <v>30</v>
      </c>
      <c r="AE405" s="3" t="s">
        <v>31</v>
      </c>
      <c r="AF405" s="3" t="s">
        <v>664</v>
      </c>
      <c r="AG405" s="3" t="s">
        <v>32</v>
      </c>
    </row>
    <row r="406" spans="1:33">
      <c r="A406" s="1">
        <v>45208.924038657409</v>
      </c>
      <c r="B406" s="3" t="s">
        <v>1024</v>
      </c>
      <c r="C406" s="2">
        <v>34006</v>
      </c>
      <c r="D406" s="3">
        <v>30</v>
      </c>
      <c r="E406" s="3" t="s">
        <v>510</v>
      </c>
      <c r="F406" s="3" t="s">
        <v>531</v>
      </c>
      <c r="G406" s="3" t="s">
        <v>540</v>
      </c>
      <c r="H406" s="2">
        <v>44097</v>
      </c>
      <c r="I406" s="3">
        <v>1</v>
      </c>
      <c r="J406" s="3" t="s">
        <v>541</v>
      </c>
      <c r="K406" s="3">
        <v>2930</v>
      </c>
      <c r="L406" s="3" t="s">
        <v>766</v>
      </c>
      <c r="M406" s="3">
        <v>62</v>
      </c>
      <c r="N406" s="3">
        <v>80</v>
      </c>
      <c r="O406" s="3" t="s">
        <v>1073</v>
      </c>
      <c r="P406" s="3" t="s">
        <v>33</v>
      </c>
      <c r="Q406" s="3" t="s">
        <v>26</v>
      </c>
      <c r="S406" s="3" t="s">
        <v>26</v>
      </c>
      <c r="W406" s="3" t="s">
        <v>26</v>
      </c>
      <c r="AA406" s="3" t="s">
        <v>51</v>
      </c>
      <c r="AB406" s="3" t="s">
        <v>83</v>
      </c>
      <c r="AC406" s="3" t="s">
        <v>664</v>
      </c>
      <c r="AD406" s="3" t="s">
        <v>55</v>
      </c>
      <c r="AE406" s="3" t="s">
        <v>31</v>
      </c>
      <c r="AF406" s="3" t="s">
        <v>664</v>
      </c>
      <c r="AG406" s="3" t="s">
        <v>32</v>
      </c>
    </row>
    <row r="407" spans="1:33">
      <c r="A407" s="1">
        <v>45208.926081192127</v>
      </c>
      <c r="B407" s="3" t="s">
        <v>1024</v>
      </c>
      <c r="C407" s="2">
        <v>32482</v>
      </c>
      <c r="D407" s="3">
        <v>34</v>
      </c>
      <c r="E407" s="3" t="s">
        <v>510</v>
      </c>
      <c r="F407" s="3" t="s">
        <v>522</v>
      </c>
      <c r="G407" s="3" t="s">
        <v>539</v>
      </c>
      <c r="H407" s="2">
        <v>44845</v>
      </c>
      <c r="I407" s="3">
        <v>1</v>
      </c>
      <c r="J407" s="3" t="s">
        <v>542</v>
      </c>
      <c r="K407" s="3">
        <v>3480</v>
      </c>
      <c r="L407" s="3">
        <v>39</v>
      </c>
      <c r="M407" s="3">
        <v>64</v>
      </c>
      <c r="N407" s="3">
        <v>89</v>
      </c>
      <c r="O407" s="3">
        <v>160</v>
      </c>
      <c r="P407" s="3" t="s">
        <v>44</v>
      </c>
      <c r="Q407" s="3" t="s">
        <v>26</v>
      </c>
      <c r="S407" s="3" t="s">
        <v>664</v>
      </c>
      <c r="T407" s="3" t="s">
        <v>56</v>
      </c>
      <c r="U407" s="3">
        <v>7</v>
      </c>
      <c r="V407" s="3">
        <v>1</v>
      </c>
      <c r="W407" s="3" t="s">
        <v>34</v>
      </c>
      <c r="X407" s="3" t="s">
        <v>178</v>
      </c>
      <c r="Y407" s="3">
        <v>7</v>
      </c>
      <c r="Z407" s="3">
        <v>1</v>
      </c>
      <c r="AA407" s="3" t="s">
        <v>42</v>
      </c>
      <c r="AB407" s="3" t="s">
        <v>29</v>
      </c>
      <c r="AC407" s="3" t="s">
        <v>664</v>
      </c>
      <c r="AD407" s="3" t="s">
        <v>55</v>
      </c>
      <c r="AE407" s="3" t="s">
        <v>31</v>
      </c>
      <c r="AF407" s="3" t="s">
        <v>664</v>
      </c>
      <c r="AG407" s="3" t="s">
        <v>62</v>
      </c>
    </row>
    <row r="408" spans="1:33">
      <c r="A408" s="1">
        <v>45208.936994826392</v>
      </c>
      <c r="B408" s="3" t="s">
        <v>1024</v>
      </c>
      <c r="C408" s="2">
        <v>34711</v>
      </c>
      <c r="D408" s="3">
        <v>28</v>
      </c>
      <c r="E408" s="3" t="s">
        <v>510</v>
      </c>
      <c r="F408" s="3" t="s">
        <v>526</v>
      </c>
      <c r="G408" s="3" t="s">
        <v>539</v>
      </c>
      <c r="H408" s="2">
        <v>45070</v>
      </c>
      <c r="I408" s="3">
        <v>4</v>
      </c>
      <c r="J408" s="3" t="s">
        <v>542</v>
      </c>
      <c r="K408" s="3">
        <v>3720</v>
      </c>
      <c r="L408" s="3" t="s">
        <v>650</v>
      </c>
      <c r="M408" s="3">
        <v>74</v>
      </c>
      <c r="N408" s="3">
        <v>79</v>
      </c>
      <c r="O408" s="3">
        <v>166</v>
      </c>
      <c r="P408" s="3" t="s">
        <v>33</v>
      </c>
      <c r="Q408" s="3" t="s">
        <v>26</v>
      </c>
      <c r="S408" s="3" t="s">
        <v>664</v>
      </c>
      <c r="T408" s="3" t="s">
        <v>79</v>
      </c>
      <c r="U408" s="3">
        <v>7</v>
      </c>
      <c r="V408" s="3">
        <v>1</v>
      </c>
      <c r="W408" s="3" t="s">
        <v>26</v>
      </c>
      <c r="AA408" s="3" t="s">
        <v>42</v>
      </c>
      <c r="AB408" s="3" t="s">
        <v>29</v>
      </c>
      <c r="AC408" s="3" t="s">
        <v>664</v>
      </c>
      <c r="AD408" s="3" t="s">
        <v>55</v>
      </c>
      <c r="AE408" s="3" t="s">
        <v>72</v>
      </c>
      <c r="AF408" s="3" t="s">
        <v>664</v>
      </c>
      <c r="AG408" s="3" t="s">
        <v>76</v>
      </c>
    </row>
    <row r="409" spans="1:33">
      <c r="A409" s="1">
        <v>45208.939470532408</v>
      </c>
      <c r="B409" s="3" t="s">
        <v>1024</v>
      </c>
      <c r="C409" s="2">
        <v>34944</v>
      </c>
      <c r="D409" s="3">
        <v>28</v>
      </c>
      <c r="E409" s="3" t="s">
        <v>510</v>
      </c>
      <c r="F409" s="3" t="s">
        <v>531</v>
      </c>
      <c r="G409" s="3" t="s">
        <v>539</v>
      </c>
      <c r="H409" s="2">
        <v>44716</v>
      </c>
      <c r="I409" s="3">
        <v>1</v>
      </c>
      <c r="J409" s="3" t="s">
        <v>542</v>
      </c>
      <c r="K409" s="3" t="s">
        <v>1235</v>
      </c>
      <c r="L409" s="3" t="s">
        <v>654</v>
      </c>
      <c r="M409" s="3">
        <v>75</v>
      </c>
      <c r="N409" s="3">
        <v>85</v>
      </c>
      <c r="O409" s="3">
        <v>158</v>
      </c>
      <c r="P409" s="3" t="s">
        <v>33</v>
      </c>
      <c r="Q409" s="3" t="s">
        <v>26</v>
      </c>
      <c r="S409" s="3" t="s">
        <v>664</v>
      </c>
      <c r="T409" s="3" t="s">
        <v>43</v>
      </c>
      <c r="U409" s="3">
        <v>7</v>
      </c>
      <c r="V409" s="3">
        <v>1</v>
      </c>
      <c r="W409" s="3" t="s">
        <v>26</v>
      </c>
      <c r="AA409" s="3" t="s">
        <v>49</v>
      </c>
      <c r="AB409" s="3" t="s">
        <v>313</v>
      </c>
      <c r="AC409" s="3" t="s">
        <v>664</v>
      </c>
      <c r="AD409" s="3" t="s">
        <v>55</v>
      </c>
      <c r="AE409" s="3" t="s">
        <v>38</v>
      </c>
      <c r="AF409" s="3" t="s">
        <v>664</v>
      </c>
      <c r="AG409" s="3" t="s">
        <v>32</v>
      </c>
    </row>
    <row r="410" spans="1:33">
      <c r="A410" s="1">
        <v>45208.941125914353</v>
      </c>
      <c r="B410" s="3" t="s">
        <v>1024</v>
      </c>
      <c r="C410" s="2">
        <v>32605</v>
      </c>
      <c r="D410" s="3">
        <v>34</v>
      </c>
      <c r="E410" s="3" t="s">
        <v>510</v>
      </c>
      <c r="F410" s="3" t="s">
        <v>531</v>
      </c>
      <c r="G410" s="3" t="s">
        <v>539</v>
      </c>
      <c r="H410" s="2">
        <v>44908</v>
      </c>
      <c r="I410" s="3">
        <v>1</v>
      </c>
      <c r="J410" s="3" t="s">
        <v>541</v>
      </c>
      <c r="K410" s="3">
        <v>2340</v>
      </c>
      <c r="L410" s="3" t="s">
        <v>767</v>
      </c>
      <c r="M410" s="3">
        <v>71</v>
      </c>
      <c r="N410" s="3" t="s">
        <v>1236</v>
      </c>
      <c r="O410" s="3">
        <v>159</v>
      </c>
      <c r="P410" s="3" t="s">
        <v>33</v>
      </c>
      <c r="Q410" s="3" t="s">
        <v>26</v>
      </c>
      <c r="S410" s="3" t="s">
        <v>664</v>
      </c>
      <c r="T410" s="3" t="s">
        <v>43</v>
      </c>
      <c r="U410" s="3">
        <v>7</v>
      </c>
      <c r="V410" s="3">
        <v>1</v>
      </c>
      <c r="W410" s="3" t="s">
        <v>34</v>
      </c>
      <c r="X410" s="3" t="s">
        <v>314</v>
      </c>
      <c r="Y410" s="3">
        <v>7</v>
      </c>
      <c r="Z410" s="3">
        <v>1</v>
      </c>
      <c r="AA410" s="3" t="s">
        <v>28</v>
      </c>
      <c r="AB410" s="3" t="s">
        <v>315</v>
      </c>
      <c r="AC410" s="3" t="s">
        <v>664</v>
      </c>
      <c r="AD410" s="3" t="s">
        <v>316</v>
      </c>
      <c r="AE410" s="3" t="s">
        <v>31</v>
      </c>
      <c r="AF410" s="3" t="s">
        <v>664</v>
      </c>
      <c r="AG410" s="3" t="s">
        <v>62</v>
      </c>
    </row>
    <row r="411" spans="1:33">
      <c r="A411" s="1">
        <v>45208.9431959375</v>
      </c>
      <c r="B411" s="3" t="s">
        <v>1024</v>
      </c>
      <c r="C411" s="2">
        <v>31286</v>
      </c>
      <c r="D411" s="3" t="s">
        <v>1237</v>
      </c>
      <c r="E411" s="3" t="s">
        <v>510</v>
      </c>
      <c r="F411" s="3" t="s">
        <v>535</v>
      </c>
      <c r="G411" s="3" t="s">
        <v>540</v>
      </c>
      <c r="H411" s="2">
        <v>43724</v>
      </c>
      <c r="I411" s="3">
        <v>1</v>
      </c>
      <c r="J411" s="3" t="s">
        <v>541</v>
      </c>
      <c r="K411" s="3">
        <v>3630</v>
      </c>
      <c r="L411" s="3" t="s">
        <v>636</v>
      </c>
      <c r="M411" s="3">
        <v>61</v>
      </c>
      <c r="N411" s="7">
        <v>71300</v>
      </c>
      <c r="O411" s="3">
        <v>159</v>
      </c>
      <c r="P411" s="3" t="s">
        <v>33</v>
      </c>
      <c r="Q411" s="3" t="s">
        <v>26</v>
      </c>
      <c r="S411" s="3" t="s">
        <v>664</v>
      </c>
      <c r="T411" s="3" t="s">
        <v>27</v>
      </c>
      <c r="U411" s="3">
        <v>7</v>
      </c>
      <c r="V411" s="3">
        <v>1</v>
      </c>
      <c r="W411" s="3" t="s">
        <v>26</v>
      </c>
      <c r="AA411" s="3" t="s">
        <v>36</v>
      </c>
      <c r="AB411" s="3" t="s">
        <v>29</v>
      </c>
      <c r="AC411" s="3" t="s">
        <v>664</v>
      </c>
      <c r="AD411" s="3" t="s">
        <v>55</v>
      </c>
      <c r="AE411" s="3" t="s">
        <v>31</v>
      </c>
      <c r="AF411" s="3" t="s">
        <v>664</v>
      </c>
      <c r="AG411" s="3" t="s">
        <v>32</v>
      </c>
    </row>
    <row r="412" spans="1:33">
      <c r="A412" s="1">
        <v>45208.945229340279</v>
      </c>
      <c r="B412" s="3" t="s">
        <v>1024</v>
      </c>
      <c r="C412" s="2">
        <v>34444</v>
      </c>
      <c r="D412" s="3">
        <v>29</v>
      </c>
      <c r="E412" s="3" t="s">
        <v>510</v>
      </c>
      <c r="F412" s="3" t="s">
        <v>520</v>
      </c>
      <c r="G412" s="3" t="s">
        <v>539</v>
      </c>
      <c r="H412" s="2">
        <v>44992</v>
      </c>
      <c r="I412" s="3">
        <v>1</v>
      </c>
      <c r="J412" s="3" t="s">
        <v>541</v>
      </c>
      <c r="K412" s="3">
        <v>2809</v>
      </c>
      <c r="L412" s="3" t="s">
        <v>688</v>
      </c>
      <c r="M412" s="3">
        <v>60</v>
      </c>
      <c r="N412" s="3">
        <v>69</v>
      </c>
      <c r="O412" s="3">
        <v>165</v>
      </c>
      <c r="P412" s="3" t="s">
        <v>33</v>
      </c>
      <c r="Q412" s="3" t="s">
        <v>26</v>
      </c>
      <c r="S412" s="3" t="s">
        <v>664</v>
      </c>
      <c r="T412" s="3" t="s">
        <v>166</v>
      </c>
      <c r="U412" s="3">
        <v>7</v>
      </c>
      <c r="V412" s="3">
        <v>1</v>
      </c>
      <c r="W412" s="3" t="s">
        <v>34</v>
      </c>
      <c r="X412" s="3" t="s">
        <v>317</v>
      </c>
      <c r="Y412" s="3">
        <v>7</v>
      </c>
      <c r="Z412" s="3">
        <v>1</v>
      </c>
      <c r="AA412" s="3" t="s">
        <v>36</v>
      </c>
      <c r="AB412" s="3" t="s">
        <v>29</v>
      </c>
      <c r="AC412" s="3" t="s">
        <v>664</v>
      </c>
      <c r="AD412" s="3" t="s">
        <v>37</v>
      </c>
      <c r="AE412" s="3" t="s">
        <v>38</v>
      </c>
      <c r="AF412" s="3" t="s">
        <v>664</v>
      </c>
      <c r="AG412" s="3" t="s">
        <v>62</v>
      </c>
    </row>
    <row r="413" spans="1:33">
      <c r="A413" s="1">
        <v>45208.950827523149</v>
      </c>
      <c r="B413" s="3" t="s">
        <v>1024</v>
      </c>
      <c r="C413" s="2">
        <v>28314</v>
      </c>
      <c r="D413" s="3">
        <v>46</v>
      </c>
      <c r="E413" s="3" t="s">
        <v>510</v>
      </c>
      <c r="F413" s="3" t="s">
        <v>520</v>
      </c>
      <c r="G413" s="3" t="s">
        <v>539</v>
      </c>
      <c r="H413" s="2">
        <v>43761</v>
      </c>
      <c r="I413" s="3">
        <v>3</v>
      </c>
      <c r="J413" s="3" t="s">
        <v>542</v>
      </c>
      <c r="K413" s="3" t="s">
        <v>1238</v>
      </c>
      <c r="L413" s="3" t="s">
        <v>768</v>
      </c>
      <c r="M413" s="3" t="s">
        <v>1239</v>
      </c>
      <c r="N413" s="3" t="s">
        <v>1240</v>
      </c>
      <c r="O413" s="3">
        <v>158</v>
      </c>
      <c r="P413" s="3" t="s">
        <v>33</v>
      </c>
      <c r="Q413" s="3" t="s">
        <v>34</v>
      </c>
      <c r="R413" s="3" t="s">
        <v>318</v>
      </c>
      <c r="S413" s="3" t="s">
        <v>664</v>
      </c>
      <c r="T413" s="3" t="s">
        <v>319</v>
      </c>
      <c r="U413" s="3">
        <v>7</v>
      </c>
      <c r="V413" s="3">
        <v>1</v>
      </c>
      <c r="W413" s="3" t="s">
        <v>34</v>
      </c>
      <c r="X413" s="3" t="s">
        <v>320</v>
      </c>
      <c r="Y413" s="3">
        <v>7</v>
      </c>
      <c r="Z413" s="3">
        <v>1</v>
      </c>
      <c r="AA413" s="3" t="s">
        <v>28</v>
      </c>
      <c r="AB413" s="3" t="s">
        <v>29</v>
      </c>
      <c r="AC413" s="3" t="s">
        <v>664</v>
      </c>
      <c r="AD413" s="3" t="s">
        <v>63</v>
      </c>
      <c r="AE413" s="3" t="s">
        <v>31</v>
      </c>
      <c r="AF413" s="3" t="s">
        <v>664</v>
      </c>
      <c r="AG413" s="3" t="s">
        <v>39</v>
      </c>
    </row>
    <row r="414" spans="1:33">
      <c r="A414" s="1">
        <v>45208.96561702546</v>
      </c>
      <c r="B414" s="3" t="s">
        <v>1024</v>
      </c>
      <c r="C414" s="2">
        <v>31361</v>
      </c>
      <c r="D414" s="3">
        <v>37</v>
      </c>
      <c r="E414" s="3" t="s">
        <v>510</v>
      </c>
      <c r="F414" s="3" t="s">
        <v>520</v>
      </c>
      <c r="G414" s="3" t="s">
        <v>539</v>
      </c>
      <c r="H414" s="2">
        <v>44943</v>
      </c>
      <c r="I414" s="3">
        <v>1</v>
      </c>
      <c r="J414" s="3" t="s">
        <v>541</v>
      </c>
      <c r="K414" s="3">
        <v>3060</v>
      </c>
      <c r="L414" s="3">
        <v>39</v>
      </c>
      <c r="M414" s="3">
        <v>62</v>
      </c>
      <c r="N414" s="3">
        <v>80</v>
      </c>
      <c r="O414" s="3">
        <v>162</v>
      </c>
      <c r="P414" s="3" t="s">
        <v>33</v>
      </c>
      <c r="Q414" s="3" t="s">
        <v>26</v>
      </c>
      <c r="S414" s="3" t="s">
        <v>664</v>
      </c>
      <c r="T414" s="3" t="s">
        <v>57</v>
      </c>
      <c r="U414" s="3">
        <v>7</v>
      </c>
      <c r="V414" s="3">
        <v>1</v>
      </c>
      <c r="W414" s="3" t="s">
        <v>34</v>
      </c>
      <c r="X414" s="3" t="s">
        <v>35</v>
      </c>
      <c r="Y414" s="3">
        <v>7</v>
      </c>
      <c r="Z414" s="3">
        <v>1</v>
      </c>
      <c r="AA414" s="3" t="s">
        <v>49</v>
      </c>
      <c r="AB414" s="3" t="s">
        <v>321</v>
      </c>
      <c r="AC414" s="3" t="s">
        <v>664</v>
      </c>
      <c r="AD414" s="3" t="s">
        <v>211</v>
      </c>
      <c r="AE414" s="3" t="s">
        <v>38</v>
      </c>
      <c r="AF414" s="3" t="s">
        <v>664</v>
      </c>
      <c r="AG414" s="3" t="s">
        <v>39</v>
      </c>
    </row>
    <row r="415" spans="1:33">
      <c r="A415" s="1">
        <v>45208.96896726852</v>
      </c>
      <c r="B415" s="3" t="s">
        <v>1024</v>
      </c>
      <c r="C415" s="2">
        <v>30575</v>
      </c>
      <c r="D415" s="3">
        <v>40</v>
      </c>
      <c r="E415" s="3" t="s">
        <v>510</v>
      </c>
      <c r="F415" s="3" t="s">
        <v>520</v>
      </c>
      <c r="G415" s="3" t="s">
        <v>539</v>
      </c>
      <c r="H415" s="2">
        <v>44673</v>
      </c>
      <c r="I415" s="3">
        <v>1</v>
      </c>
      <c r="J415" s="3" t="s">
        <v>542</v>
      </c>
      <c r="K415" s="3">
        <v>3322</v>
      </c>
      <c r="L415" s="3" t="s">
        <v>769</v>
      </c>
      <c r="M415" s="3">
        <v>66</v>
      </c>
      <c r="N415" s="3">
        <v>79</v>
      </c>
      <c r="O415" s="3">
        <v>167</v>
      </c>
      <c r="P415" s="3" t="s">
        <v>33</v>
      </c>
      <c r="Q415" s="3" t="s">
        <v>26</v>
      </c>
      <c r="S415" s="3" t="s">
        <v>664</v>
      </c>
      <c r="T415" s="3" t="s">
        <v>57</v>
      </c>
      <c r="U415" s="3">
        <v>7</v>
      </c>
      <c r="V415" s="3">
        <v>1</v>
      </c>
      <c r="W415" s="3" t="s">
        <v>34</v>
      </c>
      <c r="X415" s="3" t="s">
        <v>322</v>
      </c>
      <c r="Y415" s="3">
        <v>7</v>
      </c>
      <c r="Z415" s="3">
        <v>1</v>
      </c>
      <c r="AA415" s="3" t="s">
        <v>42</v>
      </c>
      <c r="AB415" s="3" t="s">
        <v>29</v>
      </c>
      <c r="AC415" s="3" t="s">
        <v>664</v>
      </c>
      <c r="AD415" s="3" t="s">
        <v>30</v>
      </c>
      <c r="AE415" s="3" t="s">
        <v>38</v>
      </c>
      <c r="AF415" s="3" t="s">
        <v>664</v>
      </c>
      <c r="AG415" s="3" t="s">
        <v>94</v>
      </c>
    </row>
    <row r="416" spans="1:33">
      <c r="A416" s="1">
        <v>45208.980860706019</v>
      </c>
      <c r="B416" s="3" t="s">
        <v>1024</v>
      </c>
      <c r="C416" s="2">
        <v>33221</v>
      </c>
      <c r="D416" s="3">
        <v>32</v>
      </c>
      <c r="E416" s="3" t="s">
        <v>510</v>
      </c>
      <c r="F416" s="3" t="s">
        <v>520</v>
      </c>
      <c r="G416" s="3" t="s">
        <v>539</v>
      </c>
      <c r="H416" s="2">
        <v>43277</v>
      </c>
      <c r="I416" s="3">
        <v>2</v>
      </c>
      <c r="J416" s="3" t="s">
        <v>541</v>
      </c>
      <c r="K416" s="3">
        <v>3590</v>
      </c>
      <c r="L416" s="3" t="s">
        <v>636</v>
      </c>
      <c r="M416" s="3" t="s">
        <v>1241</v>
      </c>
      <c r="N416" s="3">
        <v>77</v>
      </c>
      <c r="O416" s="3" t="s">
        <v>1242</v>
      </c>
      <c r="P416" s="3" t="s">
        <v>33</v>
      </c>
      <c r="Q416" s="3" t="s">
        <v>26</v>
      </c>
      <c r="S416" s="3" t="s">
        <v>664</v>
      </c>
      <c r="T416" s="3" t="s">
        <v>27</v>
      </c>
      <c r="U416" s="3">
        <v>7</v>
      </c>
      <c r="V416" s="3">
        <v>1</v>
      </c>
      <c r="W416" s="3" t="s">
        <v>34</v>
      </c>
      <c r="X416" s="3" t="s">
        <v>61</v>
      </c>
      <c r="Y416" s="3">
        <v>7</v>
      </c>
      <c r="Z416" s="3">
        <v>1</v>
      </c>
      <c r="AA416" s="3" t="s">
        <v>49</v>
      </c>
      <c r="AB416" s="3" t="s">
        <v>29</v>
      </c>
      <c r="AC416" s="3" t="s">
        <v>664</v>
      </c>
      <c r="AD416" s="3" t="s">
        <v>30</v>
      </c>
      <c r="AE416" s="3" t="s">
        <v>60</v>
      </c>
      <c r="AF416" s="3" t="s">
        <v>664</v>
      </c>
      <c r="AG416" s="3" t="s">
        <v>62</v>
      </c>
    </row>
    <row r="417" spans="1:33">
      <c r="A417" s="1">
        <v>45208.984287187501</v>
      </c>
      <c r="B417" s="3" t="s">
        <v>1024</v>
      </c>
      <c r="C417" s="2">
        <v>33708</v>
      </c>
      <c r="D417" s="3">
        <v>31</v>
      </c>
      <c r="E417" s="3" t="s">
        <v>510</v>
      </c>
      <c r="F417" s="3" t="s">
        <v>520</v>
      </c>
      <c r="G417" s="3" t="s">
        <v>537</v>
      </c>
      <c r="H417" s="2">
        <v>44176</v>
      </c>
      <c r="I417" s="3">
        <v>1</v>
      </c>
      <c r="J417" s="3" t="s">
        <v>541</v>
      </c>
      <c r="K417" s="3" t="s">
        <v>1243</v>
      </c>
      <c r="L417" s="3" t="s">
        <v>770</v>
      </c>
      <c r="M417" s="3" t="s">
        <v>1244</v>
      </c>
      <c r="N417" s="3">
        <v>76.3</v>
      </c>
      <c r="O417" s="3">
        <v>157</v>
      </c>
      <c r="P417" s="3" t="s">
        <v>50</v>
      </c>
      <c r="Q417" s="3" t="s">
        <v>26</v>
      </c>
      <c r="S417" s="3" t="s">
        <v>664</v>
      </c>
      <c r="T417" s="3" t="s">
        <v>56</v>
      </c>
      <c r="U417" s="3">
        <v>7</v>
      </c>
      <c r="V417" s="3">
        <v>1</v>
      </c>
      <c r="W417" s="3" t="s">
        <v>34</v>
      </c>
      <c r="X417" s="3" t="s">
        <v>61</v>
      </c>
      <c r="Y417" s="3">
        <v>7</v>
      </c>
      <c r="Z417" s="3">
        <v>1</v>
      </c>
      <c r="AA417" s="3" t="s">
        <v>42</v>
      </c>
      <c r="AB417" s="3" t="s">
        <v>83</v>
      </c>
      <c r="AC417" s="3" t="s">
        <v>664</v>
      </c>
      <c r="AD417" s="3" t="s">
        <v>30</v>
      </c>
      <c r="AE417" s="3" t="s">
        <v>38</v>
      </c>
      <c r="AF417" s="3" t="s">
        <v>664</v>
      </c>
      <c r="AG417" s="3" t="s">
        <v>39</v>
      </c>
    </row>
    <row r="418" spans="1:33">
      <c r="A418" s="1">
        <v>45209.037402893518</v>
      </c>
      <c r="B418" s="3" t="s">
        <v>1024</v>
      </c>
      <c r="C418" s="2">
        <v>31006</v>
      </c>
      <c r="D418" s="3">
        <v>38</v>
      </c>
      <c r="E418" s="3" t="s">
        <v>510</v>
      </c>
      <c r="F418" s="3" t="s">
        <v>520</v>
      </c>
      <c r="G418" s="3" t="s">
        <v>539</v>
      </c>
      <c r="H418" s="2">
        <v>44751</v>
      </c>
      <c r="I418" s="3">
        <v>1</v>
      </c>
      <c r="J418" s="3" t="s">
        <v>542</v>
      </c>
      <c r="K418" s="3" t="s">
        <v>1213</v>
      </c>
      <c r="L418" s="3">
        <v>39</v>
      </c>
      <c r="M418" s="3">
        <v>84</v>
      </c>
      <c r="N418" s="3">
        <v>96</v>
      </c>
      <c r="O418" s="3">
        <v>161</v>
      </c>
      <c r="P418" s="3" t="s">
        <v>44</v>
      </c>
      <c r="Q418" s="3" t="s">
        <v>26</v>
      </c>
      <c r="S418" s="3" t="s">
        <v>664</v>
      </c>
      <c r="T418" s="3" t="s">
        <v>27</v>
      </c>
      <c r="U418" s="3">
        <v>7</v>
      </c>
      <c r="V418" s="3">
        <v>1</v>
      </c>
      <c r="W418" s="3" t="s">
        <v>34</v>
      </c>
      <c r="X418" s="3" t="s">
        <v>314</v>
      </c>
      <c r="Y418" s="3">
        <v>7</v>
      </c>
      <c r="Z418" s="3">
        <v>1</v>
      </c>
      <c r="AA418" s="3" t="s">
        <v>228</v>
      </c>
      <c r="AB418" s="3" t="s">
        <v>29</v>
      </c>
      <c r="AC418" s="3" t="s">
        <v>664</v>
      </c>
      <c r="AD418" s="3" t="s">
        <v>63</v>
      </c>
      <c r="AE418" s="3" t="s">
        <v>31</v>
      </c>
      <c r="AF418" s="3" t="s">
        <v>664</v>
      </c>
      <c r="AG418" s="3" t="s">
        <v>32</v>
      </c>
    </row>
    <row r="419" spans="1:33">
      <c r="A419" s="1">
        <v>45209.091010520831</v>
      </c>
      <c r="B419" s="3" t="s">
        <v>1024</v>
      </c>
      <c r="C419" s="2">
        <v>33393</v>
      </c>
      <c r="D419" s="3">
        <v>32</v>
      </c>
      <c r="E419" s="3" t="s">
        <v>510</v>
      </c>
      <c r="F419" s="3" t="s">
        <v>520</v>
      </c>
      <c r="G419" s="3" t="s">
        <v>538</v>
      </c>
      <c r="H419" s="2">
        <v>44629</v>
      </c>
      <c r="I419" s="3">
        <v>2</v>
      </c>
      <c r="J419" s="3" t="s">
        <v>542</v>
      </c>
      <c r="K419" s="3" t="s">
        <v>1245</v>
      </c>
      <c r="L419" s="3" t="s">
        <v>673</v>
      </c>
      <c r="M419" s="3">
        <v>102</v>
      </c>
      <c r="N419" s="3">
        <v>108</v>
      </c>
      <c r="O419" s="3">
        <v>160</v>
      </c>
      <c r="P419" s="3" t="s">
        <v>33</v>
      </c>
      <c r="Q419" s="3" t="s">
        <v>26</v>
      </c>
      <c r="S419" s="3" t="s">
        <v>664</v>
      </c>
      <c r="T419" s="3" t="s">
        <v>79</v>
      </c>
      <c r="U419" s="3">
        <v>7</v>
      </c>
      <c r="V419" s="3">
        <v>1</v>
      </c>
      <c r="W419" s="3" t="s">
        <v>26</v>
      </c>
      <c r="AA419" s="3" t="s">
        <v>42</v>
      </c>
      <c r="AB419" s="3" t="s">
        <v>29</v>
      </c>
      <c r="AC419" s="3" t="s">
        <v>664</v>
      </c>
      <c r="AD419" s="3" t="s">
        <v>30</v>
      </c>
      <c r="AE419" s="3" t="s">
        <v>31</v>
      </c>
      <c r="AF419" s="3" t="s">
        <v>664</v>
      </c>
      <c r="AG419" s="3" t="s">
        <v>39</v>
      </c>
    </row>
    <row r="420" spans="1:33">
      <c r="A420" s="1">
        <v>45209.106066006949</v>
      </c>
      <c r="B420" s="3" t="s">
        <v>1024</v>
      </c>
      <c r="C420" s="2">
        <v>29941</v>
      </c>
      <c r="D420" s="3">
        <v>41</v>
      </c>
      <c r="E420" s="3" t="s">
        <v>510</v>
      </c>
      <c r="F420" s="3" t="s">
        <v>520</v>
      </c>
      <c r="G420" s="3" t="s">
        <v>540</v>
      </c>
      <c r="H420" s="2">
        <v>44615</v>
      </c>
      <c r="I420" s="3">
        <v>4</v>
      </c>
      <c r="J420" s="3" t="s">
        <v>542</v>
      </c>
      <c r="K420" s="3">
        <v>2650</v>
      </c>
      <c r="L420" s="3">
        <v>40</v>
      </c>
      <c r="M420" s="3">
        <v>50</v>
      </c>
      <c r="N420" s="3">
        <v>66</v>
      </c>
      <c r="O420" s="3">
        <v>157</v>
      </c>
      <c r="P420" s="3" t="s">
        <v>295</v>
      </c>
      <c r="Q420" s="3" t="s">
        <v>26</v>
      </c>
      <c r="S420" s="3" t="s">
        <v>664</v>
      </c>
      <c r="T420" s="3" t="s">
        <v>43</v>
      </c>
      <c r="U420" s="3">
        <v>7</v>
      </c>
      <c r="V420" s="3">
        <v>1</v>
      </c>
      <c r="W420" s="3" t="s">
        <v>34</v>
      </c>
      <c r="X420" s="3" t="s">
        <v>323</v>
      </c>
      <c r="Y420" s="3">
        <v>7</v>
      </c>
      <c r="Z420" s="3">
        <v>1</v>
      </c>
      <c r="AA420" s="3" t="s">
        <v>54</v>
      </c>
      <c r="AB420" s="3" t="s">
        <v>324</v>
      </c>
      <c r="AC420" s="3" t="s">
        <v>664</v>
      </c>
      <c r="AD420" s="3" t="s">
        <v>30</v>
      </c>
      <c r="AE420" s="3" t="s">
        <v>31</v>
      </c>
      <c r="AF420" s="3" t="s">
        <v>664</v>
      </c>
      <c r="AG420" s="3" t="s">
        <v>32</v>
      </c>
    </row>
    <row r="421" spans="1:33">
      <c r="A421" s="1">
        <v>45209.168971203704</v>
      </c>
      <c r="B421" s="3" t="s">
        <v>1024</v>
      </c>
      <c r="C421" s="2">
        <v>44274</v>
      </c>
      <c r="D421" s="3">
        <v>34</v>
      </c>
      <c r="E421" s="3" t="s">
        <v>510</v>
      </c>
      <c r="F421" s="3" t="s">
        <v>522</v>
      </c>
      <c r="G421" s="3" t="s">
        <v>539</v>
      </c>
      <c r="H421" s="2">
        <v>44274</v>
      </c>
      <c r="I421" s="3">
        <v>2</v>
      </c>
      <c r="J421" s="3" t="s">
        <v>542</v>
      </c>
      <c r="K421" s="3">
        <v>2800</v>
      </c>
      <c r="L421" s="3">
        <v>39</v>
      </c>
      <c r="M421" s="3">
        <v>55</v>
      </c>
      <c r="N421" s="3">
        <v>64</v>
      </c>
      <c r="O421" s="3">
        <v>160</v>
      </c>
      <c r="P421" s="3" t="s">
        <v>33</v>
      </c>
      <c r="Q421" s="3" t="s">
        <v>26</v>
      </c>
      <c r="S421" s="3" t="s">
        <v>664</v>
      </c>
      <c r="T421" s="3" t="s">
        <v>79</v>
      </c>
      <c r="U421" s="3">
        <v>7</v>
      </c>
      <c r="V421" s="3">
        <v>1</v>
      </c>
      <c r="W421" s="3" t="s">
        <v>26</v>
      </c>
      <c r="AA421" s="3" t="s">
        <v>42</v>
      </c>
      <c r="AB421" s="3" t="s">
        <v>29</v>
      </c>
      <c r="AC421" s="3" t="s">
        <v>664</v>
      </c>
      <c r="AD421" s="3" t="s">
        <v>30</v>
      </c>
      <c r="AE421" s="3" t="s">
        <v>38</v>
      </c>
      <c r="AF421" s="3" t="s">
        <v>664</v>
      </c>
      <c r="AG421" s="3" t="s">
        <v>32</v>
      </c>
    </row>
    <row r="422" spans="1:33">
      <c r="A422" s="1">
        <v>45209.302028182872</v>
      </c>
      <c r="B422" s="3" t="s">
        <v>1024</v>
      </c>
      <c r="C422" s="2">
        <v>32917</v>
      </c>
      <c r="D422" s="3">
        <v>33</v>
      </c>
      <c r="E422" s="3" t="s">
        <v>510</v>
      </c>
      <c r="F422" s="3" t="s">
        <v>520</v>
      </c>
      <c r="G422" s="3" t="s">
        <v>539</v>
      </c>
      <c r="H422" s="2">
        <v>44308</v>
      </c>
      <c r="I422" s="3">
        <v>1</v>
      </c>
      <c r="J422" s="3" t="s">
        <v>541</v>
      </c>
      <c r="K422" s="3">
        <v>4405</v>
      </c>
      <c r="L422" s="3" t="s">
        <v>638</v>
      </c>
      <c r="M422" s="3">
        <v>90</v>
      </c>
      <c r="N422" s="3" t="s">
        <v>1246</v>
      </c>
      <c r="O422" s="3">
        <v>162</v>
      </c>
      <c r="P422" s="3" t="s">
        <v>33</v>
      </c>
      <c r="Q422" s="3" t="s">
        <v>26</v>
      </c>
      <c r="S422" s="3" t="s">
        <v>664</v>
      </c>
      <c r="T422" s="3" t="s">
        <v>81</v>
      </c>
      <c r="U422" s="3">
        <v>7</v>
      </c>
      <c r="V422" s="3">
        <v>1</v>
      </c>
      <c r="W422" s="3" t="s">
        <v>34</v>
      </c>
      <c r="X422" s="3" t="s">
        <v>58</v>
      </c>
      <c r="Y422" s="3">
        <v>7</v>
      </c>
      <c r="Z422" s="3">
        <v>1</v>
      </c>
      <c r="AA422" s="3" t="s">
        <v>54</v>
      </c>
      <c r="AB422" s="3" t="s">
        <v>29</v>
      </c>
      <c r="AC422" s="3" t="s">
        <v>664</v>
      </c>
      <c r="AD422" s="3" t="s">
        <v>55</v>
      </c>
      <c r="AE422" s="3" t="s">
        <v>31</v>
      </c>
      <c r="AF422" s="3" t="s">
        <v>664</v>
      </c>
      <c r="AG422" s="3" t="s">
        <v>39</v>
      </c>
    </row>
    <row r="423" spans="1:33">
      <c r="A423" s="1">
        <v>45209.370823275458</v>
      </c>
      <c r="B423" s="3" t="s">
        <v>1024</v>
      </c>
      <c r="C423" s="2">
        <v>32997</v>
      </c>
      <c r="D423" s="3">
        <v>33</v>
      </c>
      <c r="E423" s="3" t="s">
        <v>510</v>
      </c>
      <c r="F423" s="3" t="s">
        <v>529</v>
      </c>
      <c r="G423" s="3" t="s">
        <v>539</v>
      </c>
      <c r="H423" s="2">
        <v>43332</v>
      </c>
      <c r="I423" s="3">
        <v>1</v>
      </c>
      <c r="J423" s="3" t="s">
        <v>542</v>
      </c>
      <c r="K423" s="3">
        <v>3250</v>
      </c>
      <c r="L423" s="3" t="s">
        <v>1247</v>
      </c>
      <c r="M423" s="3">
        <v>90</v>
      </c>
      <c r="N423" s="3">
        <v>96</v>
      </c>
      <c r="O423" s="3">
        <v>162</v>
      </c>
      <c r="P423" s="3" t="s">
        <v>44</v>
      </c>
      <c r="Q423" s="3" t="s">
        <v>26</v>
      </c>
      <c r="S423" s="3" t="s">
        <v>664</v>
      </c>
      <c r="T423" s="3" t="s">
        <v>41</v>
      </c>
      <c r="U423" s="3">
        <v>7</v>
      </c>
      <c r="V423" s="3">
        <v>1</v>
      </c>
      <c r="W423" s="3" t="s">
        <v>34</v>
      </c>
      <c r="X423" s="3" t="s">
        <v>58</v>
      </c>
      <c r="Y423" s="3">
        <v>7</v>
      </c>
      <c r="Z423" s="3">
        <v>1</v>
      </c>
      <c r="AA423" s="3" t="s">
        <v>42</v>
      </c>
      <c r="AB423" s="3" t="s">
        <v>83</v>
      </c>
      <c r="AC423" s="3" t="s">
        <v>664</v>
      </c>
      <c r="AD423" s="3" t="s">
        <v>37</v>
      </c>
      <c r="AE423" s="3" t="s">
        <v>31</v>
      </c>
      <c r="AF423" s="3" t="s">
        <v>664</v>
      </c>
      <c r="AG423" s="3" t="s">
        <v>39</v>
      </c>
    </row>
    <row r="424" spans="1:33">
      <c r="A424" s="1">
        <v>45209.375110937501</v>
      </c>
      <c r="B424" s="3" t="s">
        <v>1024</v>
      </c>
      <c r="C424" s="2">
        <v>34182</v>
      </c>
      <c r="D424" s="3">
        <v>30</v>
      </c>
      <c r="E424" s="3" t="s">
        <v>510</v>
      </c>
      <c r="F424" s="3" t="s">
        <v>521</v>
      </c>
      <c r="G424" s="3" t="s">
        <v>537</v>
      </c>
      <c r="H424" s="2">
        <v>45036</v>
      </c>
      <c r="I424" s="3">
        <v>1</v>
      </c>
      <c r="J424" s="3" t="s">
        <v>541</v>
      </c>
      <c r="K424" s="3" t="s">
        <v>1034</v>
      </c>
      <c r="L424" s="3" t="s">
        <v>636</v>
      </c>
      <c r="M424" s="3">
        <v>94</v>
      </c>
      <c r="N424" s="3">
        <v>105</v>
      </c>
      <c r="O424" s="3">
        <v>160</v>
      </c>
      <c r="P424" s="3" t="s">
        <v>44</v>
      </c>
      <c r="Q424" s="3" t="s">
        <v>26</v>
      </c>
      <c r="S424" s="3" t="s">
        <v>664</v>
      </c>
      <c r="T424" s="3" t="s">
        <v>79</v>
      </c>
      <c r="U424" s="3">
        <v>7</v>
      </c>
      <c r="V424" s="3">
        <v>1</v>
      </c>
      <c r="W424" s="3" t="s">
        <v>26</v>
      </c>
      <c r="AA424" s="3" t="s">
        <v>49</v>
      </c>
      <c r="AB424" s="3" t="s">
        <v>325</v>
      </c>
      <c r="AC424" s="3" t="s">
        <v>664</v>
      </c>
      <c r="AD424" s="3" t="s">
        <v>30</v>
      </c>
      <c r="AE424" s="3" t="s">
        <v>31</v>
      </c>
      <c r="AF424" s="3" t="s">
        <v>664</v>
      </c>
      <c r="AG424" s="3" t="s">
        <v>62</v>
      </c>
    </row>
    <row r="425" spans="1:33">
      <c r="A425" s="1">
        <v>45209.411026168978</v>
      </c>
      <c r="B425" s="3" t="s">
        <v>1024</v>
      </c>
      <c r="C425" s="2">
        <v>29977</v>
      </c>
      <c r="D425" s="3">
        <v>41</v>
      </c>
      <c r="E425" s="3" t="s">
        <v>510</v>
      </c>
      <c r="F425" s="3" t="s">
        <v>520</v>
      </c>
      <c r="G425" s="3" t="s">
        <v>539</v>
      </c>
      <c r="H425" s="2">
        <v>44693</v>
      </c>
      <c r="I425" s="3">
        <v>1</v>
      </c>
      <c r="J425" s="3" t="s">
        <v>542</v>
      </c>
      <c r="K425" s="3">
        <v>3320</v>
      </c>
      <c r="L425" s="3" t="s">
        <v>683</v>
      </c>
      <c r="M425" s="3">
        <v>64</v>
      </c>
      <c r="N425" s="3">
        <v>78</v>
      </c>
      <c r="O425" s="3">
        <v>160</v>
      </c>
      <c r="P425" s="3" t="s">
        <v>44</v>
      </c>
      <c r="Q425" s="3" t="s">
        <v>26</v>
      </c>
      <c r="S425" s="3" t="s">
        <v>664</v>
      </c>
      <c r="T425" s="3" t="s">
        <v>57</v>
      </c>
      <c r="U425" s="3">
        <v>7</v>
      </c>
      <c r="V425" s="3">
        <v>1</v>
      </c>
      <c r="W425" s="3" t="s">
        <v>34</v>
      </c>
      <c r="X425" s="3" t="s">
        <v>326</v>
      </c>
      <c r="Y425" s="3">
        <v>7</v>
      </c>
      <c r="Z425" s="3">
        <v>1</v>
      </c>
      <c r="AA425" s="3" t="s">
        <v>36</v>
      </c>
      <c r="AB425" s="3" t="s">
        <v>327</v>
      </c>
      <c r="AC425" s="3" t="s">
        <v>664</v>
      </c>
      <c r="AD425" s="3" t="s">
        <v>30</v>
      </c>
      <c r="AE425" s="3" t="s">
        <v>31</v>
      </c>
      <c r="AF425" s="3" t="s">
        <v>664</v>
      </c>
      <c r="AG425" s="3" t="s">
        <v>32</v>
      </c>
    </row>
    <row r="426" spans="1:33">
      <c r="A426" s="1">
        <v>45209.413167986109</v>
      </c>
      <c r="B426" s="3" t="s">
        <v>1024</v>
      </c>
      <c r="C426" s="2">
        <v>33187</v>
      </c>
      <c r="D426" s="3">
        <v>32</v>
      </c>
      <c r="E426" s="3" t="s">
        <v>510</v>
      </c>
      <c r="F426" s="3" t="s">
        <v>525</v>
      </c>
      <c r="G426" s="3" t="s">
        <v>539</v>
      </c>
      <c r="H426" s="2">
        <v>45122</v>
      </c>
      <c r="I426" s="3">
        <v>2</v>
      </c>
      <c r="J426" s="3" t="s">
        <v>541</v>
      </c>
      <c r="K426" s="3">
        <v>1998</v>
      </c>
      <c r="L426" s="3">
        <v>34</v>
      </c>
      <c r="M426" s="3">
        <v>72</v>
      </c>
      <c r="N426" s="3">
        <v>85</v>
      </c>
      <c r="O426" s="3">
        <v>158</v>
      </c>
      <c r="P426" s="3" t="s">
        <v>25</v>
      </c>
      <c r="Q426" s="3" t="s">
        <v>26</v>
      </c>
      <c r="S426" s="3" t="s">
        <v>664</v>
      </c>
      <c r="T426" s="3" t="s">
        <v>27</v>
      </c>
      <c r="U426" s="3">
        <v>7</v>
      </c>
      <c r="V426" s="3">
        <v>1</v>
      </c>
      <c r="W426" s="3" t="s">
        <v>34</v>
      </c>
      <c r="X426" s="3" t="s">
        <v>35</v>
      </c>
      <c r="Y426" s="3">
        <v>7</v>
      </c>
      <c r="Z426" s="3">
        <v>1</v>
      </c>
      <c r="AA426" s="3" t="s">
        <v>28</v>
      </c>
      <c r="AB426" s="3" t="s">
        <v>83</v>
      </c>
      <c r="AC426" s="3" t="s">
        <v>664</v>
      </c>
      <c r="AD426" s="3" t="s">
        <v>594</v>
      </c>
      <c r="AE426" s="3" t="s">
        <v>38</v>
      </c>
      <c r="AF426" s="3" t="s">
        <v>664</v>
      </c>
      <c r="AG426" s="3" t="s">
        <v>39</v>
      </c>
    </row>
    <row r="427" spans="1:33">
      <c r="A427" s="1">
        <v>45209.424773333332</v>
      </c>
      <c r="B427" s="3" t="s">
        <v>1024</v>
      </c>
      <c r="C427" s="2">
        <v>36381</v>
      </c>
      <c r="D427" s="3">
        <v>24</v>
      </c>
      <c r="E427" s="3" t="s">
        <v>510</v>
      </c>
      <c r="F427" s="3" t="s">
        <v>520</v>
      </c>
      <c r="G427" s="3" t="s">
        <v>537</v>
      </c>
      <c r="H427" s="2">
        <v>44000</v>
      </c>
      <c r="I427" s="3">
        <v>1</v>
      </c>
      <c r="J427" s="3" t="s">
        <v>541</v>
      </c>
      <c r="K427" s="3">
        <v>3250</v>
      </c>
      <c r="L427" s="3" t="s">
        <v>736</v>
      </c>
      <c r="M427" s="3">
        <v>40</v>
      </c>
      <c r="N427" s="3">
        <v>62</v>
      </c>
      <c r="O427" s="3">
        <v>1.55</v>
      </c>
      <c r="P427" s="3" t="s">
        <v>33</v>
      </c>
      <c r="Q427" s="3" t="s">
        <v>26</v>
      </c>
      <c r="S427" s="3" t="s">
        <v>664</v>
      </c>
      <c r="T427" s="3" t="s">
        <v>43</v>
      </c>
      <c r="U427" s="3">
        <v>7</v>
      </c>
      <c r="V427" s="3">
        <v>1</v>
      </c>
      <c r="W427" s="3" t="s">
        <v>34</v>
      </c>
      <c r="X427" s="3" t="s">
        <v>184</v>
      </c>
      <c r="Y427" s="3">
        <v>7</v>
      </c>
      <c r="Z427" s="3">
        <v>1</v>
      </c>
      <c r="AA427" s="3" t="s">
        <v>49</v>
      </c>
      <c r="AB427" s="3" t="s">
        <v>29</v>
      </c>
      <c r="AC427" s="3" t="s">
        <v>664</v>
      </c>
      <c r="AD427" s="3" t="s">
        <v>30</v>
      </c>
      <c r="AE427" s="3" t="s">
        <v>31</v>
      </c>
      <c r="AF427" s="3" t="s">
        <v>664</v>
      </c>
      <c r="AG427" s="3" t="s">
        <v>32</v>
      </c>
    </row>
    <row r="428" spans="1:33">
      <c r="A428" s="1">
        <v>45209.438469050925</v>
      </c>
      <c r="B428" s="3" t="s">
        <v>1024</v>
      </c>
      <c r="C428" s="2">
        <v>33586</v>
      </c>
      <c r="D428" s="3">
        <v>31</v>
      </c>
      <c r="E428" s="3" t="s">
        <v>510</v>
      </c>
      <c r="F428" s="3" t="s">
        <v>520</v>
      </c>
      <c r="G428" s="3" t="s">
        <v>539</v>
      </c>
      <c r="H428" s="2">
        <v>45100</v>
      </c>
      <c r="I428" s="3">
        <v>2</v>
      </c>
      <c r="J428" s="3" t="s">
        <v>541</v>
      </c>
      <c r="K428" s="3">
        <v>3380</v>
      </c>
      <c r="L428" s="3" t="s">
        <v>731</v>
      </c>
      <c r="M428" s="3">
        <v>72</v>
      </c>
      <c r="N428" s="3">
        <v>80</v>
      </c>
      <c r="O428" s="3">
        <v>160</v>
      </c>
      <c r="P428" s="3" t="s">
        <v>33</v>
      </c>
      <c r="Q428" s="3" t="s">
        <v>26</v>
      </c>
      <c r="S428" s="3" t="s">
        <v>664</v>
      </c>
      <c r="T428" s="3" t="s">
        <v>79</v>
      </c>
      <c r="U428" s="3">
        <v>7</v>
      </c>
      <c r="V428" s="3">
        <v>1</v>
      </c>
      <c r="W428" s="3" t="s">
        <v>26</v>
      </c>
      <c r="AA428" s="3" t="s">
        <v>42</v>
      </c>
      <c r="AB428" s="3" t="s">
        <v>328</v>
      </c>
      <c r="AC428" s="3" t="s">
        <v>664</v>
      </c>
      <c r="AD428" s="3" t="s">
        <v>30</v>
      </c>
      <c r="AE428" s="3" t="s">
        <v>72</v>
      </c>
      <c r="AF428" s="3" t="s">
        <v>664</v>
      </c>
      <c r="AG428" s="3" t="s">
        <v>76</v>
      </c>
    </row>
    <row r="429" spans="1:33">
      <c r="A429" s="1">
        <v>45209.509655196758</v>
      </c>
      <c r="B429" s="3" t="s">
        <v>1024</v>
      </c>
      <c r="C429" s="2">
        <v>32171</v>
      </c>
      <c r="D429" s="3">
        <v>35</v>
      </c>
      <c r="E429" s="3" t="s">
        <v>510</v>
      </c>
      <c r="F429" s="3" t="s">
        <v>529</v>
      </c>
      <c r="G429" s="3" t="s">
        <v>539</v>
      </c>
      <c r="H429" s="2">
        <v>44978</v>
      </c>
      <c r="I429" s="3">
        <v>2</v>
      </c>
      <c r="J429" s="3" t="s">
        <v>542</v>
      </c>
      <c r="K429" s="3" t="s">
        <v>1248</v>
      </c>
      <c r="L429" s="3">
        <v>39</v>
      </c>
      <c r="M429" s="3">
        <v>74</v>
      </c>
      <c r="N429" s="3">
        <v>85</v>
      </c>
      <c r="O429" s="3">
        <v>149</v>
      </c>
      <c r="P429" s="3" t="s">
        <v>33</v>
      </c>
      <c r="Q429" s="3" t="s">
        <v>26</v>
      </c>
      <c r="S429" s="3" t="s">
        <v>664</v>
      </c>
      <c r="T429" s="3" t="s">
        <v>79</v>
      </c>
      <c r="U429" s="3">
        <v>6</v>
      </c>
      <c r="V429" s="3">
        <v>2</v>
      </c>
      <c r="W429" s="3" t="s">
        <v>26</v>
      </c>
      <c r="AA429" s="3" t="s">
        <v>36</v>
      </c>
      <c r="AB429" s="3" t="s">
        <v>29</v>
      </c>
      <c r="AC429" s="3" t="s">
        <v>664</v>
      </c>
      <c r="AD429" s="3" t="s">
        <v>30</v>
      </c>
      <c r="AE429" s="3" t="s">
        <v>31</v>
      </c>
      <c r="AF429" s="3" t="s">
        <v>664</v>
      </c>
      <c r="AG429" s="3" t="s">
        <v>32</v>
      </c>
    </row>
    <row r="430" spans="1:33">
      <c r="A430" s="1">
        <v>45209.512541851851</v>
      </c>
      <c r="B430" s="3" t="s">
        <v>1024</v>
      </c>
      <c r="C430" s="2">
        <v>34915</v>
      </c>
      <c r="D430" s="3">
        <v>28</v>
      </c>
      <c r="E430" s="3" t="s">
        <v>510</v>
      </c>
      <c r="F430" s="3" t="s">
        <v>522</v>
      </c>
      <c r="G430" s="3" t="s">
        <v>540</v>
      </c>
      <c r="H430" s="2">
        <v>44018</v>
      </c>
      <c r="I430" s="3">
        <v>1</v>
      </c>
      <c r="J430" s="3" t="s">
        <v>541</v>
      </c>
      <c r="K430" s="3" t="s">
        <v>1249</v>
      </c>
      <c r="L430" s="3" t="s">
        <v>771</v>
      </c>
      <c r="M430" s="3">
        <v>60</v>
      </c>
      <c r="N430" s="3">
        <v>69</v>
      </c>
      <c r="O430" s="3">
        <v>1.53</v>
      </c>
      <c r="P430" s="3" t="s">
        <v>25</v>
      </c>
      <c r="Q430" s="3" t="s">
        <v>26</v>
      </c>
      <c r="S430" s="3" t="s">
        <v>664</v>
      </c>
      <c r="T430" s="3" t="s">
        <v>43</v>
      </c>
      <c r="U430" s="3">
        <v>7</v>
      </c>
      <c r="V430" s="3">
        <v>1</v>
      </c>
      <c r="W430" s="3" t="s">
        <v>26</v>
      </c>
      <c r="AA430" s="3" t="s">
        <v>49</v>
      </c>
      <c r="AB430" s="3" t="s">
        <v>29</v>
      </c>
      <c r="AC430" s="3" t="s">
        <v>664</v>
      </c>
      <c r="AD430" s="3" t="s">
        <v>55</v>
      </c>
      <c r="AE430" s="3" t="s">
        <v>38</v>
      </c>
      <c r="AF430" s="3" t="s">
        <v>664</v>
      </c>
      <c r="AG430" s="3" t="s">
        <v>39</v>
      </c>
    </row>
    <row r="431" spans="1:33">
      <c r="A431" s="1">
        <v>45209.516848553241</v>
      </c>
      <c r="B431" s="3" t="s">
        <v>1024</v>
      </c>
      <c r="C431" s="2">
        <v>33187</v>
      </c>
      <c r="D431" s="3">
        <v>32</v>
      </c>
      <c r="E431" s="3" t="s">
        <v>510</v>
      </c>
      <c r="F431" s="3" t="s">
        <v>525</v>
      </c>
      <c r="G431" s="3" t="s">
        <v>539</v>
      </c>
      <c r="H431" s="2">
        <v>44427</v>
      </c>
      <c r="I431" s="3">
        <v>1</v>
      </c>
      <c r="J431" s="3" t="s">
        <v>542</v>
      </c>
      <c r="K431" s="3">
        <v>2.97</v>
      </c>
      <c r="L431" s="3">
        <v>39</v>
      </c>
      <c r="M431" s="3">
        <v>120</v>
      </c>
      <c r="N431" s="3">
        <v>128.5</v>
      </c>
      <c r="O431" s="3">
        <v>1.69</v>
      </c>
      <c r="P431" s="3" t="s">
        <v>33</v>
      </c>
      <c r="Q431" s="3" t="s">
        <v>26</v>
      </c>
      <c r="S431" s="3" t="s">
        <v>664</v>
      </c>
      <c r="T431" s="3" t="s">
        <v>57</v>
      </c>
      <c r="U431" s="3">
        <v>7</v>
      </c>
      <c r="V431" s="3">
        <v>1</v>
      </c>
      <c r="W431" s="3" t="s">
        <v>34</v>
      </c>
      <c r="X431" s="3" t="s">
        <v>186</v>
      </c>
      <c r="Y431" s="3">
        <v>7</v>
      </c>
      <c r="Z431" s="3">
        <v>1</v>
      </c>
      <c r="AA431" s="3" t="s">
        <v>49</v>
      </c>
      <c r="AB431" s="3" t="s">
        <v>329</v>
      </c>
      <c r="AC431" s="3" t="s">
        <v>664</v>
      </c>
      <c r="AD431" s="3" t="s">
        <v>30</v>
      </c>
      <c r="AE431" s="3" t="s">
        <v>72</v>
      </c>
      <c r="AF431" s="3" t="s">
        <v>664</v>
      </c>
      <c r="AG431" s="3" t="s">
        <v>48</v>
      </c>
    </row>
    <row r="432" spans="1:33">
      <c r="A432" s="1">
        <v>45209.521986851847</v>
      </c>
      <c r="B432" s="3" t="s">
        <v>1024</v>
      </c>
      <c r="C432" s="2">
        <v>30706</v>
      </c>
      <c r="D432" s="3">
        <v>39</v>
      </c>
      <c r="E432" s="3" t="s">
        <v>510</v>
      </c>
      <c r="F432" s="3" t="s">
        <v>520</v>
      </c>
      <c r="G432" s="3" t="s">
        <v>539</v>
      </c>
      <c r="H432" s="2">
        <v>43243</v>
      </c>
      <c r="I432" s="3">
        <v>2</v>
      </c>
      <c r="J432" s="3" t="s">
        <v>541</v>
      </c>
      <c r="K432" s="3">
        <v>3750</v>
      </c>
      <c r="L432" s="3">
        <v>37</v>
      </c>
      <c r="M432" s="3">
        <v>80</v>
      </c>
      <c r="N432" s="3">
        <v>85</v>
      </c>
      <c r="O432" s="3">
        <v>166</v>
      </c>
      <c r="P432" s="3" t="s">
        <v>33</v>
      </c>
      <c r="Q432" s="3" t="s">
        <v>26</v>
      </c>
      <c r="S432" s="3" t="s">
        <v>664</v>
      </c>
      <c r="T432" s="3" t="s">
        <v>43</v>
      </c>
      <c r="U432" s="3">
        <v>7</v>
      </c>
      <c r="V432" s="3">
        <v>1</v>
      </c>
      <c r="W432" s="3" t="s">
        <v>34</v>
      </c>
      <c r="X432" s="3" t="s">
        <v>58</v>
      </c>
      <c r="Y432" s="3">
        <v>7</v>
      </c>
      <c r="Z432" s="3">
        <v>1</v>
      </c>
      <c r="AA432" s="3" t="s">
        <v>28</v>
      </c>
      <c r="AB432" s="3" t="s">
        <v>29</v>
      </c>
      <c r="AC432" s="3" t="s">
        <v>664</v>
      </c>
      <c r="AD432" s="3" t="s">
        <v>30</v>
      </c>
      <c r="AE432" s="3" t="s">
        <v>72</v>
      </c>
      <c r="AF432" s="3" t="s">
        <v>664</v>
      </c>
      <c r="AG432" s="3" t="s">
        <v>48</v>
      </c>
    </row>
    <row r="433" spans="1:33">
      <c r="A433" s="1">
        <v>45209.548187928245</v>
      </c>
      <c r="B433" s="3" t="s">
        <v>1024</v>
      </c>
      <c r="C433" s="2">
        <v>30433</v>
      </c>
      <c r="D433" s="3">
        <v>40</v>
      </c>
      <c r="E433" s="3" t="s">
        <v>510</v>
      </c>
      <c r="F433" s="3" t="s">
        <v>531</v>
      </c>
      <c r="G433" s="3" t="s">
        <v>537</v>
      </c>
      <c r="H433" s="2">
        <v>44971</v>
      </c>
      <c r="I433" s="3">
        <v>2</v>
      </c>
      <c r="J433" s="3" t="s">
        <v>541</v>
      </c>
      <c r="K433" s="3" t="s">
        <v>1250</v>
      </c>
      <c r="L433" s="3" t="s">
        <v>772</v>
      </c>
      <c r="M433" s="3">
        <v>60</v>
      </c>
      <c r="N433" s="3">
        <v>68</v>
      </c>
      <c r="O433" s="3">
        <v>160</v>
      </c>
      <c r="P433" s="3" t="s">
        <v>25</v>
      </c>
      <c r="Q433" s="3" t="s">
        <v>34</v>
      </c>
      <c r="R433" s="3" t="s">
        <v>330</v>
      </c>
      <c r="S433" s="3" t="s">
        <v>664</v>
      </c>
      <c r="T433" s="3" t="s">
        <v>27</v>
      </c>
      <c r="U433" s="3">
        <v>7</v>
      </c>
      <c r="V433" s="3">
        <v>1</v>
      </c>
      <c r="W433" s="3" t="s">
        <v>26</v>
      </c>
      <c r="AA433" s="3" t="s">
        <v>42</v>
      </c>
      <c r="AB433" s="3" t="s">
        <v>29</v>
      </c>
      <c r="AC433" s="3" t="s">
        <v>664</v>
      </c>
      <c r="AD433" s="3" t="s">
        <v>55</v>
      </c>
      <c r="AE433" s="3" t="s">
        <v>38</v>
      </c>
      <c r="AF433" s="3" t="s">
        <v>664</v>
      </c>
      <c r="AG433" s="3" t="s">
        <v>39</v>
      </c>
    </row>
    <row r="434" spans="1:33">
      <c r="A434" s="1">
        <v>45209.561214895832</v>
      </c>
      <c r="B434" s="3" t="s">
        <v>1024</v>
      </c>
      <c r="C434" s="2">
        <v>36174</v>
      </c>
      <c r="D434" s="3">
        <v>24</v>
      </c>
      <c r="E434" s="3" t="s">
        <v>510</v>
      </c>
      <c r="F434" s="3" t="s">
        <v>520</v>
      </c>
      <c r="G434" s="3" t="s">
        <v>539</v>
      </c>
      <c r="H434" s="2">
        <v>45145</v>
      </c>
      <c r="I434" s="3">
        <v>2</v>
      </c>
      <c r="J434" s="3" t="s">
        <v>542</v>
      </c>
      <c r="K434" s="3" t="s">
        <v>1206</v>
      </c>
      <c r="L434" s="3" t="s">
        <v>618</v>
      </c>
      <c r="M434" s="3">
        <v>50</v>
      </c>
      <c r="N434" s="3">
        <v>60</v>
      </c>
      <c r="O434" s="3">
        <v>158</v>
      </c>
      <c r="P434" s="3" t="s">
        <v>33</v>
      </c>
      <c r="Q434" s="3" t="s">
        <v>26</v>
      </c>
      <c r="S434" s="3" t="s">
        <v>26</v>
      </c>
      <c r="T434" s="3" t="s">
        <v>41</v>
      </c>
      <c r="V434" s="3">
        <v>1</v>
      </c>
      <c r="W434" s="3" t="s">
        <v>34</v>
      </c>
      <c r="X434" s="3" t="s">
        <v>58</v>
      </c>
      <c r="Y434" s="3">
        <v>7</v>
      </c>
      <c r="Z434" s="3">
        <v>1</v>
      </c>
      <c r="AA434" s="3" t="s">
        <v>42</v>
      </c>
      <c r="AB434" s="3" t="s">
        <v>29</v>
      </c>
      <c r="AC434" s="3" t="s">
        <v>664</v>
      </c>
      <c r="AD434" s="3" t="s">
        <v>30</v>
      </c>
      <c r="AE434" s="3" t="s">
        <v>38</v>
      </c>
      <c r="AF434" s="3" t="s">
        <v>664</v>
      </c>
      <c r="AG434" s="3" t="s">
        <v>32</v>
      </c>
    </row>
    <row r="435" spans="1:33">
      <c r="A435" s="1">
        <v>45209.569863946759</v>
      </c>
      <c r="B435" s="3" t="s">
        <v>1024</v>
      </c>
      <c r="C435" s="2">
        <v>35357</v>
      </c>
      <c r="D435" s="3">
        <v>26</v>
      </c>
      <c r="E435" s="3" t="s">
        <v>510</v>
      </c>
      <c r="F435" s="3" t="s">
        <v>531</v>
      </c>
      <c r="G435" s="3" t="s">
        <v>539</v>
      </c>
      <c r="H435" s="2">
        <v>44758</v>
      </c>
      <c r="I435" s="3">
        <v>1</v>
      </c>
      <c r="J435" s="3" t="s">
        <v>542</v>
      </c>
      <c r="K435" s="3" t="s">
        <v>1160</v>
      </c>
      <c r="L435" s="3" t="s">
        <v>773</v>
      </c>
      <c r="M435" s="3">
        <v>80</v>
      </c>
      <c r="N435" s="3">
        <v>88</v>
      </c>
      <c r="O435" s="3">
        <v>175</v>
      </c>
      <c r="P435" s="3" t="s">
        <v>33</v>
      </c>
      <c r="Q435" s="3" t="s">
        <v>26</v>
      </c>
      <c r="S435" s="3" t="s">
        <v>664</v>
      </c>
      <c r="T435" s="3" t="s">
        <v>41</v>
      </c>
      <c r="U435" s="3">
        <v>5</v>
      </c>
      <c r="V435" s="3">
        <v>1</v>
      </c>
      <c r="W435" s="3" t="s">
        <v>34</v>
      </c>
      <c r="X435" s="3" t="s">
        <v>58</v>
      </c>
      <c r="Y435" s="3">
        <v>5</v>
      </c>
      <c r="Z435" s="3">
        <v>1</v>
      </c>
      <c r="AA435" s="3" t="s">
        <v>42</v>
      </c>
      <c r="AB435" s="3" t="s">
        <v>29</v>
      </c>
      <c r="AC435" s="3" t="s">
        <v>664</v>
      </c>
      <c r="AD435" s="3" t="s">
        <v>55</v>
      </c>
      <c r="AE435" s="3" t="s">
        <v>31</v>
      </c>
      <c r="AF435" s="3" t="s">
        <v>664</v>
      </c>
      <c r="AG435" s="3" t="s">
        <v>39</v>
      </c>
    </row>
    <row r="436" spans="1:33">
      <c r="A436" s="1">
        <v>45209.578171782407</v>
      </c>
      <c r="B436" s="3" t="s">
        <v>1024</v>
      </c>
      <c r="C436" s="2">
        <v>32716</v>
      </c>
      <c r="D436" s="3">
        <v>34</v>
      </c>
      <c r="E436" s="3" t="s">
        <v>510</v>
      </c>
      <c r="F436" s="3" t="s">
        <v>525</v>
      </c>
      <c r="G436" s="3" t="s">
        <v>538</v>
      </c>
      <c r="H436" s="2">
        <v>45053</v>
      </c>
      <c r="I436" s="3">
        <v>3</v>
      </c>
      <c r="J436" s="3" t="s">
        <v>541</v>
      </c>
      <c r="K436" s="3">
        <v>3970</v>
      </c>
      <c r="L436" s="3">
        <v>40</v>
      </c>
      <c r="M436" s="3">
        <v>50</v>
      </c>
      <c r="N436" s="3">
        <v>65</v>
      </c>
      <c r="O436" s="3">
        <v>153</v>
      </c>
      <c r="P436" s="3" t="s">
        <v>33</v>
      </c>
      <c r="Q436" s="3" t="s">
        <v>34</v>
      </c>
      <c r="R436" s="3" t="s">
        <v>331</v>
      </c>
      <c r="S436" s="3" t="s">
        <v>664</v>
      </c>
      <c r="T436" s="3" t="s">
        <v>27</v>
      </c>
      <c r="U436" s="3">
        <v>7</v>
      </c>
      <c r="V436" s="3">
        <v>1</v>
      </c>
      <c r="W436" s="3" t="s">
        <v>34</v>
      </c>
      <c r="X436" s="3" t="s">
        <v>71</v>
      </c>
      <c r="Y436" s="3">
        <v>4</v>
      </c>
      <c r="Z436" s="3">
        <v>1</v>
      </c>
      <c r="AA436" s="3" t="s">
        <v>49</v>
      </c>
      <c r="AB436" s="3" t="s">
        <v>29</v>
      </c>
      <c r="AC436" s="3" t="s">
        <v>26</v>
      </c>
      <c r="AD436" s="3" t="s">
        <v>332</v>
      </c>
      <c r="AE436" s="3" t="s">
        <v>31</v>
      </c>
      <c r="AF436" s="3" t="s">
        <v>664</v>
      </c>
      <c r="AG436" s="3" t="s">
        <v>32</v>
      </c>
    </row>
    <row r="437" spans="1:33">
      <c r="A437" s="1">
        <v>45209.588001377313</v>
      </c>
      <c r="B437" s="3" t="s">
        <v>1024</v>
      </c>
      <c r="C437" s="2">
        <v>32996</v>
      </c>
      <c r="D437" s="3">
        <v>33</v>
      </c>
      <c r="E437" s="3" t="s">
        <v>510</v>
      </c>
      <c r="F437" s="3" t="s">
        <v>520</v>
      </c>
      <c r="G437" s="3" t="s">
        <v>540</v>
      </c>
      <c r="H437" s="2">
        <v>43995</v>
      </c>
      <c r="I437" s="3">
        <v>2</v>
      </c>
      <c r="J437" s="3" t="s">
        <v>542</v>
      </c>
      <c r="K437" s="3">
        <v>1850</v>
      </c>
      <c r="L437" s="3">
        <v>34</v>
      </c>
      <c r="M437" s="3">
        <v>50</v>
      </c>
      <c r="N437" s="3">
        <v>66</v>
      </c>
      <c r="O437" s="3">
        <v>160</v>
      </c>
      <c r="P437" s="3" t="s">
        <v>44</v>
      </c>
      <c r="Q437" s="3" t="s">
        <v>26</v>
      </c>
      <c r="S437" s="3" t="s">
        <v>664</v>
      </c>
      <c r="T437" s="3" t="s">
        <v>79</v>
      </c>
      <c r="U437" s="3">
        <v>7</v>
      </c>
      <c r="V437" s="3">
        <v>1</v>
      </c>
      <c r="W437" s="3" t="s">
        <v>26</v>
      </c>
      <c r="AA437" s="3" t="s">
        <v>42</v>
      </c>
      <c r="AB437" s="3" t="s">
        <v>29</v>
      </c>
      <c r="AC437" s="3" t="s">
        <v>664</v>
      </c>
      <c r="AD437" s="3" t="s">
        <v>55</v>
      </c>
      <c r="AE437" s="3" t="s">
        <v>38</v>
      </c>
      <c r="AF437" s="3" t="s">
        <v>664</v>
      </c>
      <c r="AG437" s="3" t="s">
        <v>39</v>
      </c>
    </row>
    <row r="438" spans="1:33">
      <c r="A438" s="1">
        <v>45209.59094548611</v>
      </c>
      <c r="B438" s="3" t="s">
        <v>1024</v>
      </c>
      <c r="C438" s="2">
        <v>32534</v>
      </c>
      <c r="D438" s="3">
        <v>34</v>
      </c>
      <c r="E438" s="3" t="s">
        <v>510</v>
      </c>
      <c r="F438" s="3" t="s">
        <v>523</v>
      </c>
      <c r="G438" s="3" t="s">
        <v>538</v>
      </c>
      <c r="H438" s="2">
        <v>44095</v>
      </c>
      <c r="I438" s="3">
        <v>1</v>
      </c>
      <c r="J438" s="3" t="s">
        <v>542</v>
      </c>
      <c r="K438" s="3">
        <v>3150</v>
      </c>
      <c r="L438" s="3">
        <v>38</v>
      </c>
      <c r="M438" s="3">
        <v>48</v>
      </c>
      <c r="N438" s="3">
        <v>59</v>
      </c>
      <c r="O438" s="3">
        <v>147</v>
      </c>
      <c r="P438" s="3" t="s">
        <v>33</v>
      </c>
      <c r="Q438" s="3" t="s">
        <v>26</v>
      </c>
      <c r="S438" s="3" t="s">
        <v>664</v>
      </c>
      <c r="T438" s="3" t="s">
        <v>316</v>
      </c>
      <c r="U438" s="3">
        <v>7</v>
      </c>
      <c r="V438" s="3">
        <v>1</v>
      </c>
      <c r="W438" s="3" t="s">
        <v>34</v>
      </c>
      <c r="X438" s="3" t="s">
        <v>316</v>
      </c>
      <c r="Y438" s="3">
        <v>7</v>
      </c>
      <c r="Z438" s="3">
        <v>1</v>
      </c>
      <c r="AA438" s="3" t="s">
        <v>49</v>
      </c>
      <c r="AB438" s="3" t="s">
        <v>29</v>
      </c>
      <c r="AC438" s="3" t="s">
        <v>664</v>
      </c>
      <c r="AD438" s="3" t="s">
        <v>595</v>
      </c>
      <c r="AE438" s="3" t="s">
        <v>31</v>
      </c>
      <c r="AF438" s="3" t="s">
        <v>664</v>
      </c>
      <c r="AG438" s="3" t="s">
        <v>32</v>
      </c>
    </row>
    <row r="439" spans="1:33">
      <c r="A439" s="1">
        <v>45209.603746203706</v>
      </c>
      <c r="B439" s="3" t="s">
        <v>1024</v>
      </c>
      <c r="C439" s="2">
        <v>34052</v>
      </c>
      <c r="D439" s="3">
        <v>30</v>
      </c>
      <c r="E439" s="3" t="s">
        <v>510</v>
      </c>
      <c r="F439" s="3" t="s">
        <v>521</v>
      </c>
      <c r="G439" s="3" t="s">
        <v>540</v>
      </c>
      <c r="H439" s="2">
        <v>44704</v>
      </c>
      <c r="I439" s="3">
        <v>2</v>
      </c>
      <c r="J439" s="3" t="s">
        <v>541</v>
      </c>
      <c r="K439" s="3">
        <v>2165</v>
      </c>
      <c r="L439" s="3">
        <v>35</v>
      </c>
      <c r="M439" s="3">
        <v>57</v>
      </c>
      <c r="N439" s="3">
        <v>68</v>
      </c>
      <c r="O439" s="3">
        <v>162</v>
      </c>
      <c r="P439" s="3" t="s">
        <v>44</v>
      </c>
      <c r="Q439" s="3" t="s">
        <v>26</v>
      </c>
      <c r="S439" s="3" t="s">
        <v>664</v>
      </c>
      <c r="T439" s="3" t="s">
        <v>79</v>
      </c>
      <c r="U439" s="3">
        <v>7</v>
      </c>
      <c r="V439" s="3">
        <v>1</v>
      </c>
      <c r="W439" s="3" t="s">
        <v>26</v>
      </c>
      <c r="AA439" s="3" t="s">
        <v>28</v>
      </c>
      <c r="AB439" s="3" t="s">
        <v>29</v>
      </c>
      <c r="AC439" s="3" t="s">
        <v>664</v>
      </c>
      <c r="AD439" s="3" t="s">
        <v>55</v>
      </c>
      <c r="AE439" s="3" t="s">
        <v>31</v>
      </c>
      <c r="AF439" s="3" t="s">
        <v>664</v>
      </c>
      <c r="AG439" s="3" t="s">
        <v>32</v>
      </c>
    </row>
    <row r="440" spans="1:33">
      <c r="A440" s="1">
        <v>45209.612009664357</v>
      </c>
      <c r="B440" s="3" t="s">
        <v>1024</v>
      </c>
      <c r="C440" s="2">
        <v>31644</v>
      </c>
      <c r="D440" s="3">
        <v>37</v>
      </c>
      <c r="E440" s="3" t="s">
        <v>510</v>
      </c>
      <c r="F440" s="3" t="s">
        <v>520</v>
      </c>
      <c r="G440" s="3" t="s">
        <v>540</v>
      </c>
      <c r="H440" s="2" t="s">
        <v>1251</v>
      </c>
      <c r="I440" s="3">
        <v>1</v>
      </c>
      <c r="J440" s="3" t="s">
        <v>542</v>
      </c>
      <c r="K440" s="3">
        <v>3605</v>
      </c>
      <c r="L440" s="3" t="s">
        <v>658</v>
      </c>
      <c r="M440" s="3">
        <v>68</v>
      </c>
      <c r="N440" s="3">
        <v>88</v>
      </c>
      <c r="O440" s="3">
        <v>163</v>
      </c>
      <c r="P440" s="3" t="s">
        <v>33</v>
      </c>
      <c r="Q440" s="3" t="s">
        <v>26</v>
      </c>
      <c r="S440" s="3" t="s">
        <v>664</v>
      </c>
      <c r="T440" s="3" t="s">
        <v>43</v>
      </c>
      <c r="U440" s="3">
        <v>7</v>
      </c>
      <c r="V440" s="3">
        <v>1</v>
      </c>
      <c r="W440" s="3" t="s">
        <v>34</v>
      </c>
      <c r="X440" s="3" t="s">
        <v>35</v>
      </c>
      <c r="Y440" s="3">
        <v>7</v>
      </c>
      <c r="Z440" s="3">
        <v>1</v>
      </c>
      <c r="AA440" s="3" t="s">
        <v>42</v>
      </c>
      <c r="AB440" s="3" t="s">
        <v>29</v>
      </c>
      <c r="AC440" s="3" t="s">
        <v>664</v>
      </c>
      <c r="AD440" s="3" t="s">
        <v>55</v>
      </c>
      <c r="AE440" s="3" t="s">
        <v>38</v>
      </c>
      <c r="AF440" s="3" t="s">
        <v>664</v>
      </c>
      <c r="AG440" s="3" t="s">
        <v>32</v>
      </c>
    </row>
    <row r="441" spans="1:33">
      <c r="A441" s="1">
        <v>45209.615774456019</v>
      </c>
      <c r="B441" s="3" t="s">
        <v>1024</v>
      </c>
      <c r="C441" s="2">
        <v>33260</v>
      </c>
      <c r="D441" s="3">
        <v>32</v>
      </c>
      <c r="E441" s="3" t="s">
        <v>510</v>
      </c>
      <c r="F441" s="3" t="s">
        <v>520</v>
      </c>
      <c r="G441" s="3" t="s">
        <v>539</v>
      </c>
      <c r="H441" s="2">
        <v>43383</v>
      </c>
      <c r="I441" s="3">
        <v>2</v>
      </c>
      <c r="J441" s="3" t="s">
        <v>541</v>
      </c>
      <c r="K441" s="3">
        <v>2280</v>
      </c>
      <c r="L441" s="3" t="s">
        <v>774</v>
      </c>
      <c r="M441" s="3">
        <v>90</v>
      </c>
      <c r="N441" s="3">
        <v>111</v>
      </c>
      <c r="O441" s="3">
        <v>167</v>
      </c>
      <c r="P441" s="3" t="s">
        <v>25</v>
      </c>
      <c r="Q441" s="3" t="s">
        <v>34</v>
      </c>
      <c r="R441" s="3" t="s">
        <v>333</v>
      </c>
      <c r="S441" s="3" t="s">
        <v>664</v>
      </c>
      <c r="T441" s="3" t="s">
        <v>56</v>
      </c>
      <c r="U441" s="3">
        <v>7</v>
      </c>
      <c r="V441" s="3">
        <v>1</v>
      </c>
      <c r="W441" s="3" t="s">
        <v>26</v>
      </c>
      <c r="AA441" s="3" t="s">
        <v>49</v>
      </c>
      <c r="AB441" s="3" t="s">
        <v>29</v>
      </c>
      <c r="AC441" s="3" t="s">
        <v>664</v>
      </c>
      <c r="AD441" s="3" t="s">
        <v>55</v>
      </c>
      <c r="AE441" s="3" t="s">
        <v>72</v>
      </c>
      <c r="AF441" s="3" t="s">
        <v>664</v>
      </c>
      <c r="AG441" s="3" t="s">
        <v>39</v>
      </c>
    </row>
    <row r="442" spans="1:33">
      <c r="A442" s="1">
        <v>45209.621008599541</v>
      </c>
      <c r="B442" s="3" t="s">
        <v>1024</v>
      </c>
      <c r="C442" s="2">
        <v>33071</v>
      </c>
      <c r="D442" s="3">
        <v>33</v>
      </c>
      <c r="E442" s="3" t="s">
        <v>510</v>
      </c>
      <c r="F442" s="3" t="s">
        <v>520</v>
      </c>
      <c r="G442" s="3" t="s">
        <v>539</v>
      </c>
      <c r="H442" s="2">
        <v>44746</v>
      </c>
      <c r="I442" s="3">
        <v>1</v>
      </c>
      <c r="J442" s="3" t="s">
        <v>542</v>
      </c>
      <c r="K442" s="3">
        <v>3160</v>
      </c>
      <c r="L442" s="3" t="s">
        <v>1252</v>
      </c>
      <c r="M442" s="3">
        <v>73</v>
      </c>
      <c r="N442" s="3">
        <v>82</v>
      </c>
      <c r="O442" s="3">
        <v>163</v>
      </c>
      <c r="P442" s="3" t="s">
        <v>33</v>
      </c>
      <c r="Q442" s="3" t="s">
        <v>26</v>
      </c>
      <c r="S442" s="3" t="s">
        <v>664</v>
      </c>
      <c r="T442" s="3" t="s">
        <v>41</v>
      </c>
      <c r="U442" s="3">
        <v>7</v>
      </c>
      <c r="V442" s="3">
        <v>1</v>
      </c>
      <c r="W442" s="3" t="s">
        <v>26</v>
      </c>
      <c r="AA442" s="3" t="s">
        <v>42</v>
      </c>
      <c r="AB442" s="3" t="s">
        <v>83</v>
      </c>
      <c r="AC442" s="3" t="s">
        <v>664</v>
      </c>
      <c r="AD442" s="3" t="s">
        <v>30</v>
      </c>
      <c r="AE442" s="3" t="s">
        <v>31</v>
      </c>
      <c r="AF442" s="3" t="s">
        <v>664</v>
      </c>
      <c r="AG442" s="3" t="s">
        <v>94</v>
      </c>
    </row>
    <row r="443" spans="1:33">
      <c r="A443" s="1">
        <v>45209.634476296298</v>
      </c>
      <c r="B443" s="3" t="s">
        <v>1024</v>
      </c>
      <c r="C443" s="2">
        <v>32935</v>
      </c>
      <c r="D443" s="3">
        <v>33</v>
      </c>
      <c r="E443" s="3" t="s">
        <v>510</v>
      </c>
      <c r="F443" s="3" t="s">
        <v>521</v>
      </c>
      <c r="G443" s="3" t="s">
        <v>539</v>
      </c>
      <c r="H443" s="2">
        <v>43882</v>
      </c>
      <c r="I443" s="3">
        <v>1</v>
      </c>
      <c r="J443" s="3" t="s">
        <v>542</v>
      </c>
      <c r="K443" s="3" t="s">
        <v>1253</v>
      </c>
      <c r="L443" s="3" t="s">
        <v>618</v>
      </c>
      <c r="M443" s="3" t="s">
        <v>1198</v>
      </c>
      <c r="N443" s="3">
        <v>74</v>
      </c>
      <c r="O443" s="3">
        <v>158</v>
      </c>
      <c r="P443" s="3" t="s">
        <v>33</v>
      </c>
      <c r="Q443" s="3" t="s">
        <v>26</v>
      </c>
      <c r="S443" s="3" t="s">
        <v>664</v>
      </c>
      <c r="T443" s="3" t="s">
        <v>79</v>
      </c>
      <c r="U443" s="3">
        <v>7</v>
      </c>
      <c r="V443" s="3">
        <v>1</v>
      </c>
      <c r="W443" s="3" t="s">
        <v>26</v>
      </c>
      <c r="AA443" s="3" t="s">
        <v>49</v>
      </c>
      <c r="AB443" s="3" t="s">
        <v>29</v>
      </c>
      <c r="AC443" s="3" t="s">
        <v>664</v>
      </c>
      <c r="AD443" s="3" t="s">
        <v>55</v>
      </c>
      <c r="AE443" s="3" t="s">
        <v>31</v>
      </c>
      <c r="AF443" s="3" t="s">
        <v>664</v>
      </c>
      <c r="AG443" s="3" t="s">
        <v>32</v>
      </c>
    </row>
    <row r="444" spans="1:33">
      <c r="A444" s="1">
        <v>45209.63472991898</v>
      </c>
      <c r="B444" s="3" t="s">
        <v>1024</v>
      </c>
      <c r="C444" s="2">
        <v>31928</v>
      </c>
      <c r="D444" s="3">
        <v>36</v>
      </c>
      <c r="E444" s="3" t="s">
        <v>510</v>
      </c>
      <c r="F444" s="3" t="s">
        <v>520</v>
      </c>
      <c r="G444" s="3" t="s">
        <v>539</v>
      </c>
      <c r="H444" s="2">
        <v>43967</v>
      </c>
      <c r="I444" s="3">
        <v>2</v>
      </c>
      <c r="J444" s="3" t="s">
        <v>542</v>
      </c>
      <c r="K444" s="3" t="s">
        <v>1194</v>
      </c>
      <c r="L444" s="3" t="s">
        <v>719</v>
      </c>
      <c r="M444" s="3" t="s">
        <v>1254</v>
      </c>
      <c r="N444" s="3" t="s">
        <v>1128</v>
      </c>
      <c r="O444" s="3">
        <v>160</v>
      </c>
      <c r="P444" s="3" t="s">
        <v>33</v>
      </c>
      <c r="Q444" s="3" t="s">
        <v>26</v>
      </c>
      <c r="S444" s="3" t="s">
        <v>664</v>
      </c>
      <c r="T444" s="3" t="s">
        <v>41</v>
      </c>
      <c r="U444" s="3">
        <v>7</v>
      </c>
      <c r="V444" s="3">
        <v>1</v>
      </c>
      <c r="W444" s="3" t="s">
        <v>34</v>
      </c>
      <c r="X444" s="3" t="s">
        <v>58</v>
      </c>
      <c r="Y444" s="3">
        <v>7</v>
      </c>
      <c r="Z444" s="3">
        <v>1</v>
      </c>
      <c r="AA444" s="3" t="s">
        <v>49</v>
      </c>
      <c r="AB444" s="3" t="s">
        <v>29</v>
      </c>
      <c r="AC444" s="3" t="s">
        <v>664</v>
      </c>
      <c r="AD444" s="3" t="s">
        <v>30</v>
      </c>
      <c r="AE444" s="3" t="s">
        <v>38</v>
      </c>
      <c r="AF444" s="3" t="s">
        <v>664</v>
      </c>
      <c r="AG444" s="3" t="s">
        <v>39</v>
      </c>
    </row>
    <row r="445" spans="1:33">
      <c r="A445" s="1">
        <v>45209.646545185184</v>
      </c>
      <c r="B445" s="3" t="s">
        <v>1024</v>
      </c>
      <c r="C445" s="2">
        <v>32211</v>
      </c>
      <c r="D445" s="3">
        <v>35</v>
      </c>
      <c r="E445" s="3" t="s">
        <v>510</v>
      </c>
      <c r="F445" s="3" t="s">
        <v>520</v>
      </c>
      <c r="G445" s="3" t="s">
        <v>539</v>
      </c>
      <c r="H445" s="2">
        <v>45182</v>
      </c>
      <c r="I445" s="3">
        <v>3</v>
      </c>
      <c r="J445" s="3" t="s">
        <v>542</v>
      </c>
      <c r="K445" s="3">
        <v>3400</v>
      </c>
      <c r="L445" s="3" t="s">
        <v>661</v>
      </c>
      <c r="M445" s="3">
        <v>76</v>
      </c>
      <c r="N445" s="3">
        <v>87</v>
      </c>
      <c r="O445" s="3">
        <v>150</v>
      </c>
      <c r="P445" s="3" t="s">
        <v>33</v>
      </c>
      <c r="Q445" s="3" t="s">
        <v>26</v>
      </c>
      <c r="S445" s="3" t="s">
        <v>664</v>
      </c>
      <c r="T445" s="3" t="s">
        <v>57</v>
      </c>
      <c r="U445" s="3">
        <v>7</v>
      </c>
      <c r="V445" s="3">
        <v>1</v>
      </c>
      <c r="W445" s="3" t="s">
        <v>26</v>
      </c>
      <c r="AA445" s="3" t="s">
        <v>42</v>
      </c>
      <c r="AB445" s="3" t="s">
        <v>29</v>
      </c>
      <c r="AC445" s="3" t="s">
        <v>664</v>
      </c>
      <c r="AD445" s="3" t="s">
        <v>55</v>
      </c>
      <c r="AE445" s="3" t="s">
        <v>72</v>
      </c>
      <c r="AF445" s="3" t="s">
        <v>664</v>
      </c>
      <c r="AG445" s="3" t="s">
        <v>39</v>
      </c>
    </row>
    <row r="446" spans="1:33">
      <c r="A446" s="1">
        <v>45209.64901940972</v>
      </c>
      <c r="B446" s="3" t="s">
        <v>1024</v>
      </c>
      <c r="C446" s="2">
        <v>34283</v>
      </c>
      <c r="D446" s="3">
        <v>29</v>
      </c>
      <c r="E446" s="3" t="s">
        <v>510</v>
      </c>
      <c r="F446" s="3" t="s">
        <v>521</v>
      </c>
      <c r="G446" s="3" t="s">
        <v>539</v>
      </c>
      <c r="H446" s="2">
        <v>44424</v>
      </c>
      <c r="I446" s="3">
        <v>1</v>
      </c>
      <c r="J446" s="3" t="s">
        <v>542</v>
      </c>
      <c r="K446" s="3">
        <v>3100</v>
      </c>
      <c r="L446" s="3" t="s">
        <v>627</v>
      </c>
      <c r="M446" s="3">
        <v>70</v>
      </c>
      <c r="N446" s="3">
        <v>80</v>
      </c>
      <c r="O446" s="3">
        <v>156</v>
      </c>
      <c r="P446" s="3" t="s">
        <v>33</v>
      </c>
      <c r="Q446" s="3" t="s">
        <v>26</v>
      </c>
      <c r="S446" s="3" t="s">
        <v>664</v>
      </c>
      <c r="T446" s="3" t="s">
        <v>56</v>
      </c>
      <c r="U446" s="3">
        <v>7</v>
      </c>
      <c r="V446" s="3">
        <v>1</v>
      </c>
      <c r="W446" s="3" t="s">
        <v>34</v>
      </c>
      <c r="X446" s="3" t="s">
        <v>58</v>
      </c>
      <c r="Y446" s="3">
        <v>1</v>
      </c>
      <c r="Z446" s="3">
        <v>1</v>
      </c>
      <c r="AA446" s="3" t="s">
        <v>28</v>
      </c>
      <c r="AB446" s="3" t="s">
        <v>29</v>
      </c>
      <c r="AC446" s="3" t="s">
        <v>664</v>
      </c>
      <c r="AD446" s="3" t="s">
        <v>30</v>
      </c>
      <c r="AE446" s="3" t="s">
        <v>31</v>
      </c>
      <c r="AF446" s="3" t="s">
        <v>664</v>
      </c>
      <c r="AG446" s="3" t="s">
        <v>39</v>
      </c>
    </row>
    <row r="447" spans="1:33">
      <c r="A447" s="1">
        <v>45209.652927002317</v>
      </c>
      <c r="B447" s="3" t="s">
        <v>1024</v>
      </c>
      <c r="C447" s="2">
        <v>33230</v>
      </c>
      <c r="D447" s="3">
        <v>32</v>
      </c>
      <c r="E447" s="3" t="s">
        <v>510</v>
      </c>
      <c r="F447" s="3" t="s">
        <v>524</v>
      </c>
      <c r="G447" s="3" t="s">
        <v>539</v>
      </c>
      <c r="H447" s="2">
        <v>43822</v>
      </c>
      <c r="I447" s="3">
        <v>1</v>
      </c>
      <c r="J447" s="3" t="s">
        <v>542</v>
      </c>
      <c r="K447" s="3">
        <v>3090</v>
      </c>
      <c r="L447" s="3">
        <v>40</v>
      </c>
      <c r="M447" s="3">
        <v>75</v>
      </c>
      <c r="N447" s="3">
        <v>85</v>
      </c>
      <c r="O447" s="3">
        <v>165</v>
      </c>
      <c r="P447" s="3" t="s">
        <v>33</v>
      </c>
      <c r="Q447" s="3" t="s">
        <v>26</v>
      </c>
      <c r="S447" s="3" t="s">
        <v>664</v>
      </c>
      <c r="T447" s="3" t="s">
        <v>79</v>
      </c>
      <c r="U447" s="3">
        <v>7</v>
      </c>
      <c r="V447" s="3">
        <v>1</v>
      </c>
      <c r="W447" s="3" t="s">
        <v>26</v>
      </c>
      <c r="AA447" s="3" t="s">
        <v>42</v>
      </c>
      <c r="AB447" s="3" t="s">
        <v>29</v>
      </c>
      <c r="AC447" s="3" t="s">
        <v>664</v>
      </c>
      <c r="AD447" s="3" t="s">
        <v>30</v>
      </c>
      <c r="AE447" s="3" t="s">
        <v>38</v>
      </c>
      <c r="AF447" s="3" t="s">
        <v>664</v>
      </c>
      <c r="AG447" s="3" t="s">
        <v>39</v>
      </c>
    </row>
    <row r="448" spans="1:33">
      <c r="A448" s="1">
        <v>45209.658494363423</v>
      </c>
      <c r="B448" s="3" t="s">
        <v>1024</v>
      </c>
      <c r="C448" s="2">
        <v>32999</v>
      </c>
      <c r="D448" s="3">
        <v>33</v>
      </c>
      <c r="E448" s="3" t="s">
        <v>510</v>
      </c>
      <c r="F448" s="3" t="s">
        <v>521</v>
      </c>
      <c r="G448" s="3" t="s">
        <v>539</v>
      </c>
      <c r="H448" s="2">
        <v>44734</v>
      </c>
      <c r="I448" s="3">
        <v>1</v>
      </c>
      <c r="J448" s="3" t="s">
        <v>541</v>
      </c>
      <c r="K448" s="3">
        <v>2750</v>
      </c>
      <c r="L448" s="3" t="s">
        <v>697</v>
      </c>
      <c r="M448" s="3">
        <v>88.5</v>
      </c>
      <c r="N448" s="3">
        <v>93</v>
      </c>
      <c r="O448" s="3">
        <v>163</v>
      </c>
      <c r="P448" s="3" t="s">
        <v>50</v>
      </c>
      <c r="Q448" s="3" t="s">
        <v>26</v>
      </c>
      <c r="S448" s="3" t="s">
        <v>664</v>
      </c>
      <c r="T448" s="3" t="s">
        <v>79</v>
      </c>
      <c r="U448" s="3">
        <v>7</v>
      </c>
      <c r="V448" s="3">
        <v>1</v>
      </c>
      <c r="W448" s="3" t="s">
        <v>34</v>
      </c>
      <c r="X448" s="3" t="s">
        <v>334</v>
      </c>
      <c r="Y448" s="3">
        <v>7</v>
      </c>
      <c r="Z448" s="3">
        <v>1</v>
      </c>
      <c r="AA448" s="3" t="s">
        <v>54</v>
      </c>
      <c r="AB448" s="3" t="s">
        <v>29</v>
      </c>
      <c r="AC448" s="3" t="s">
        <v>664</v>
      </c>
      <c r="AD448" s="3" t="s">
        <v>55</v>
      </c>
      <c r="AE448" s="3" t="s">
        <v>72</v>
      </c>
      <c r="AF448" s="3" t="s">
        <v>664</v>
      </c>
      <c r="AG448" s="3" t="s">
        <v>32</v>
      </c>
    </row>
    <row r="449" spans="1:33">
      <c r="A449" s="1">
        <v>45209.683397291665</v>
      </c>
      <c r="B449" s="3" t="s">
        <v>1024</v>
      </c>
      <c r="C449" s="2">
        <v>32312</v>
      </c>
      <c r="D449" s="3">
        <v>35</v>
      </c>
      <c r="E449" s="3" t="s">
        <v>510</v>
      </c>
      <c r="F449" s="3" t="s">
        <v>531</v>
      </c>
      <c r="G449" s="3" t="s">
        <v>539</v>
      </c>
      <c r="H449" s="2">
        <v>44247</v>
      </c>
      <c r="I449" s="3">
        <v>2</v>
      </c>
      <c r="J449" s="3" t="s">
        <v>542</v>
      </c>
      <c r="K449" s="3">
        <v>3945</v>
      </c>
      <c r="L449" s="3" t="s">
        <v>650</v>
      </c>
      <c r="M449" s="3">
        <v>71</v>
      </c>
      <c r="N449" s="3">
        <v>82</v>
      </c>
      <c r="O449" s="3">
        <v>160</v>
      </c>
      <c r="P449" s="3" t="s">
        <v>44</v>
      </c>
      <c r="Q449" s="3" t="s">
        <v>26</v>
      </c>
      <c r="S449" s="3" t="s">
        <v>664</v>
      </c>
      <c r="T449" s="3" t="s">
        <v>79</v>
      </c>
      <c r="U449" s="3">
        <v>7</v>
      </c>
      <c r="V449" s="3">
        <v>1</v>
      </c>
      <c r="W449" s="3" t="s">
        <v>26</v>
      </c>
      <c r="AA449" s="3" t="s">
        <v>42</v>
      </c>
      <c r="AB449" s="3" t="s">
        <v>29</v>
      </c>
      <c r="AC449" s="3" t="s">
        <v>664</v>
      </c>
      <c r="AD449" s="3" t="s">
        <v>55</v>
      </c>
      <c r="AE449" s="3" t="s">
        <v>31</v>
      </c>
      <c r="AF449" s="3" t="s">
        <v>664</v>
      </c>
      <c r="AG449" s="3" t="s">
        <v>39</v>
      </c>
    </row>
    <row r="450" spans="1:33">
      <c r="A450" s="1">
        <v>45209.699458842588</v>
      </c>
      <c r="B450" s="3" t="s">
        <v>1024</v>
      </c>
      <c r="C450" s="2">
        <v>32746</v>
      </c>
      <c r="D450" s="3">
        <v>34</v>
      </c>
      <c r="E450" s="3" t="s">
        <v>510</v>
      </c>
      <c r="F450" s="3" t="s">
        <v>520</v>
      </c>
      <c r="G450" s="3" t="s">
        <v>539</v>
      </c>
      <c r="H450" s="2">
        <v>44696</v>
      </c>
      <c r="I450" s="3">
        <v>3</v>
      </c>
      <c r="J450" s="3" t="s">
        <v>541</v>
      </c>
      <c r="K450" s="3">
        <v>3.758</v>
      </c>
      <c r="L450" s="3" t="s">
        <v>636</v>
      </c>
      <c r="M450" s="3" t="s">
        <v>1255</v>
      </c>
      <c r="N450" s="3">
        <v>78</v>
      </c>
      <c r="O450" s="3">
        <v>1.63</v>
      </c>
      <c r="P450" s="3" t="s">
        <v>33</v>
      </c>
      <c r="Q450" s="3" t="s">
        <v>26</v>
      </c>
      <c r="S450" s="3" t="s">
        <v>664</v>
      </c>
      <c r="T450" s="3" t="s">
        <v>43</v>
      </c>
      <c r="U450" s="3">
        <v>7</v>
      </c>
      <c r="V450" s="3">
        <v>1</v>
      </c>
      <c r="W450" s="3" t="s">
        <v>34</v>
      </c>
      <c r="X450" s="3" t="s">
        <v>335</v>
      </c>
      <c r="Y450" s="3">
        <v>7</v>
      </c>
      <c r="Z450" s="3">
        <v>1</v>
      </c>
      <c r="AA450" s="3" t="s">
        <v>28</v>
      </c>
      <c r="AB450" s="3" t="s">
        <v>29</v>
      </c>
      <c r="AC450" s="3" t="s">
        <v>664</v>
      </c>
      <c r="AD450" s="3" t="s">
        <v>30</v>
      </c>
      <c r="AE450" s="3" t="s">
        <v>72</v>
      </c>
      <c r="AF450" s="3" t="s">
        <v>664</v>
      </c>
      <c r="AG450" s="3" t="s">
        <v>94</v>
      </c>
    </row>
    <row r="451" spans="1:33">
      <c r="A451" s="1">
        <v>45209.704907962965</v>
      </c>
      <c r="B451" s="3" t="s">
        <v>1024</v>
      </c>
      <c r="C451" s="2">
        <v>32533</v>
      </c>
      <c r="D451" s="3">
        <v>34</v>
      </c>
      <c r="E451" s="3" t="s">
        <v>510</v>
      </c>
      <c r="F451" s="3" t="s">
        <v>520</v>
      </c>
      <c r="G451" s="3" t="s">
        <v>539</v>
      </c>
      <c r="H451" s="2">
        <v>44932</v>
      </c>
      <c r="I451" s="3">
        <v>2</v>
      </c>
      <c r="J451" s="3" t="s">
        <v>541</v>
      </c>
      <c r="K451" s="3" t="s">
        <v>1256</v>
      </c>
      <c r="L451" s="3" t="s">
        <v>680</v>
      </c>
      <c r="M451" s="3">
        <v>48</v>
      </c>
      <c r="N451" s="3">
        <v>55</v>
      </c>
      <c r="O451" s="3">
        <v>160</v>
      </c>
      <c r="P451" s="3" t="s">
        <v>33</v>
      </c>
      <c r="Q451" s="3" t="s">
        <v>26</v>
      </c>
      <c r="S451" s="3" t="s">
        <v>664</v>
      </c>
      <c r="T451" s="3" t="s">
        <v>57</v>
      </c>
      <c r="U451" s="3">
        <v>7</v>
      </c>
      <c r="V451" s="3">
        <v>3</v>
      </c>
      <c r="W451" s="3" t="s">
        <v>26</v>
      </c>
      <c r="AA451" s="3" t="s">
        <v>42</v>
      </c>
      <c r="AB451" s="3" t="s">
        <v>29</v>
      </c>
      <c r="AC451" s="3" t="s">
        <v>664</v>
      </c>
      <c r="AD451" s="3" t="s">
        <v>30</v>
      </c>
      <c r="AE451" s="3" t="s">
        <v>31</v>
      </c>
      <c r="AF451" s="3" t="s">
        <v>664</v>
      </c>
      <c r="AG451" s="3" t="s">
        <v>48</v>
      </c>
    </row>
    <row r="452" spans="1:33">
      <c r="A452" s="1">
        <v>45209.71018170139</v>
      </c>
      <c r="B452" s="3" t="s">
        <v>1024</v>
      </c>
      <c r="C452" s="2">
        <v>33246</v>
      </c>
      <c r="D452" s="3">
        <v>32</v>
      </c>
      <c r="E452" s="3" t="s">
        <v>510</v>
      </c>
      <c r="F452" s="3" t="s">
        <v>529</v>
      </c>
      <c r="G452" s="3" t="s">
        <v>539</v>
      </c>
      <c r="H452" s="2">
        <v>43679</v>
      </c>
      <c r="I452" s="3">
        <v>2</v>
      </c>
      <c r="J452" s="3" t="s">
        <v>541</v>
      </c>
      <c r="K452" s="3" t="s">
        <v>1257</v>
      </c>
      <c r="L452" s="3" t="s">
        <v>775</v>
      </c>
      <c r="M452" s="3">
        <v>75</v>
      </c>
      <c r="N452" s="3">
        <v>80</v>
      </c>
      <c r="O452" s="3">
        <v>159</v>
      </c>
      <c r="P452" s="3" t="s">
        <v>44</v>
      </c>
      <c r="Q452" s="3" t="s">
        <v>26</v>
      </c>
      <c r="S452" s="3" t="s">
        <v>664</v>
      </c>
      <c r="T452" s="3" t="s">
        <v>56</v>
      </c>
      <c r="U452" s="3">
        <v>7</v>
      </c>
      <c r="V452" s="3">
        <v>1</v>
      </c>
      <c r="W452" s="3" t="s">
        <v>26</v>
      </c>
      <c r="AA452" s="3" t="s">
        <v>28</v>
      </c>
      <c r="AB452" s="3" t="s">
        <v>29</v>
      </c>
      <c r="AC452" s="3" t="s">
        <v>664</v>
      </c>
      <c r="AD452" s="3" t="s">
        <v>30</v>
      </c>
      <c r="AE452" s="3" t="s">
        <v>60</v>
      </c>
      <c r="AF452" s="3" t="s">
        <v>664</v>
      </c>
      <c r="AG452" s="3" t="s">
        <v>32</v>
      </c>
    </row>
    <row r="453" spans="1:33">
      <c r="A453" s="1">
        <v>45209.716786018515</v>
      </c>
      <c r="B453" s="3" t="s">
        <v>1024</v>
      </c>
      <c r="C453" s="2">
        <v>34358</v>
      </c>
      <c r="D453" s="3">
        <v>29</v>
      </c>
      <c r="E453" s="3" t="s">
        <v>510</v>
      </c>
      <c r="F453" s="3" t="s">
        <v>533</v>
      </c>
      <c r="G453" s="3" t="s">
        <v>537</v>
      </c>
      <c r="H453" s="2">
        <v>44483</v>
      </c>
      <c r="I453" s="3">
        <v>1</v>
      </c>
      <c r="J453" s="3" t="s">
        <v>542</v>
      </c>
      <c r="K453" s="3" t="s">
        <v>1258</v>
      </c>
      <c r="L453" s="3" t="s">
        <v>623</v>
      </c>
      <c r="M453" s="3">
        <v>55</v>
      </c>
      <c r="N453" s="3">
        <v>67</v>
      </c>
      <c r="O453" s="3">
        <v>163</v>
      </c>
      <c r="P453" s="3" t="s">
        <v>33</v>
      </c>
      <c r="Q453" s="3" t="s">
        <v>26</v>
      </c>
      <c r="S453" s="3" t="s">
        <v>664</v>
      </c>
      <c r="T453" s="3" t="s">
        <v>27</v>
      </c>
      <c r="U453" s="3">
        <v>7</v>
      </c>
      <c r="V453" s="3">
        <v>1</v>
      </c>
      <c r="W453" s="3" t="s">
        <v>34</v>
      </c>
      <c r="X453" s="3" t="s">
        <v>314</v>
      </c>
      <c r="Y453" s="3">
        <v>7</v>
      </c>
      <c r="Z453" s="3">
        <v>1</v>
      </c>
      <c r="AA453" s="3" t="s">
        <v>36</v>
      </c>
      <c r="AB453" s="3" t="s">
        <v>29</v>
      </c>
      <c r="AC453" s="3" t="s">
        <v>664</v>
      </c>
      <c r="AD453" s="3" t="s">
        <v>30</v>
      </c>
      <c r="AE453" s="3" t="s">
        <v>31</v>
      </c>
      <c r="AF453" s="3" t="s">
        <v>664</v>
      </c>
      <c r="AG453" s="3" t="s">
        <v>32</v>
      </c>
    </row>
    <row r="454" spans="1:33">
      <c r="A454" s="1">
        <v>45209.723907280088</v>
      </c>
      <c r="B454" s="3" t="s">
        <v>1024</v>
      </c>
      <c r="C454" s="2">
        <v>31836</v>
      </c>
      <c r="D454" s="3">
        <v>36</v>
      </c>
      <c r="E454" s="3" t="s">
        <v>510</v>
      </c>
      <c r="F454" s="3" t="s">
        <v>520</v>
      </c>
      <c r="G454" s="3" t="s">
        <v>539</v>
      </c>
      <c r="H454" s="2">
        <v>43695</v>
      </c>
      <c r="I454" s="3">
        <v>1</v>
      </c>
      <c r="J454" s="3" t="s">
        <v>542</v>
      </c>
      <c r="K454" s="3" t="s">
        <v>1067</v>
      </c>
      <c r="L454" s="3">
        <v>36</v>
      </c>
      <c r="M454" s="3">
        <v>52</v>
      </c>
      <c r="N454" s="3">
        <v>59</v>
      </c>
      <c r="O454" s="3">
        <v>150</v>
      </c>
      <c r="P454" s="3" t="s">
        <v>33</v>
      </c>
      <c r="Q454" s="3" t="s">
        <v>26</v>
      </c>
      <c r="S454" s="3" t="s">
        <v>664</v>
      </c>
      <c r="T454" s="3" t="s">
        <v>27</v>
      </c>
      <c r="U454" s="3">
        <v>7</v>
      </c>
      <c r="V454" s="3">
        <v>1</v>
      </c>
      <c r="W454" s="3" t="s">
        <v>34</v>
      </c>
      <c r="X454" s="3" t="s">
        <v>314</v>
      </c>
      <c r="Y454" s="3">
        <v>7</v>
      </c>
      <c r="Z454" s="3">
        <v>1</v>
      </c>
      <c r="AA454" s="3" t="s">
        <v>28</v>
      </c>
      <c r="AB454" s="3" t="s">
        <v>29</v>
      </c>
      <c r="AC454" s="3" t="s">
        <v>664</v>
      </c>
      <c r="AD454" s="3" t="s">
        <v>55</v>
      </c>
      <c r="AE454" s="3" t="s">
        <v>38</v>
      </c>
      <c r="AF454" s="3" t="s">
        <v>664</v>
      </c>
      <c r="AG454" s="3" t="s">
        <v>62</v>
      </c>
    </row>
    <row r="455" spans="1:33">
      <c r="A455" s="1">
        <v>45209.733878125</v>
      </c>
      <c r="B455" s="3" t="s">
        <v>1024</v>
      </c>
      <c r="C455" s="2">
        <v>31561</v>
      </c>
      <c r="D455" s="3" t="s">
        <v>1259</v>
      </c>
      <c r="E455" s="3" t="s">
        <v>510</v>
      </c>
      <c r="F455" s="3" t="s">
        <v>520</v>
      </c>
      <c r="G455" s="3" t="s">
        <v>538</v>
      </c>
      <c r="H455" s="2">
        <v>44216</v>
      </c>
      <c r="I455" s="3">
        <v>1</v>
      </c>
      <c r="J455" s="3" t="s">
        <v>542</v>
      </c>
      <c r="K455" s="3" t="s">
        <v>1260</v>
      </c>
      <c r="L455" s="3" t="s">
        <v>654</v>
      </c>
      <c r="M455" s="3">
        <v>86</v>
      </c>
      <c r="N455" s="3" t="s">
        <v>1261</v>
      </c>
      <c r="O455" s="3">
        <v>162</v>
      </c>
      <c r="P455" s="3" t="s">
        <v>33</v>
      </c>
      <c r="Q455" s="3" t="s">
        <v>26</v>
      </c>
      <c r="S455" s="3" t="s">
        <v>26</v>
      </c>
      <c r="W455" s="3" t="s">
        <v>34</v>
      </c>
      <c r="X455" s="3" t="s">
        <v>336</v>
      </c>
      <c r="Y455" s="3">
        <v>7</v>
      </c>
      <c r="Z455" s="3">
        <v>1</v>
      </c>
      <c r="AA455" s="3" t="s">
        <v>51</v>
      </c>
      <c r="AB455" s="3" t="s">
        <v>185</v>
      </c>
      <c r="AC455" s="3" t="s">
        <v>664</v>
      </c>
      <c r="AD455" s="3" t="s">
        <v>30</v>
      </c>
      <c r="AE455" s="3" t="s">
        <v>87</v>
      </c>
      <c r="AF455" s="3" t="s">
        <v>664</v>
      </c>
      <c r="AG455" s="3" t="s">
        <v>62</v>
      </c>
    </row>
    <row r="456" spans="1:33">
      <c r="A456" s="1">
        <v>45209.745361400463</v>
      </c>
      <c r="B456" s="3" t="s">
        <v>1024</v>
      </c>
      <c r="C456" s="2">
        <v>31258</v>
      </c>
      <c r="D456" s="3">
        <v>38</v>
      </c>
      <c r="E456" s="3" t="s">
        <v>510</v>
      </c>
      <c r="F456" s="3" t="s">
        <v>528</v>
      </c>
      <c r="G456" s="3" t="s">
        <v>539</v>
      </c>
      <c r="H456" s="2">
        <v>44692</v>
      </c>
      <c r="I456" s="3">
        <v>2</v>
      </c>
      <c r="J456" s="3" t="s">
        <v>541</v>
      </c>
      <c r="K456" s="3">
        <v>3.15</v>
      </c>
      <c r="L456" s="3" t="s">
        <v>776</v>
      </c>
      <c r="M456" s="3">
        <v>61</v>
      </c>
      <c r="N456" s="3">
        <v>68</v>
      </c>
      <c r="O456" s="3">
        <v>157</v>
      </c>
      <c r="P456" s="3" t="s">
        <v>33</v>
      </c>
      <c r="Q456" s="3" t="s">
        <v>26</v>
      </c>
      <c r="S456" s="3" t="s">
        <v>664</v>
      </c>
      <c r="T456" s="3" t="s">
        <v>43</v>
      </c>
      <c r="U456" s="3">
        <v>7</v>
      </c>
      <c r="V456" s="3">
        <v>1</v>
      </c>
      <c r="W456" s="3" t="s">
        <v>26</v>
      </c>
      <c r="AA456" s="3" t="s">
        <v>49</v>
      </c>
      <c r="AB456" s="3" t="s">
        <v>29</v>
      </c>
      <c r="AC456" s="3" t="s">
        <v>664</v>
      </c>
      <c r="AD456" s="3" t="s">
        <v>37</v>
      </c>
      <c r="AE456" s="3" t="s">
        <v>38</v>
      </c>
      <c r="AF456" s="3" t="s">
        <v>664</v>
      </c>
      <c r="AG456" s="3" t="s">
        <v>32</v>
      </c>
    </row>
    <row r="457" spans="1:33">
      <c r="A457" s="1">
        <v>45209.755973831023</v>
      </c>
      <c r="B457" s="3" t="s">
        <v>1024</v>
      </c>
      <c r="C457" s="2">
        <v>32359</v>
      </c>
      <c r="D457" s="3">
        <v>35</v>
      </c>
      <c r="E457" s="3" t="s">
        <v>510</v>
      </c>
      <c r="F457" s="3" t="s">
        <v>520</v>
      </c>
      <c r="G457" s="3" t="s">
        <v>540</v>
      </c>
      <c r="H457" s="2">
        <v>44524</v>
      </c>
      <c r="I457" s="3">
        <v>1</v>
      </c>
      <c r="J457" s="3" t="s">
        <v>542</v>
      </c>
      <c r="K457" s="3" t="s">
        <v>1262</v>
      </c>
      <c r="L457" s="3" t="s">
        <v>658</v>
      </c>
      <c r="M457" s="3" t="s">
        <v>1263</v>
      </c>
      <c r="N457" s="3" t="s">
        <v>1264</v>
      </c>
      <c r="O457" s="3">
        <v>170</v>
      </c>
      <c r="P457" s="3" t="s">
        <v>33</v>
      </c>
      <c r="Q457" s="3" t="s">
        <v>26</v>
      </c>
      <c r="S457" s="3" t="s">
        <v>664</v>
      </c>
      <c r="T457" s="3" t="s">
        <v>41</v>
      </c>
      <c r="U457" s="3">
        <v>7</v>
      </c>
      <c r="V457" s="3">
        <v>1</v>
      </c>
      <c r="W457" s="3" t="s">
        <v>34</v>
      </c>
      <c r="X457" s="3" t="s">
        <v>58</v>
      </c>
      <c r="Y457" s="3">
        <v>7</v>
      </c>
      <c r="Z457" s="3">
        <v>1</v>
      </c>
      <c r="AA457" s="3" t="s">
        <v>42</v>
      </c>
      <c r="AB457" s="3" t="s">
        <v>29</v>
      </c>
      <c r="AC457" s="3" t="s">
        <v>664</v>
      </c>
      <c r="AD457" s="3" t="s">
        <v>37</v>
      </c>
      <c r="AE457" s="3" t="s">
        <v>38</v>
      </c>
      <c r="AF457" s="3" t="s">
        <v>664</v>
      </c>
      <c r="AG457" s="3" t="s">
        <v>39</v>
      </c>
    </row>
    <row r="458" spans="1:33">
      <c r="A458" s="1">
        <v>45209.809021886569</v>
      </c>
      <c r="B458" s="3" t="s">
        <v>1024</v>
      </c>
      <c r="C458" s="2">
        <v>34673</v>
      </c>
      <c r="D458" s="3">
        <v>28</v>
      </c>
      <c r="E458" s="3" t="s">
        <v>510</v>
      </c>
      <c r="F458" s="3" t="s">
        <v>531</v>
      </c>
      <c r="G458" s="3" t="s">
        <v>540</v>
      </c>
      <c r="H458" s="2">
        <v>45104</v>
      </c>
      <c r="I458" s="3">
        <v>1</v>
      </c>
      <c r="J458" s="3" t="s">
        <v>541</v>
      </c>
      <c r="K458" s="3">
        <v>4760</v>
      </c>
      <c r="L458" s="3">
        <v>40</v>
      </c>
      <c r="M458" s="3">
        <v>116</v>
      </c>
      <c r="N458" s="3">
        <v>122</v>
      </c>
      <c r="O458" s="3">
        <v>169</v>
      </c>
      <c r="P458" s="3" t="s">
        <v>44</v>
      </c>
      <c r="Q458" s="3" t="s">
        <v>26</v>
      </c>
      <c r="R458" s="3" t="s">
        <v>337</v>
      </c>
      <c r="S458" s="3" t="s">
        <v>664</v>
      </c>
      <c r="T458" s="3" t="s">
        <v>56</v>
      </c>
      <c r="U458" s="3">
        <v>7</v>
      </c>
      <c r="V458" s="3">
        <v>1</v>
      </c>
      <c r="W458" s="3" t="s">
        <v>34</v>
      </c>
      <c r="X458" s="3" t="s">
        <v>338</v>
      </c>
      <c r="Y458" s="3">
        <v>7</v>
      </c>
      <c r="Z458" s="3">
        <v>1</v>
      </c>
      <c r="AA458" s="3" t="s">
        <v>28</v>
      </c>
      <c r="AB458" s="3" t="s">
        <v>339</v>
      </c>
      <c r="AC458" s="3" t="s">
        <v>664</v>
      </c>
      <c r="AD458" s="3" t="s">
        <v>37</v>
      </c>
      <c r="AE458" s="3" t="s">
        <v>38</v>
      </c>
      <c r="AF458" s="3" t="s">
        <v>664</v>
      </c>
      <c r="AG458" s="3" t="s">
        <v>62</v>
      </c>
    </row>
    <row r="459" spans="1:33">
      <c r="A459" s="1">
        <v>45209.817248310181</v>
      </c>
      <c r="B459" s="3" t="s">
        <v>1024</v>
      </c>
      <c r="C459" s="2">
        <v>32674</v>
      </c>
      <c r="D459" s="3">
        <v>34</v>
      </c>
      <c r="E459" s="3" t="s">
        <v>510</v>
      </c>
      <c r="F459" s="3" t="s">
        <v>529</v>
      </c>
      <c r="G459" s="3" t="s">
        <v>539</v>
      </c>
      <c r="H459" s="2">
        <v>44910</v>
      </c>
      <c r="I459" s="3">
        <v>1</v>
      </c>
      <c r="J459" s="3" t="s">
        <v>541</v>
      </c>
      <c r="K459" s="3" t="s">
        <v>1265</v>
      </c>
      <c r="L459" s="3" t="s">
        <v>616</v>
      </c>
      <c r="M459" s="3" t="s">
        <v>1266</v>
      </c>
      <c r="N459" s="3" t="s">
        <v>1267</v>
      </c>
      <c r="O459" s="3">
        <v>158</v>
      </c>
      <c r="P459" s="3" t="s">
        <v>33</v>
      </c>
      <c r="Q459" s="3" t="s">
        <v>26</v>
      </c>
      <c r="S459" s="3" t="s">
        <v>664</v>
      </c>
      <c r="T459" s="3" t="s">
        <v>43</v>
      </c>
      <c r="U459" s="3">
        <v>4</v>
      </c>
      <c r="V459" s="3">
        <v>1</v>
      </c>
      <c r="W459" s="3" t="s">
        <v>26</v>
      </c>
      <c r="AA459" s="3" t="s">
        <v>49</v>
      </c>
      <c r="AB459" s="3" t="s">
        <v>29</v>
      </c>
      <c r="AC459" s="3" t="s">
        <v>664</v>
      </c>
      <c r="AD459" s="3" t="s">
        <v>30</v>
      </c>
      <c r="AE459" s="3" t="s">
        <v>31</v>
      </c>
      <c r="AF459" s="3" t="s">
        <v>664</v>
      </c>
      <c r="AG459" s="3" t="s">
        <v>32</v>
      </c>
    </row>
    <row r="460" spans="1:33">
      <c r="A460" s="1">
        <v>45209.820961412042</v>
      </c>
      <c r="B460" s="3" t="s">
        <v>1024</v>
      </c>
      <c r="C460" s="2">
        <v>35145</v>
      </c>
      <c r="D460" s="3">
        <v>27</v>
      </c>
      <c r="E460" s="3" t="s">
        <v>510</v>
      </c>
      <c r="F460" s="3" t="s">
        <v>520</v>
      </c>
      <c r="G460" s="3" t="s">
        <v>538</v>
      </c>
      <c r="H460" s="2">
        <v>44526</v>
      </c>
      <c r="I460" s="3">
        <v>1</v>
      </c>
      <c r="J460" s="3" t="s">
        <v>541</v>
      </c>
      <c r="K460" s="3">
        <v>3220</v>
      </c>
      <c r="L460" s="3">
        <v>40</v>
      </c>
      <c r="M460" s="3">
        <v>68</v>
      </c>
      <c r="N460" s="3">
        <v>70</v>
      </c>
      <c r="O460" s="3">
        <v>153</v>
      </c>
      <c r="P460" s="3" t="s">
        <v>44</v>
      </c>
      <c r="Q460" s="3" t="s">
        <v>26</v>
      </c>
      <c r="S460" s="3" t="s">
        <v>664</v>
      </c>
      <c r="U460" s="3">
        <v>7</v>
      </c>
      <c r="V460" s="3">
        <v>1</v>
      </c>
      <c r="W460" s="3" t="s">
        <v>34</v>
      </c>
      <c r="X460" s="3" t="s">
        <v>777</v>
      </c>
      <c r="Y460" s="3">
        <v>7</v>
      </c>
      <c r="Z460" s="3">
        <v>1</v>
      </c>
      <c r="AA460" s="3" t="s">
        <v>42</v>
      </c>
      <c r="AB460" s="3" t="s">
        <v>29</v>
      </c>
      <c r="AC460" s="3" t="s">
        <v>664</v>
      </c>
      <c r="AD460" s="3" t="s">
        <v>37</v>
      </c>
      <c r="AE460" s="3" t="s">
        <v>38</v>
      </c>
      <c r="AF460" s="3" t="s">
        <v>664</v>
      </c>
      <c r="AG460" s="3" t="s">
        <v>39</v>
      </c>
    </row>
    <row r="461" spans="1:33">
      <c r="A461" s="1">
        <v>45209.84704015046</v>
      </c>
      <c r="B461" s="3" t="s">
        <v>1024</v>
      </c>
      <c r="C461" s="2">
        <v>30804</v>
      </c>
      <c r="D461" s="3">
        <v>39</v>
      </c>
      <c r="E461" s="3" t="s">
        <v>510</v>
      </c>
      <c r="F461" s="3" t="s">
        <v>522</v>
      </c>
      <c r="G461" s="3" t="s">
        <v>539</v>
      </c>
      <c r="H461" s="2">
        <v>43214</v>
      </c>
      <c r="I461" s="3">
        <v>1</v>
      </c>
      <c r="J461" s="3" t="s">
        <v>542</v>
      </c>
      <c r="K461" s="3">
        <v>3310</v>
      </c>
      <c r="L461" s="3">
        <v>38</v>
      </c>
      <c r="M461" s="3">
        <v>73</v>
      </c>
      <c r="N461" s="3">
        <v>77</v>
      </c>
      <c r="O461" s="3">
        <v>165</v>
      </c>
      <c r="P461" s="3" t="s">
        <v>123</v>
      </c>
      <c r="Q461" s="3" t="s">
        <v>26</v>
      </c>
      <c r="S461" s="3" t="s">
        <v>664</v>
      </c>
      <c r="T461" s="3" t="s">
        <v>79</v>
      </c>
      <c r="U461" s="3">
        <v>7</v>
      </c>
      <c r="V461" s="3">
        <v>1</v>
      </c>
      <c r="W461" s="3" t="s">
        <v>34</v>
      </c>
      <c r="X461" s="3" t="s">
        <v>128</v>
      </c>
      <c r="Y461" s="3">
        <v>7</v>
      </c>
      <c r="Z461" s="3">
        <v>1</v>
      </c>
      <c r="AA461" s="3" t="s">
        <v>28</v>
      </c>
      <c r="AB461" s="3" t="s">
        <v>340</v>
      </c>
      <c r="AC461" s="3" t="s">
        <v>664</v>
      </c>
      <c r="AD461" s="3" t="s">
        <v>30</v>
      </c>
      <c r="AE461" s="3" t="s">
        <v>31</v>
      </c>
      <c r="AF461" s="3" t="s">
        <v>664</v>
      </c>
      <c r="AG461" s="3" t="s">
        <v>32</v>
      </c>
    </row>
    <row r="462" spans="1:33">
      <c r="A462" s="1">
        <v>45209.86822462963</v>
      </c>
      <c r="B462" s="3" t="s">
        <v>1024</v>
      </c>
      <c r="C462" s="2">
        <v>30306</v>
      </c>
      <c r="D462" s="3">
        <v>40</v>
      </c>
      <c r="E462" s="3" t="s">
        <v>510</v>
      </c>
      <c r="F462" s="3" t="s">
        <v>520</v>
      </c>
      <c r="G462" s="3" t="s">
        <v>540</v>
      </c>
      <c r="H462" s="2">
        <v>30305</v>
      </c>
      <c r="I462" s="3">
        <v>1</v>
      </c>
      <c r="J462" s="3" t="s">
        <v>541</v>
      </c>
      <c r="K462" s="3">
        <v>3550</v>
      </c>
      <c r="L462" s="3">
        <v>38</v>
      </c>
      <c r="M462" s="3">
        <v>90</v>
      </c>
      <c r="N462" s="3">
        <v>70</v>
      </c>
      <c r="O462" s="3" t="s">
        <v>1049</v>
      </c>
      <c r="P462" s="3" t="s">
        <v>33</v>
      </c>
      <c r="Q462" s="3" t="s">
        <v>34</v>
      </c>
      <c r="R462" s="3" t="s">
        <v>778</v>
      </c>
      <c r="S462" s="3" t="s">
        <v>664</v>
      </c>
      <c r="T462" s="3" t="s">
        <v>43</v>
      </c>
      <c r="U462" s="3">
        <v>7</v>
      </c>
      <c r="V462" s="3">
        <v>1</v>
      </c>
      <c r="W462" s="3" t="s">
        <v>26</v>
      </c>
      <c r="Z462" s="3">
        <v>1</v>
      </c>
      <c r="AA462" s="3" t="s">
        <v>42</v>
      </c>
      <c r="AB462" s="3" t="s">
        <v>29</v>
      </c>
      <c r="AC462" s="3" t="s">
        <v>664</v>
      </c>
      <c r="AD462" s="3" t="s">
        <v>59</v>
      </c>
      <c r="AE462" s="3" t="s">
        <v>31</v>
      </c>
      <c r="AF462" s="3" t="s">
        <v>664</v>
      </c>
      <c r="AG462" s="3" t="s">
        <v>48</v>
      </c>
    </row>
    <row r="463" spans="1:33">
      <c r="A463" s="1">
        <v>45209.869407453705</v>
      </c>
      <c r="B463" s="3" t="s">
        <v>1024</v>
      </c>
      <c r="C463" s="2">
        <v>37183</v>
      </c>
      <c r="D463" s="3">
        <v>21</v>
      </c>
      <c r="E463" s="3" t="s">
        <v>511</v>
      </c>
      <c r="F463" s="3" t="s">
        <v>523</v>
      </c>
      <c r="G463" s="3" t="s">
        <v>538</v>
      </c>
      <c r="H463" s="2">
        <v>44769</v>
      </c>
      <c r="I463" s="3">
        <v>1</v>
      </c>
      <c r="J463" s="3" t="s">
        <v>542</v>
      </c>
      <c r="K463" s="3" t="s">
        <v>1268</v>
      </c>
      <c r="L463" s="3" t="s">
        <v>697</v>
      </c>
      <c r="M463" s="3" t="s">
        <v>1269</v>
      </c>
      <c r="N463" s="3" t="s">
        <v>1270</v>
      </c>
      <c r="O463" s="3">
        <v>161</v>
      </c>
      <c r="P463" s="3" t="s">
        <v>33</v>
      </c>
      <c r="Q463" s="3" t="s">
        <v>26</v>
      </c>
      <c r="S463" s="3" t="s">
        <v>664</v>
      </c>
      <c r="T463" s="3" t="s">
        <v>27</v>
      </c>
      <c r="U463" s="3">
        <v>7</v>
      </c>
      <c r="V463" s="3">
        <v>1</v>
      </c>
      <c r="W463" s="3" t="s">
        <v>34</v>
      </c>
      <c r="X463" s="3" t="s">
        <v>186</v>
      </c>
      <c r="Y463" s="3">
        <v>7</v>
      </c>
      <c r="Z463" s="3">
        <v>1</v>
      </c>
      <c r="AA463" s="3" t="s">
        <v>42</v>
      </c>
      <c r="AB463" s="3" t="s">
        <v>29</v>
      </c>
      <c r="AC463" s="3" t="s">
        <v>664</v>
      </c>
      <c r="AD463" s="3" t="s">
        <v>55</v>
      </c>
      <c r="AE463" s="3" t="s">
        <v>38</v>
      </c>
      <c r="AF463" s="3" t="s">
        <v>664</v>
      </c>
      <c r="AG463" s="3" t="s">
        <v>32</v>
      </c>
    </row>
    <row r="464" spans="1:33">
      <c r="A464" s="1">
        <v>45209.896531458333</v>
      </c>
      <c r="B464" s="3" t="s">
        <v>1024</v>
      </c>
      <c r="C464" s="2">
        <v>32101</v>
      </c>
      <c r="D464" s="3">
        <v>35</v>
      </c>
      <c r="E464" s="3" t="s">
        <v>510</v>
      </c>
      <c r="F464" s="3" t="s">
        <v>520</v>
      </c>
      <c r="G464" s="3" t="s">
        <v>539</v>
      </c>
      <c r="H464" s="2">
        <v>44533</v>
      </c>
      <c r="I464" s="3">
        <v>2</v>
      </c>
      <c r="J464" s="3" t="s">
        <v>542</v>
      </c>
      <c r="K464" s="3" t="s">
        <v>1271</v>
      </c>
      <c r="L464" s="3">
        <v>39</v>
      </c>
      <c r="M464" s="3">
        <v>65</v>
      </c>
      <c r="N464" s="3">
        <v>83</v>
      </c>
      <c r="O464" s="3">
        <v>172</v>
      </c>
      <c r="P464" s="3" t="s">
        <v>33</v>
      </c>
      <c r="Q464" s="3" t="s">
        <v>26</v>
      </c>
      <c r="S464" s="3" t="s">
        <v>664</v>
      </c>
      <c r="T464" s="3" t="s">
        <v>41</v>
      </c>
      <c r="U464" s="3">
        <v>7</v>
      </c>
      <c r="V464" s="3">
        <v>1</v>
      </c>
      <c r="W464" s="3" t="s">
        <v>34</v>
      </c>
      <c r="X464" s="3" t="s">
        <v>341</v>
      </c>
      <c r="Y464" s="3">
        <v>7</v>
      </c>
      <c r="Z464" s="3">
        <v>1</v>
      </c>
      <c r="AA464" s="3" t="s">
        <v>42</v>
      </c>
      <c r="AB464" s="3" t="s">
        <v>29</v>
      </c>
      <c r="AC464" s="3" t="s">
        <v>664</v>
      </c>
      <c r="AD464" s="3" t="s">
        <v>30</v>
      </c>
      <c r="AE464" s="3" t="s">
        <v>38</v>
      </c>
      <c r="AF464" s="3" t="s">
        <v>664</v>
      </c>
      <c r="AG464" s="3" t="s">
        <v>39</v>
      </c>
    </row>
    <row r="465" spans="1:33">
      <c r="A465" s="1">
        <v>45209.899520115738</v>
      </c>
      <c r="B465" s="3" t="s">
        <v>1024</v>
      </c>
      <c r="C465" s="2">
        <v>33809</v>
      </c>
      <c r="D465" s="3">
        <v>31</v>
      </c>
      <c r="E465" s="3" t="s">
        <v>510</v>
      </c>
      <c r="F465" s="3" t="s">
        <v>520</v>
      </c>
      <c r="G465" s="3" t="s">
        <v>540</v>
      </c>
      <c r="H465" s="2">
        <v>44797</v>
      </c>
      <c r="I465" s="3">
        <v>1</v>
      </c>
      <c r="J465" s="3" t="s">
        <v>541</v>
      </c>
      <c r="K465" s="3">
        <v>3475</v>
      </c>
      <c r="L465" s="3" t="s">
        <v>627</v>
      </c>
      <c r="M465" s="3">
        <v>70</v>
      </c>
      <c r="N465" s="3">
        <v>89</v>
      </c>
      <c r="O465" s="3">
        <v>162</v>
      </c>
      <c r="P465" s="3" t="s">
        <v>33</v>
      </c>
      <c r="Q465" s="3" t="s">
        <v>26</v>
      </c>
      <c r="S465" s="3" t="s">
        <v>664</v>
      </c>
      <c r="T465" s="3" t="s">
        <v>41</v>
      </c>
      <c r="U465" s="3">
        <v>7</v>
      </c>
      <c r="V465" s="3">
        <v>1</v>
      </c>
      <c r="W465" s="3" t="s">
        <v>34</v>
      </c>
      <c r="X465" s="3" t="s">
        <v>58</v>
      </c>
      <c r="Y465" s="3">
        <v>7</v>
      </c>
      <c r="Z465" s="3">
        <v>1</v>
      </c>
      <c r="AA465" s="3" t="s">
        <v>228</v>
      </c>
      <c r="AB465" s="3" t="s">
        <v>189</v>
      </c>
      <c r="AC465" s="3" t="s">
        <v>664</v>
      </c>
      <c r="AD465" s="3" t="s">
        <v>55</v>
      </c>
      <c r="AE465" s="3" t="s">
        <v>38</v>
      </c>
      <c r="AF465" s="3" t="s">
        <v>664</v>
      </c>
      <c r="AG465" s="3" t="s">
        <v>94</v>
      </c>
    </row>
    <row r="466" spans="1:33">
      <c r="A466" s="1">
        <v>45209.904086932875</v>
      </c>
      <c r="B466" s="3" t="s">
        <v>1024</v>
      </c>
      <c r="C466" s="2">
        <v>32482</v>
      </c>
      <c r="D466" s="3">
        <v>34</v>
      </c>
      <c r="E466" s="3" t="s">
        <v>510</v>
      </c>
      <c r="F466" s="3" t="s">
        <v>521</v>
      </c>
      <c r="G466" s="3" t="s">
        <v>539</v>
      </c>
      <c r="H466" s="2">
        <v>45099</v>
      </c>
      <c r="I466" s="3">
        <v>1</v>
      </c>
      <c r="J466" s="3" t="s">
        <v>542</v>
      </c>
      <c r="K466" s="3">
        <v>3305</v>
      </c>
      <c r="L466" s="3">
        <v>39</v>
      </c>
      <c r="M466" s="3">
        <v>85</v>
      </c>
      <c r="N466" s="3">
        <v>89</v>
      </c>
      <c r="O466" s="3">
        <v>167</v>
      </c>
      <c r="P466" s="3" t="s">
        <v>25</v>
      </c>
      <c r="Q466" s="3" t="s">
        <v>26</v>
      </c>
      <c r="S466" s="3" t="s">
        <v>664</v>
      </c>
      <c r="T466" s="3" t="s">
        <v>57</v>
      </c>
      <c r="U466" s="3">
        <v>7</v>
      </c>
      <c r="V466" s="3">
        <v>1</v>
      </c>
      <c r="W466" s="3" t="s">
        <v>34</v>
      </c>
      <c r="X466" s="3" t="s">
        <v>342</v>
      </c>
      <c r="Y466" s="3">
        <v>7</v>
      </c>
      <c r="Z466" s="3">
        <v>1</v>
      </c>
      <c r="AA466" s="3" t="s">
        <v>42</v>
      </c>
      <c r="AB466" s="3" t="s">
        <v>29</v>
      </c>
      <c r="AC466" s="3" t="s">
        <v>664</v>
      </c>
      <c r="AD466" s="3" t="s">
        <v>343</v>
      </c>
      <c r="AE466" s="3" t="s">
        <v>38</v>
      </c>
      <c r="AF466" s="3" t="s">
        <v>664</v>
      </c>
      <c r="AG466" s="3" t="s">
        <v>62</v>
      </c>
    </row>
    <row r="467" spans="1:33">
      <c r="A467" s="1">
        <v>45209.906778564815</v>
      </c>
      <c r="B467" s="3" t="s">
        <v>1024</v>
      </c>
      <c r="C467" s="2">
        <v>33303</v>
      </c>
      <c r="D467" s="3">
        <v>32</v>
      </c>
      <c r="E467" s="3" t="s">
        <v>510</v>
      </c>
      <c r="F467" s="3" t="s">
        <v>520</v>
      </c>
      <c r="G467" s="3" t="s">
        <v>539</v>
      </c>
      <c r="H467" s="2">
        <v>44706</v>
      </c>
      <c r="I467" s="3">
        <v>1</v>
      </c>
      <c r="J467" s="3" t="s">
        <v>542</v>
      </c>
      <c r="K467" s="3">
        <v>2905</v>
      </c>
      <c r="L467" s="3">
        <v>39</v>
      </c>
      <c r="M467" s="3">
        <v>76</v>
      </c>
      <c r="N467" s="3">
        <v>94</v>
      </c>
      <c r="O467" s="3">
        <v>160</v>
      </c>
      <c r="P467" s="3" t="s">
        <v>50</v>
      </c>
      <c r="Q467" s="3" t="s">
        <v>26</v>
      </c>
      <c r="S467" s="3" t="s">
        <v>664</v>
      </c>
      <c r="T467" s="3" t="s">
        <v>56</v>
      </c>
      <c r="U467" s="3">
        <v>7</v>
      </c>
      <c r="V467" s="3">
        <v>1</v>
      </c>
      <c r="W467" s="3" t="s">
        <v>26</v>
      </c>
      <c r="AA467" s="3" t="s">
        <v>28</v>
      </c>
      <c r="AB467" s="3" t="s">
        <v>29</v>
      </c>
      <c r="AC467" s="3" t="s">
        <v>664</v>
      </c>
      <c r="AD467" s="3" t="s">
        <v>55</v>
      </c>
      <c r="AE467" s="3" t="s">
        <v>31</v>
      </c>
      <c r="AF467" s="3" t="s">
        <v>664</v>
      </c>
      <c r="AG467" s="3" t="s">
        <v>32</v>
      </c>
    </row>
    <row r="468" spans="1:33">
      <c r="A468" s="1">
        <v>45209.912001527773</v>
      </c>
      <c r="B468" s="3" t="s">
        <v>1024</v>
      </c>
      <c r="C468" s="2">
        <v>34309</v>
      </c>
      <c r="D468" s="3">
        <v>29</v>
      </c>
      <c r="E468" s="3" t="s">
        <v>510</v>
      </c>
      <c r="F468" s="3" t="s">
        <v>520</v>
      </c>
      <c r="G468" s="3" t="s">
        <v>539</v>
      </c>
      <c r="H468" s="2">
        <v>44770</v>
      </c>
      <c r="I468" s="3">
        <v>1</v>
      </c>
      <c r="J468" s="3" t="s">
        <v>542</v>
      </c>
      <c r="K468" s="3" t="s">
        <v>1272</v>
      </c>
      <c r="L468" s="3">
        <v>40</v>
      </c>
      <c r="M468" s="3">
        <v>59</v>
      </c>
      <c r="N468" s="3">
        <v>68</v>
      </c>
      <c r="O468" s="3">
        <v>163</v>
      </c>
      <c r="P468" s="3" t="s">
        <v>33</v>
      </c>
      <c r="Q468" s="3" t="s">
        <v>26</v>
      </c>
      <c r="S468" s="3" t="s">
        <v>664</v>
      </c>
      <c r="T468" s="3" t="s">
        <v>56</v>
      </c>
      <c r="U468" s="3">
        <v>7</v>
      </c>
      <c r="V468" s="3">
        <v>1</v>
      </c>
      <c r="W468" s="3" t="s">
        <v>26</v>
      </c>
      <c r="AA468" s="3" t="s">
        <v>49</v>
      </c>
      <c r="AB468" s="3" t="s">
        <v>29</v>
      </c>
      <c r="AC468" s="3" t="s">
        <v>664</v>
      </c>
      <c r="AD468" s="3" t="s">
        <v>30</v>
      </c>
      <c r="AE468" s="3" t="s">
        <v>31</v>
      </c>
      <c r="AF468" s="3" t="s">
        <v>664</v>
      </c>
      <c r="AG468" s="3" t="s">
        <v>48</v>
      </c>
    </row>
    <row r="469" spans="1:33">
      <c r="A469" s="1">
        <v>45209.913044548608</v>
      </c>
      <c r="B469" s="3" t="s">
        <v>1024</v>
      </c>
      <c r="C469" s="2">
        <v>28791</v>
      </c>
      <c r="D469" s="3">
        <v>44</v>
      </c>
      <c r="E469" s="3" t="s">
        <v>510</v>
      </c>
      <c r="F469" s="3" t="s">
        <v>520</v>
      </c>
      <c r="G469" s="3" t="s">
        <v>539</v>
      </c>
      <c r="H469" s="2">
        <v>43052</v>
      </c>
      <c r="I469" s="3">
        <v>2</v>
      </c>
      <c r="J469" s="3" t="s">
        <v>541</v>
      </c>
      <c r="K469" s="3">
        <v>3800</v>
      </c>
      <c r="L469" s="3" t="s">
        <v>661</v>
      </c>
      <c r="M469" s="3">
        <v>100</v>
      </c>
      <c r="N469" s="3">
        <v>110</v>
      </c>
      <c r="O469" s="3">
        <v>158</v>
      </c>
      <c r="P469" s="3" t="s">
        <v>33</v>
      </c>
      <c r="Q469" s="3" t="s">
        <v>34</v>
      </c>
      <c r="R469" s="3" t="s">
        <v>344</v>
      </c>
      <c r="S469" s="3" t="s">
        <v>664</v>
      </c>
      <c r="T469" s="3" t="s">
        <v>43</v>
      </c>
      <c r="U469" s="3">
        <v>7</v>
      </c>
      <c r="V469" s="3">
        <v>1</v>
      </c>
      <c r="W469" s="3" t="s">
        <v>26</v>
      </c>
      <c r="AA469" s="3" t="s">
        <v>49</v>
      </c>
      <c r="AB469" s="3" t="s">
        <v>29</v>
      </c>
      <c r="AC469" s="3" t="s">
        <v>664</v>
      </c>
      <c r="AD469" s="3" t="s">
        <v>30</v>
      </c>
      <c r="AE469" s="3" t="s">
        <v>31</v>
      </c>
      <c r="AF469" s="3" t="s">
        <v>664</v>
      </c>
      <c r="AG469" s="3" t="s">
        <v>48</v>
      </c>
    </row>
    <row r="470" spans="1:33">
      <c r="A470" s="1">
        <v>45209.917300567133</v>
      </c>
      <c r="B470" s="3" t="s">
        <v>1024</v>
      </c>
      <c r="C470" s="2">
        <v>32769</v>
      </c>
      <c r="D470" s="3">
        <v>34</v>
      </c>
      <c r="E470" s="3" t="s">
        <v>510</v>
      </c>
      <c r="F470" s="3" t="s">
        <v>520</v>
      </c>
      <c r="G470" s="3" t="s">
        <v>539</v>
      </c>
      <c r="H470" s="2">
        <v>44861</v>
      </c>
      <c r="I470" s="3">
        <v>2</v>
      </c>
      <c r="J470" s="3" t="s">
        <v>541</v>
      </c>
      <c r="K470" s="3">
        <v>3605</v>
      </c>
      <c r="L470" s="3">
        <v>40</v>
      </c>
      <c r="M470" s="3">
        <v>72</v>
      </c>
      <c r="N470" s="3" t="s">
        <v>1273</v>
      </c>
      <c r="O470" s="3">
        <v>157</v>
      </c>
      <c r="P470" s="3" t="s">
        <v>106</v>
      </c>
      <c r="Q470" s="3" t="s">
        <v>26</v>
      </c>
      <c r="S470" s="3" t="s">
        <v>664</v>
      </c>
      <c r="T470" s="3" t="s">
        <v>57</v>
      </c>
      <c r="U470" s="3">
        <v>7</v>
      </c>
      <c r="V470" s="3">
        <v>1</v>
      </c>
      <c r="W470" s="3" t="s">
        <v>34</v>
      </c>
      <c r="X470" s="3" t="s">
        <v>345</v>
      </c>
      <c r="Y470" s="3">
        <v>7</v>
      </c>
      <c r="Z470" s="3">
        <v>2</v>
      </c>
      <c r="AA470" s="3" t="s">
        <v>49</v>
      </c>
      <c r="AB470" s="3" t="s">
        <v>346</v>
      </c>
      <c r="AC470" s="3" t="s">
        <v>664</v>
      </c>
      <c r="AD470" s="3" t="s">
        <v>30</v>
      </c>
      <c r="AE470" s="3" t="s">
        <v>31</v>
      </c>
      <c r="AF470" s="3" t="s">
        <v>664</v>
      </c>
      <c r="AG470" s="3" t="s">
        <v>32</v>
      </c>
    </row>
    <row r="471" spans="1:33">
      <c r="A471" s="1">
        <v>45209.937536469908</v>
      </c>
      <c r="B471" s="3" t="s">
        <v>1024</v>
      </c>
      <c r="C471" s="2">
        <v>31071</v>
      </c>
      <c r="D471" s="3">
        <v>38</v>
      </c>
      <c r="E471" s="3" t="s">
        <v>510</v>
      </c>
      <c r="F471" s="3" t="s">
        <v>523</v>
      </c>
      <c r="G471" s="3" t="s">
        <v>539</v>
      </c>
      <c r="H471" s="2">
        <v>44490</v>
      </c>
      <c r="I471" s="3">
        <v>2</v>
      </c>
      <c r="J471" s="3" t="s">
        <v>541</v>
      </c>
      <c r="K471" s="3">
        <v>3830</v>
      </c>
      <c r="L471" s="3">
        <v>38</v>
      </c>
      <c r="M471" s="3">
        <v>68</v>
      </c>
      <c r="N471" s="3">
        <v>78</v>
      </c>
      <c r="O471" s="3">
        <v>170</v>
      </c>
      <c r="P471" s="3" t="s">
        <v>33</v>
      </c>
      <c r="Q471" s="3" t="s">
        <v>26</v>
      </c>
      <c r="S471" s="3" t="s">
        <v>664</v>
      </c>
      <c r="T471" s="3" t="s">
        <v>41</v>
      </c>
      <c r="U471" s="3">
        <v>7</v>
      </c>
      <c r="V471" s="3">
        <v>1</v>
      </c>
      <c r="W471" s="3" t="s">
        <v>34</v>
      </c>
      <c r="X471" s="3" t="s">
        <v>58</v>
      </c>
      <c r="Y471" s="3">
        <v>7</v>
      </c>
      <c r="Z471" s="3">
        <v>1</v>
      </c>
      <c r="AA471" s="3" t="s">
        <v>36</v>
      </c>
      <c r="AB471" s="3" t="s">
        <v>29</v>
      </c>
      <c r="AC471" s="3" t="s">
        <v>664</v>
      </c>
      <c r="AD471" s="3" t="s">
        <v>55</v>
      </c>
      <c r="AE471" s="3" t="s">
        <v>31</v>
      </c>
      <c r="AF471" s="3" t="s">
        <v>664</v>
      </c>
      <c r="AG471" s="3" t="s">
        <v>32</v>
      </c>
    </row>
    <row r="472" spans="1:33">
      <c r="A472" s="1">
        <v>45209.950186828704</v>
      </c>
      <c r="B472" s="3" t="s">
        <v>1024</v>
      </c>
      <c r="C472" s="2">
        <v>31773</v>
      </c>
      <c r="D472" s="3">
        <v>36</v>
      </c>
      <c r="E472" s="3" t="s">
        <v>510</v>
      </c>
      <c r="F472" s="3" t="s">
        <v>520</v>
      </c>
      <c r="G472" s="3" t="s">
        <v>540</v>
      </c>
      <c r="H472" s="2">
        <v>43951</v>
      </c>
      <c r="I472" s="3">
        <v>1</v>
      </c>
      <c r="J472" s="3" t="s">
        <v>541</v>
      </c>
      <c r="K472" s="3" t="s">
        <v>1059</v>
      </c>
      <c r="L472" s="3" t="s">
        <v>616</v>
      </c>
      <c r="M472" s="3">
        <v>94</v>
      </c>
      <c r="N472" s="3">
        <v>117</v>
      </c>
      <c r="O472" s="3">
        <v>157</v>
      </c>
      <c r="P472" s="3" t="s">
        <v>25</v>
      </c>
      <c r="Q472" s="3" t="s">
        <v>34</v>
      </c>
      <c r="R472" s="3" t="s">
        <v>347</v>
      </c>
      <c r="S472" s="3" t="s">
        <v>664</v>
      </c>
      <c r="T472" s="3" t="s">
        <v>27</v>
      </c>
      <c r="U472" s="3">
        <v>7</v>
      </c>
      <c r="V472" s="3">
        <v>1</v>
      </c>
      <c r="W472" s="3" t="s">
        <v>26</v>
      </c>
      <c r="AA472" s="3" t="s">
        <v>49</v>
      </c>
      <c r="AB472" s="3" t="s">
        <v>29</v>
      </c>
      <c r="AC472" s="3" t="s">
        <v>664</v>
      </c>
      <c r="AD472" s="3" t="s">
        <v>30</v>
      </c>
      <c r="AE472" s="3" t="s">
        <v>72</v>
      </c>
      <c r="AF472" s="3" t="s">
        <v>664</v>
      </c>
      <c r="AG472" s="3" t="s">
        <v>32</v>
      </c>
    </row>
    <row r="473" spans="1:33">
      <c r="A473" s="1">
        <v>45209.959428425922</v>
      </c>
      <c r="B473" s="3" t="s">
        <v>1024</v>
      </c>
      <c r="C473" s="2">
        <v>30419</v>
      </c>
      <c r="D473" s="3">
        <v>40</v>
      </c>
      <c r="E473" s="3" t="s">
        <v>510</v>
      </c>
      <c r="F473" s="3" t="s">
        <v>528</v>
      </c>
      <c r="G473" s="3" t="s">
        <v>540</v>
      </c>
      <c r="H473" s="2">
        <v>43965</v>
      </c>
      <c r="I473" s="3">
        <v>1</v>
      </c>
      <c r="J473" s="3" t="s">
        <v>542</v>
      </c>
      <c r="K473" s="3">
        <v>3380</v>
      </c>
      <c r="L473" s="3" t="s">
        <v>779</v>
      </c>
      <c r="M473" s="3">
        <v>80</v>
      </c>
      <c r="N473" s="3" t="s">
        <v>1274</v>
      </c>
      <c r="O473" s="3">
        <v>176</v>
      </c>
      <c r="P473" s="3" t="s">
        <v>33</v>
      </c>
      <c r="Q473" s="3" t="s">
        <v>26</v>
      </c>
      <c r="S473" s="3" t="s">
        <v>664</v>
      </c>
      <c r="T473" s="3" t="s">
        <v>217</v>
      </c>
      <c r="U473" s="3">
        <v>7</v>
      </c>
      <c r="V473" s="3">
        <v>1</v>
      </c>
      <c r="W473" s="3" t="s">
        <v>26</v>
      </c>
      <c r="AA473" s="3" t="s">
        <v>49</v>
      </c>
      <c r="AB473" s="3" t="s">
        <v>348</v>
      </c>
      <c r="AC473" s="3" t="s">
        <v>664</v>
      </c>
      <c r="AD473" s="3" t="s">
        <v>55</v>
      </c>
      <c r="AE473" s="3" t="s">
        <v>31</v>
      </c>
      <c r="AF473" s="3" t="s">
        <v>664</v>
      </c>
      <c r="AG473" s="3" t="s">
        <v>48</v>
      </c>
    </row>
    <row r="474" spans="1:33">
      <c r="A474" s="1">
        <v>45209.966848414348</v>
      </c>
      <c r="B474" s="3" t="s">
        <v>1024</v>
      </c>
      <c r="C474" s="2">
        <v>30817</v>
      </c>
      <c r="D474" s="3">
        <v>39</v>
      </c>
      <c r="E474" s="3" t="s">
        <v>510</v>
      </c>
      <c r="F474" s="3" t="s">
        <v>520</v>
      </c>
      <c r="G474" s="3" t="s">
        <v>540</v>
      </c>
      <c r="H474" s="2">
        <v>43844</v>
      </c>
      <c r="I474" s="3">
        <v>2</v>
      </c>
      <c r="J474" s="3" t="s">
        <v>542</v>
      </c>
      <c r="K474" s="3">
        <v>260</v>
      </c>
      <c r="L474" s="3">
        <v>37</v>
      </c>
      <c r="M474" s="3">
        <v>56</v>
      </c>
      <c r="N474" s="7">
        <v>65300</v>
      </c>
      <c r="O474" s="3">
        <v>160</v>
      </c>
      <c r="P474" s="3" t="s">
        <v>33</v>
      </c>
      <c r="Q474" s="3" t="s">
        <v>26</v>
      </c>
      <c r="S474" s="3" t="s">
        <v>664</v>
      </c>
      <c r="T474" s="3" t="s">
        <v>27</v>
      </c>
      <c r="U474" s="3">
        <v>7</v>
      </c>
      <c r="V474" s="3">
        <v>1</v>
      </c>
      <c r="W474" s="3" t="s">
        <v>34</v>
      </c>
      <c r="Y474" s="3">
        <v>7</v>
      </c>
      <c r="Z474" s="3">
        <v>2</v>
      </c>
      <c r="AA474" s="3" t="s">
        <v>49</v>
      </c>
      <c r="AB474" s="3" t="s">
        <v>355</v>
      </c>
      <c r="AC474" s="3" t="s">
        <v>664</v>
      </c>
      <c r="AD474" s="3" t="s">
        <v>30</v>
      </c>
      <c r="AE474" s="3" t="s">
        <v>38</v>
      </c>
      <c r="AF474" s="3" t="s">
        <v>664</v>
      </c>
      <c r="AG474" s="3" t="s">
        <v>32</v>
      </c>
    </row>
    <row r="475" spans="1:33">
      <c r="A475" s="1">
        <v>45209.981023576387</v>
      </c>
      <c r="B475" s="3" t="s">
        <v>1024</v>
      </c>
      <c r="C475" s="2">
        <v>31408</v>
      </c>
      <c r="D475" s="3">
        <v>37</v>
      </c>
      <c r="E475" s="3" t="s">
        <v>510</v>
      </c>
      <c r="F475" s="3" t="s">
        <v>520</v>
      </c>
      <c r="G475" s="3" t="s">
        <v>539</v>
      </c>
      <c r="H475" s="2">
        <v>44682</v>
      </c>
      <c r="I475" s="3">
        <v>1</v>
      </c>
      <c r="J475" s="3" t="s">
        <v>541</v>
      </c>
      <c r="K475" s="3">
        <v>3.49</v>
      </c>
      <c r="L475" s="3">
        <v>38</v>
      </c>
      <c r="M475" s="3">
        <v>67</v>
      </c>
      <c r="N475" s="3">
        <v>71</v>
      </c>
      <c r="O475" s="3">
        <v>158</v>
      </c>
      <c r="P475" s="3" t="s">
        <v>90</v>
      </c>
      <c r="Q475" s="3" t="s">
        <v>26</v>
      </c>
      <c r="S475" s="3" t="s">
        <v>664</v>
      </c>
      <c r="T475" s="3" t="s">
        <v>27</v>
      </c>
      <c r="U475" s="3">
        <v>7</v>
      </c>
      <c r="V475" s="3">
        <v>1</v>
      </c>
      <c r="W475" s="3" t="s">
        <v>34</v>
      </c>
      <c r="X475" s="3" t="s">
        <v>97</v>
      </c>
      <c r="Y475" s="3">
        <v>7</v>
      </c>
      <c r="Z475" s="3">
        <v>1</v>
      </c>
      <c r="AA475" s="3" t="s">
        <v>28</v>
      </c>
      <c r="AB475" s="3" t="s">
        <v>83</v>
      </c>
      <c r="AC475" s="3" t="s">
        <v>26</v>
      </c>
      <c r="AD475" s="3" t="s">
        <v>37</v>
      </c>
      <c r="AE475" s="3" t="s">
        <v>60</v>
      </c>
      <c r="AF475" s="3" t="s">
        <v>26</v>
      </c>
      <c r="AG475" s="3" t="s">
        <v>62</v>
      </c>
    </row>
    <row r="476" spans="1:33">
      <c r="A476" s="1">
        <v>45209.987464398146</v>
      </c>
      <c r="B476" s="3" t="s">
        <v>1024</v>
      </c>
      <c r="C476" s="2">
        <v>33488</v>
      </c>
      <c r="D476" s="3">
        <v>32</v>
      </c>
      <c r="E476" s="3" t="s">
        <v>510</v>
      </c>
      <c r="F476" s="3" t="s">
        <v>532</v>
      </c>
      <c r="G476" s="3" t="s">
        <v>538</v>
      </c>
      <c r="H476" s="2">
        <v>44973</v>
      </c>
      <c r="I476" s="3">
        <v>2</v>
      </c>
      <c r="J476" s="3" t="s">
        <v>541</v>
      </c>
      <c r="K476" s="3">
        <v>4320</v>
      </c>
      <c r="L476" s="3" t="s">
        <v>780</v>
      </c>
      <c r="M476" s="3">
        <v>83</v>
      </c>
      <c r="N476" s="3">
        <v>84</v>
      </c>
      <c r="O476" s="3">
        <v>164</v>
      </c>
      <c r="P476" s="3" t="s">
        <v>44</v>
      </c>
      <c r="Q476" s="3" t="s">
        <v>26</v>
      </c>
      <c r="S476" s="3" t="s">
        <v>664</v>
      </c>
      <c r="T476" s="3" t="s">
        <v>79</v>
      </c>
      <c r="U476" s="3">
        <v>6</v>
      </c>
      <c r="V476" s="3">
        <v>1</v>
      </c>
      <c r="W476" s="3" t="s">
        <v>26</v>
      </c>
      <c r="AA476" s="3" t="s">
        <v>49</v>
      </c>
      <c r="AB476" s="3" t="s">
        <v>122</v>
      </c>
      <c r="AC476" s="3" t="s">
        <v>664</v>
      </c>
      <c r="AD476" s="3" t="s">
        <v>55</v>
      </c>
      <c r="AE476" s="3" t="s">
        <v>31</v>
      </c>
      <c r="AF476" s="3" t="s">
        <v>664</v>
      </c>
      <c r="AG476" s="3" t="s">
        <v>76</v>
      </c>
    </row>
    <row r="477" spans="1:33">
      <c r="A477" s="1">
        <v>45210.002969803245</v>
      </c>
      <c r="B477" s="3" t="s">
        <v>1024</v>
      </c>
      <c r="C477" s="2">
        <v>31824</v>
      </c>
      <c r="D477" s="3">
        <v>36</v>
      </c>
      <c r="E477" s="3" t="s">
        <v>510</v>
      </c>
      <c r="F477" s="3" t="s">
        <v>520</v>
      </c>
      <c r="G477" s="3" t="s">
        <v>539</v>
      </c>
      <c r="H477" s="2">
        <v>43821</v>
      </c>
      <c r="I477" s="3">
        <v>3</v>
      </c>
      <c r="J477" s="3" t="s">
        <v>542</v>
      </c>
      <c r="K477" s="3">
        <v>3840</v>
      </c>
      <c r="L477" s="3">
        <v>38</v>
      </c>
      <c r="M477" s="3">
        <v>95</v>
      </c>
      <c r="N477" s="3">
        <v>102</v>
      </c>
      <c r="O477" s="3">
        <v>172</v>
      </c>
      <c r="P477" s="3" t="s">
        <v>44</v>
      </c>
      <c r="Q477" s="3" t="s">
        <v>26</v>
      </c>
      <c r="S477" s="3" t="s">
        <v>664</v>
      </c>
      <c r="T477" s="3" t="s">
        <v>79</v>
      </c>
      <c r="U477" s="3">
        <v>7</v>
      </c>
      <c r="V477" s="3">
        <v>1</v>
      </c>
      <c r="W477" s="3" t="s">
        <v>26</v>
      </c>
      <c r="AA477" s="3" t="s">
        <v>49</v>
      </c>
      <c r="AB477" s="3" t="s">
        <v>29</v>
      </c>
      <c r="AC477" s="3" t="s">
        <v>664</v>
      </c>
      <c r="AD477" s="3" t="s">
        <v>63</v>
      </c>
      <c r="AE477" s="3" t="s">
        <v>60</v>
      </c>
      <c r="AF477" s="3" t="s">
        <v>664</v>
      </c>
      <c r="AG477" s="3" t="s">
        <v>62</v>
      </c>
    </row>
    <row r="478" spans="1:33">
      <c r="A478" s="1">
        <v>45210.014288321763</v>
      </c>
      <c r="B478" s="3" t="s">
        <v>1024</v>
      </c>
      <c r="C478" s="2">
        <v>30777</v>
      </c>
      <c r="D478" s="3">
        <v>39</v>
      </c>
      <c r="E478" s="3" t="s">
        <v>510</v>
      </c>
      <c r="F478" s="3" t="s">
        <v>521</v>
      </c>
      <c r="G478" s="3" t="s">
        <v>539</v>
      </c>
      <c r="H478" s="2">
        <v>43976</v>
      </c>
      <c r="I478" s="3">
        <v>1</v>
      </c>
      <c r="J478" s="3" t="s">
        <v>542</v>
      </c>
      <c r="K478" s="3">
        <v>3500</v>
      </c>
      <c r="L478" s="3">
        <v>38</v>
      </c>
      <c r="M478" s="3">
        <v>84</v>
      </c>
      <c r="N478" s="3">
        <v>93</v>
      </c>
      <c r="O478" s="3">
        <v>161</v>
      </c>
      <c r="P478" s="3" t="s">
        <v>33</v>
      </c>
      <c r="Q478" s="3" t="s">
        <v>26</v>
      </c>
      <c r="S478" s="3" t="s">
        <v>664</v>
      </c>
      <c r="T478" s="3" t="s">
        <v>27</v>
      </c>
      <c r="U478" s="3">
        <v>7</v>
      </c>
      <c r="V478" s="3">
        <v>1</v>
      </c>
      <c r="W478" s="3" t="s">
        <v>26</v>
      </c>
      <c r="AA478" s="3" t="s">
        <v>49</v>
      </c>
      <c r="AB478" s="3" t="s">
        <v>29</v>
      </c>
      <c r="AC478" s="3" t="s">
        <v>664</v>
      </c>
      <c r="AD478" s="3" t="s">
        <v>55</v>
      </c>
      <c r="AE478" s="3" t="s">
        <v>38</v>
      </c>
      <c r="AF478" s="3" t="s">
        <v>664</v>
      </c>
      <c r="AG478" s="3" t="s">
        <v>62</v>
      </c>
    </row>
    <row r="479" spans="1:33">
      <c r="A479" s="1">
        <v>45210.112357199076</v>
      </c>
      <c r="B479" s="3" t="s">
        <v>1024</v>
      </c>
      <c r="C479" s="2">
        <v>34148</v>
      </c>
      <c r="D479" s="3">
        <v>30</v>
      </c>
      <c r="E479" s="3" t="s">
        <v>510</v>
      </c>
      <c r="F479" s="3" t="s">
        <v>528</v>
      </c>
      <c r="G479" s="3" t="s">
        <v>539</v>
      </c>
      <c r="H479" s="2">
        <v>44566</v>
      </c>
      <c r="I479" s="3">
        <v>1</v>
      </c>
      <c r="J479" s="3" t="s">
        <v>542</v>
      </c>
      <c r="K479" s="3">
        <v>3570</v>
      </c>
      <c r="L479" s="3">
        <v>38</v>
      </c>
      <c r="M479" s="3" t="s">
        <v>1275</v>
      </c>
      <c r="N479" s="3">
        <v>79</v>
      </c>
      <c r="O479" s="3">
        <v>157</v>
      </c>
      <c r="P479" s="3" t="s">
        <v>40</v>
      </c>
      <c r="Q479" s="3" t="s">
        <v>26</v>
      </c>
      <c r="S479" s="3" t="s">
        <v>664</v>
      </c>
      <c r="T479" s="3" t="s">
        <v>79</v>
      </c>
      <c r="U479" s="3">
        <v>7</v>
      </c>
      <c r="V479" s="3">
        <v>1</v>
      </c>
      <c r="W479" s="3" t="s">
        <v>34</v>
      </c>
      <c r="X479" s="3" t="s">
        <v>231</v>
      </c>
      <c r="Y479" s="3">
        <v>7</v>
      </c>
      <c r="Z479" s="3">
        <v>1</v>
      </c>
      <c r="AA479" s="3" t="s">
        <v>28</v>
      </c>
      <c r="AB479" s="3" t="s">
        <v>29</v>
      </c>
      <c r="AC479" s="3" t="s">
        <v>664</v>
      </c>
      <c r="AD479" s="3" t="s">
        <v>30</v>
      </c>
      <c r="AE479" s="3" t="s">
        <v>31</v>
      </c>
      <c r="AF479" s="3" t="s">
        <v>664</v>
      </c>
      <c r="AG479" s="3" t="s">
        <v>32</v>
      </c>
    </row>
    <row r="480" spans="1:33">
      <c r="A480" s="1">
        <v>45210.149930046297</v>
      </c>
      <c r="B480" s="3" t="s">
        <v>1024</v>
      </c>
      <c r="C480" s="2">
        <v>34591</v>
      </c>
      <c r="D480" s="3">
        <v>29</v>
      </c>
      <c r="E480" s="3" t="s">
        <v>510</v>
      </c>
      <c r="F480" s="3" t="s">
        <v>520</v>
      </c>
      <c r="G480" s="3" t="s">
        <v>539</v>
      </c>
      <c r="H480" s="2">
        <v>44020</v>
      </c>
      <c r="I480" s="3">
        <v>1</v>
      </c>
      <c r="J480" s="3" t="s">
        <v>542</v>
      </c>
      <c r="K480" s="3">
        <v>3050</v>
      </c>
      <c r="L480" s="3">
        <v>38</v>
      </c>
      <c r="M480" s="3">
        <v>69</v>
      </c>
      <c r="N480" s="3">
        <v>74</v>
      </c>
      <c r="O480" s="3">
        <v>160</v>
      </c>
      <c r="P480" s="3" t="s">
        <v>25</v>
      </c>
      <c r="Q480" s="3" t="s">
        <v>26</v>
      </c>
      <c r="S480" s="3" t="s">
        <v>664</v>
      </c>
      <c r="T480" s="3" t="s">
        <v>79</v>
      </c>
      <c r="U480" s="3">
        <v>3</v>
      </c>
      <c r="V480" s="3">
        <v>1</v>
      </c>
      <c r="W480" s="3" t="s">
        <v>26</v>
      </c>
      <c r="Y480" s="3">
        <v>3</v>
      </c>
      <c r="Z480" s="3">
        <v>1</v>
      </c>
      <c r="AA480" s="3" t="s">
        <v>49</v>
      </c>
      <c r="AB480" s="3" t="s">
        <v>29</v>
      </c>
      <c r="AC480" s="3" t="s">
        <v>664</v>
      </c>
      <c r="AD480" s="3" t="s">
        <v>30</v>
      </c>
      <c r="AE480" s="3" t="s">
        <v>31</v>
      </c>
      <c r="AF480" s="3" t="s">
        <v>664</v>
      </c>
      <c r="AG480" s="3" t="s">
        <v>39</v>
      </c>
    </row>
    <row r="481" spans="1:33">
      <c r="A481" s="1">
        <v>45210.191956736111</v>
      </c>
      <c r="B481" s="3" t="s">
        <v>1024</v>
      </c>
      <c r="C481" s="2">
        <v>30890</v>
      </c>
      <c r="D481" s="3">
        <v>39</v>
      </c>
      <c r="E481" s="3" t="s">
        <v>510</v>
      </c>
      <c r="F481" s="3" t="s">
        <v>520</v>
      </c>
      <c r="G481" s="3" t="s">
        <v>539</v>
      </c>
      <c r="H481" s="2">
        <v>43601</v>
      </c>
      <c r="I481" s="3">
        <v>2</v>
      </c>
      <c r="J481" s="3" t="s">
        <v>541</v>
      </c>
      <c r="K481" s="3">
        <v>2450</v>
      </c>
      <c r="L481" s="3">
        <v>36</v>
      </c>
      <c r="M481" s="3">
        <v>81</v>
      </c>
      <c r="N481" s="3">
        <v>85</v>
      </c>
      <c r="O481" s="3">
        <v>162</v>
      </c>
      <c r="P481" s="3" t="s">
        <v>33</v>
      </c>
      <c r="Q481" s="3" t="s">
        <v>26</v>
      </c>
      <c r="S481" s="3" t="s">
        <v>664</v>
      </c>
      <c r="T481" s="3" t="s">
        <v>43</v>
      </c>
      <c r="U481" s="3">
        <v>7</v>
      </c>
      <c r="V481" s="3">
        <v>1</v>
      </c>
      <c r="W481" s="3" t="s">
        <v>34</v>
      </c>
      <c r="X481" s="3" t="s">
        <v>58</v>
      </c>
      <c r="Y481" s="3">
        <v>7</v>
      </c>
      <c r="Z481" s="3">
        <v>1</v>
      </c>
      <c r="AA481" s="3" t="s">
        <v>228</v>
      </c>
      <c r="AB481" s="3" t="s">
        <v>174</v>
      </c>
      <c r="AC481" s="3" t="s">
        <v>664</v>
      </c>
      <c r="AD481" s="3" t="s">
        <v>30</v>
      </c>
      <c r="AE481" s="3" t="s">
        <v>31</v>
      </c>
      <c r="AF481" s="3" t="s">
        <v>664</v>
      </c>
      <c r="AG481" s="3" t="s">
        <v>32</v>
      </c>
    </row>
    <row r="482" spans="1:33">
      <c r="A482" s="1">
        <v>45210.244401493052</v>
      </c>
      <c r="B482" s="3" t="s">
        <v>1024</v>
      </c>
      <c r="C482" s="2">
        <v>31201</v>
      </c>
      <c r="D482" s="3">
        <v>38</v>
      </c>
      <c r="E482" s="3" t="s">
        <v>510</v>
      </c>
      <c r="F482" s="3" t="s">
        <v>520</v>
      </c>
      <c r="G482" s="3" t="s">
        <v>539</v>
      </c>
      <c r="H482" s="2">
        <v>44730</v>
      </c>
      <c r="I482" s="3">
        <v>4</v>
      </c>
      <c r="J482" s="3" t="s">
        <v>542</v>
      </c>
      <c r="K482" s="3">
        <v>3350</v>
      </c>
      <c r="L482" s="3" t="s">
        <v>643</v>
      </c>
      <c r="M482" s="3">
        <v>74</v>
      </c>
      <c r="N482" s="3">
        <v>82</v>
      </c>
      <c r="O482" s="3">
        <v>155</v>
      </c>
      <c r="P482" s="3" t="s">
        <v>25</v>
      </c>
      <c r="Q482" s="3" t="s">
        <v>26</v>
      </c>
      <c r="S482" s="3" t="s">
        <v>664</v>
      </c>
      <c r="T482" s="3" t="s">
        <v>43</v>
      </c>
      <c r="U482" s="3">
        <v>7</v>
      </c>
      <c r="V482" s="3">
        <v>1</v>
      </c>
      <c r="W482" s="3" t="s">
        <v>26</v>
      </c>
      <c r="AA482" s="3" t="s">
        <v>49</v>
      </c>
      <c r="AB482" s="3" t="s">
        <v>29</v>
      </c>
      <c r="AC482" s="3" t="s">
        <v>664</v>
      </c>
      <c r="AD482" s="3" t="s">
        <v>30</v>
      </c>
      <c r="AE482" s="3" t="s">
        <v>31</v>
      </c>
      <c r="AF482" s="3" t="s">
        <v>664</v>
      </c>
      <c r="AG482" s="3" t="s">
        <v>39</v>
      </c>
    </row>
    <row r="483" spans="1:33">
      <c r="A483" s="1">
        <v>45210.33469743056</v>
      </c>
      <c r="B483" s="3" t="s">
        <v>1024</v>
      </c>
      <c r="C483" s="2">
        <v>32286</v>
      </c>
      <c r="D483" s="3">
        <v>35</v>
      </c>
      <c r="E483" s="3" t="s">
        <v>510</v>
      </c>
      <c r="F483" s="3" t="s">
        <v>520</v>
      </c>
      <c r="G483" s="3" t="s">
        <v>540</v>
      </c>
      <c r="H483" s="2">
        <v>43056</v>
      </c>
      <c r="I483" s="3">
        <v>1</v>
      </c>
      <c r="J483" s="3" t="s">
        <v>541</v>
      </c>
      <c r="K483" s="3">
        <v>2850</v>
      </c>
      <c r="L483" s="3">
        <v>39</v>
      </c>
      <c r="M483" s="3">
        <v>62</v>
      </c>
      <c r="N483" s="3">
        <v>73</v>
      </c>
      <c r="O483" s="3">
        <v>167</v>
      </c>
      <c r="P483" s="3" t="s">
        <v>33</v>
      </c>
      <c r="Q483" s="3" t="s">
        <v>26</v>
      </c>
      <c r="S483" s="3" t="s">
        <v>664</v>
      </c>
      <c r="T483" s="3" t="s">
        <v>57</v>
      </c>
      <c r="U483" s="3">
        <v>7</v>
      </c>
      <c r="V483" s="3">
        <v>1</v>
      </c>
      <c r="W483" s="3" t="s">
        <v>34</v>
      </c>
      <c r="X483" s="3" t="s">
        <v>245</v>
      </c>
      <c r="Y483" s="3">
        <v>7</v>
      </c>
      <c r="Z483" s="3">
        <v>1</v>
      </c>
      <c r="AA483" s="3" t="s">
        <v>42</v>
      </c>
      <c r="AB483" s="3" t="s">
        <v>29</v>
      </c>
      <c r="AC483" s="3" t="s">
        <v>664</v>
      </c>
      <c r="AD483" s="3" t="s">
        <v>55</v>
      </c>
      <c r="AE483" s="3" t="s">
        <v>38</v>
      </c>
      <c r="AF483" s="3" t="s">
        <v>664</v>
      </c>
      <c r="AG483" s="3" t="s">
        <v>48</v>
      </c>
    </row>
    <row r="484" spans="1:33">
      <c r="A484" s="1">
        <v>45210.444696550927</v>
      </c>
      <c r="B484" s="3" t="s">
        <v>1024</v>
      </c>
      <c r="C484" s="2">
        <v>32445</v>
      </c>
      <c r="D484" s="3">
        <v>34</v>
      </c>
      <c r="E484" s="3" t="s">
        <v>510</v>
      </c>
      <c r="F484" s="3" t="s">
        <v>521</v>
      </c>
      <c r="G484" s="3" t="s">
        <v>539</v>
      </c>
      <c r="H484" s="2">
        <v>44923</v>
      </c>
      <c r="I484" s="3">
        <v>2</v>
      </c>
      <c r="J484" s="3" t="s">
        <v>541</v>
      </c>
      <c r="K484" s="3">
        <v>3100</v>
      </c>
      <c r="L484" s="3">
        <v>38</v>
      </c>
      <c r="M484" s="3">
        <v>67</v>
      </c>
      <c r="N484" s="3">
        <v>80</v>
      </c>
      <c r="O484" s="3">
        <v>162</v>
      </c>
      <c r="P484" s="3" t="s">
        <v>33</v>
      </c>
      <c r="Q484" s="3" t="s">
        <v>26</v>
      </c>
      <c r="S484" s="3" t="s">
        <v>664</v>
      </c>
      <c r="T484" s="3" t="s">
        <v>56</v>
      </c>
      <c r="U484" s="3">
        <v>7</v>
      </c>
      <c r="V484" s="3">
        <v>1</v>
      </c>
      <c r="W484" s="3" t="s">
        <v>34</v>
      </c>
      <c r="X484" s="3" t="s">
        <v>58</v>
      </c>
      <c r="Y484" s="3">
        <v>7</v>
      </c>
      <c r="Z484" s="3">
        <v>1</v>
      </c>
      <c r="AA484" s="3" t="s">
        <v>28</v>
      </c>
      <c r="AB484" s="3" t="s">
        <v>29</v>
      </c>
      <c r="AC484" s="3" t="s">
        <v>664</v>
      </c>
      <c r="AD484" s="3" t="s">
        <v>55</v>
      </c>
      <c r="AE484" s="3" t="s">
        <v>31</v>
      </c>
      <c r="AF484" s="3" t="s">
        <v>664</v>
      </c>
      <c r="AG484" s="3" t="s">
        <v>39</v>
      </c>
    </row>
    <row r="485" spans="1:33">
      <c r="A485" s="1">
        <v>45210.5192134838</v>
      </c>
      <c r="B485" s="3" t="s">
        <v>1024</v>
      </c>
      <c r="C485" s="2">
        <v>33422</v>
      </c>
      <c r="D485" s="3">
        <v>32</v>
      </c>
      <c r="E485" s="3" t="s">
        <v>510</v>
      </c>
      <c r="F485" s="3" t="s">
        <v>523</v>
      </c>
      <c r="G485" s="3" t="s">
        <v>540</v>
      </c>
      <c r="H485" s="2">
        <v>44065</v>
      </c>
      <c r="I485" s="3">
        <v>1</v>
      </c>
      <c r="J485" s="3" t="s">
        <v>542</v>
      </c>
      <c r="K485" s="3" t="s">
        <v>1276</v>
      </c>
      <c r="L485" s="3" t="s">
        <v>781</v>
      </c>
      <c r="M485" s="3">
        <v>74</v>
      </c>
      <c r="N485" s="3">
        <v>79</v>
      </c>
      <c r="O485" s="3">
        <v>170</v>
      </c>
      <c r="P485" s="3" t="s">
        <v>33</v>
      </c>
      <c r="Q485" s="3" t="s">
        <v>34</v>
      </c>
      <c r="R485" s="3" t="s">
        <v>349</v>
      </c>
      <c r="S485" s="3" t="s">
        <v>664</v>
      </c>
      <c r="T485" s="3" t="s">
        <v>27</v>
      </c>
      <c r="U485" s="3">
        <v>7</v>
      </c>
      <c r="V485" s="3">
        <v>1</v>
      </c>
      <c r="W485" s="3" t="s">
        <v>34</v>
      </c>
      <c r="X485" s="3" t="s">
        <v>128</v>
      </c>
      <c r="Y485" s="3">
        <v>7</v>
      </c>
      <c r="Z485" s="3">
        <v>1</v>
      </c>
      <c r="AA485" s="3" t="s">
        <v>36</v>
      </c>
      <c r="AB485" s="3" t="s">
        <v>29</v>
      </c>
      <c r="AC485" s="3" t="s">
        <v>664</v>
      </c>
      <c r="AD485" s="3" t="s">
        <v>30</v>
      </c>
      <c r="AE485" s="3" t="s">
        <v>72</v>
      </c>
      <c r="AF485" s="3" t="s">
        <v>664</v>
      </c>
      <c r="AG485" s="3" t="s">
        <v>32</v>
      </c>
    </row>
    <row r="486" spans="1:33">
      <c r="A486" s="1">
        <v>45210.535699386572</v>
      </c>
      <c r="B486" s="3" t="s">
        <v>1024</v>
      </c>
      <c r="C486" s="2">
        <v>33600</v>
      </c>
      <c r="D486" s="3">
        <v>31</v>
      </c>
      <c r="E486" s="3" t="s">
        <v>510</v>
      </c>
      <c r="F486" s="3" t="s">
        <v>520</v>
      </c>
      <c r="G486" s="3" t="s">
        <v>539</v>
      </c>
      <c r="H486" s="2">
        <v>45110</v>
      </c>
      <c r="I486" s="3">
        <v>3</v>
      </c>
      <c r="J486" s="3" t="s">
        <v>541</v>
      </c>
      <c r="K486" s="3">
        <v>3430</v>
      </c>
      <c r="L486" s="3">
        <v>40</v>
      </c>
      <c r="M486" s="3">
        <v>102</v>
      </c>
      <c r="N486" s="3">
        <v>110</v>
      </c>
      <c r="O486" s="3">
        <v>167</v>
      </c>
      <c r="P486" s="3" t="s">
        <v>50</v>
      </c>
      <c r="Q486" s="3" t="s">
        <v>26</v>
      </c>
      <c r="S486" s="3" t="s">
        <v>664</v>
      </c>
      <c r="T486" s="3" t="s">
        <v>79</v>
      </c>
      <c r="U486" s="3">
        <v>7</v>
      </c>
      <c r="V486" s="3">
        <v>1</v>
      </c>
      <c r="W486" s="3" t="s">
        <v>26</v>
      </c>
      <c r="AA486" s="3" t="s">
        <v>49</v>
      </c>
      <c r="AB486" s="3" t="s">
        <v>29</v>
      </c>
      <c r="AC486" s="3" t="s">
        <v>664</v>
      </c>
      <c r="AD486" s="3" t="s">
        <v>30</v>
      </c>
      <c r="AE486" s="3" t="s">
        <v>31</v>
      </c>
      <c r="AF486" s="3" t="s">
        <v>664</v>
      </c>
      <c r="AG486" s="3" t="s">
        <v>32</v>
      </c>
    </row>
    <row r="487" spans="1:33">
      <c r="A487" s="1">
        <v>45210.545692511572</v>
      </c>
      <c r="B487" s="3" t="s">
        <v>1024</v>
      </c>
      <c r="C487" s="2">
        <v>30278</v>
      </c>
      <c r="D487" s="3">
        <v>40</v>
      </c>
      <c r="E487" s="3" t="s">
        <v>510</v>
      </c>
      <c r="F487" s="3" t="s">
        <v>520</v>
      </c>
      <c r="G487" s="3" t="s">
        <v>539</v>
      </c>
      <c r="H487" s="2">
        <v>44617</v>
      </c>
      <c r="I487" s="3">
        <v>2</v>
      </c>
      <c r="J487" s="3" t="s">
        <v>541</v>
      </c>
      <c r="K487" s="3">
        <v>3650</v>
      </c>
      <c r="L487" s="3">
        <v>40</v>
      </c>
      <c r="M487" s="3">
        <v>58</v>
      </c>
      <c r="N487" s="3">
        <v>65</v>
      </c>
      <c r="O487" s="3">
        <v>154</v>
      </c>
      <c r="P487" s="3" t="s">
        <v>33</v>
      </c>
      <c r="Q487" s="3" t="s">
        <v>26</v>
      </c>
      <c r="S487" s="3" t="s">
        <v>664</v>
      </c>
      <c r="T487" s="3" t="s">
        <v>71</v>
      </c>
      <c r="U487" s="3">
        <v>7</v>
      </c>
      <c r="V487" s="3">
        <v>1</v>
      </c>
      <c r="W487" s="3" t="s">
        <v>34</v>
      </c>
      <c r="X487" s="3" t="s">
        <v>71</v>
      </c>
      <c r="Y487" s="3">
        <v>7</v>
      </c>
      <c r="Z487" s="3">
        <v>1</v>
      </c>
      <c r="AA487" s="3" t="s">
        <v>42</v>
      </c>
      <c r="AB487" s="3" t="s">
        <v>29</v>
      </c>
      <c r="AC487" s="3" t="s">
        <v>664</v>
      </c>
      <c r="AD487" s="3" t="s">
        <v>30</v>
      </c>
      <c r="AE487" s="3" t="s">
        <v>38</v>
      </c>
      <c r="AF487" s="3" t="s">
        <v>664</v>
      </c>
      <c r="AG487" s="3" t="s">
        <v>62</v>
      </c>
    </row>
    <row r="488" spans="1:33">
      <c r="A488" s="1">
        <v>45210.550369108794</v>
      </c>
      <c r="B488" s="3" t="s">
        <v>1024</v>
      </c>
      <c r="C488" s="2">
        <v>32299</v>
      </c>
      <c r="D488" s="3">
        <v>35</v>
      </c>
      <c r="E488" s="3" t="s">
        <v>510</v>
      </c>
      <c r="F488" s="3" t="s">
        <v>525</v>
      </c>
      <c r="G488" s="3" t="s">
        <v>539</v>
      </c>
      <c r="H488" s="2">
        <v>45082</v>
      </c>
      <c r="I488" s="3">
        <v>1</v>
      </c>
      <c r="J488" s="3" t="s">
        <v>542</v>
      </c>
      <c r="K488" s="3">
        <v>4520</v>
      </c>
      <c r="L488" s="3" t="s">
        <v>638</v>
      </c>
      <c r="M488" s="3">
        <v>82</v>
      </c>
      <c r="N488" s="3">
        <v>89</v>
      </c>
      <c r="O488" s="3">
        <v>164</v>
      </c>
      <c r="P488" s="3" t="s">
        <v>33</v>
      </c>
      <c r="Q488" s="3" t="s">
        <v>26</v>
      </c>
      <c r="S488" s="3" t="s">
        <v>664</v>
      </c>
      <c r="T488" s="3" t="s">
        <v>79</v>
      </c>
      <c r="U488" s="3">
        <v>7</v>
      </c>
      <c r="V488" s="3">
        <v>1</v>
      </c>
      <c r="W488" s="3" t="s">
        <v>26</v>
      </c>
      <c r="AA488" s="3" t="s">
        <v>49</v>
      </c>
      <c r="AB488" s="3" t="s">
        <v>29</v>
      </c>
      <c r="AC488" s="3" t="s">
        <v>664</v>
      </c>
      <c r="AD488" s="3" t="s">
        <v>55</v>
      </c>
      <c r="AE488" s="3" t="s">
        <v>31</v>
      </c>
      <c r="AF488" s="3" t="s">
        <v>664</v>
      </c>
      <c r="AG488" s="3" t="s">
        <v>32</v>
      </c>
    </row>
    <row r="489" spans="1:33">
      <c r="A489" s="1">
        <v>45210.559157025462</v>
      </c>
      <c r="B489" s="3" t="s">
        <v>1024</v>
      </c>
      <c r="C489" s="2">
        <v>32146</v>
      </c>
      <c r="D489" s="3">
        <v>35</v>
      </c>
      <c r="E489" s="3" t="s">
        <v>510</v>
      </c>
      <c r="F489" s="3" t="s">
        <v>520</v>
      </c>
      <c r="G489" s="3" t="s">
        <v>539</v>
      </c>
      <c r="H489" s="2">
        <v>44913</v>
      </c>
      <c r="I489" s="3">
        <v>1</v>
      </c>
      <c r="J489" s="3" t="s">
        <v>541</v>
      </c>
      <c r="K489" s="3" t="s">
        <v>1277</v>
      </c>
      <c r="L489" s="3" t="s">
        <v>616</v>
      </c>
      <c r="M489" s="3">
        <v>54</v>
      </c>
      <c r="N489" s="3">
        <v>65</v>
      </c>
      <c r="O489" s="3">
        <v>152</v>
      </c>
      <c r="P489" s="3" t="s">
        <v>33</v>
      </c>
      <c r="Q489" s="3" t="s">
        <v>26</v>
      </c>
      <c r="S489" s="3" t="s">
        <v>664</v>
      </c>
      <c r="T489" s="3" t="s">
        <v>43</v>
      </c>
      <c r="U489" s="3">
        <v>7</v>
      </c>
      <c r="V489" s="3">
        <v>1</v>
      </c>
      <c r="W489" s="3" t="s">
        <v>34</v>
      </c>
      <c r="X489" s="3" t="s">
        <v>632</v>
      </c>
      <c r="Y489" s="3">
        <v>7</v>
      </c>
      <c r="Z489" s="3">
        <v>1</v>
      </c>
      <c r="AA489" s="3" t="s">
        <v>49</v>
      </c>
      <c r="AB489" s="3" t="s">
        <v>562</v>
      </c>
      <c r="AC489" s="3" t="s">
        <v>664</v>
      </c>
      <c r="AD489" s="3" t="s">
        <v>59</v>
      </c>
      <c r="AE489" s="3" t="s">
        <v>60</v>
      </c>
      <c r="AF489" s="3" t="s">
        <v>664</v>
      </c>
      <c r="AG489" s="3" t="s">
        <v>39</v>
      </c>
    </row>
    <row r="490" spans="1:33">
      <c r="A490" s="1">
        <v>45210.632864710649</v>
      </c>
      <c r="B490" s="3" t="s">
        <v>1024</v>
      </c>
      <c r="C490" s="2">
        <v>36204</v>
      </c>
      <c r="D490" s="3">
        <v>24</v>
      </c>
      <c r="E490" s="3" t="s">
        <v>510</v>
      </c>
      <c r="F490" s="3" t="s">
        <v>528</v>
      </c>
      <c r="G490" s="3" t="s">
        <v>539</v>
      </c>
      <c r="H490" s="2">
        <v>44426</v>
      </c>
      <c r="I490" s="3">
        <v>1</v>
      </c>
      <c r="J490" s="3" t="s">
        <v>541</v>
      </c>
      <c r="K490" s="3" t="s">
        <v>1278</v>
      </c>
      <c r="L490" s="3" t="s">
        <v>627</v>
      </c>
      <c r="M490" s="3" t="s">
        <v>1279</v>
      </c>
      <c r="N490" s="3" t="s">
        <v>1280</v>
      </c>
      <c r="O490" s="3">
        <v>163</v>
      </c>
      <c r="P490" s="3" t="s">
        <v>33</v>
      </c>
      <c r="Q490" s="3" t="s">
        <v>26</v>
      </c>
      <c r="S490" s="3" t="s">
        <v>664</v>
      </c>
      <c r="T490" s="3" t="s">
        <v>41</v>
      </c>
      <c r="U490" s="3">
        <v>7</v>
      </c>
      <c r="V490" s="3">
        <v>1</v>
      </c>
      <c r="W490" s="3" t="s">
        <v>34</v>
      </c>
      <c r="X490" s="3" t="s">
        <v>58</v>
      </c>
      <c r="Y490" s="3">
        <v>7</v>
      </c>
      <c r="Z490" s="3">
        <v>1</v>
      </c>
      <c r="AA490" s="3" t="s">
        <v>42</v>
      </c>
      <c r="AB490" s="3" t="s">
        <v>29</v>
      </c>
      <c r="AC490" s="3" t="s">
        <v>664</v>
      </c>
      <c r="AD490" s="3" t="s">
        <v>63</v>
      </c>
      <c r="AE490" s="3" t="s">
        <v>60</v>
      </c>
      <c r="AF490" s="3" t="s">
        <v>664</v>
      </c>
      <c r="AG490" s="3" t="s">
        <v>32</v>
      </c>
    </row>
    <row r="491" spans="1:33">
      <c r="A491" s="1">
        <v>45210.670560185186</v>
      </c>
      <c r="B491" s="3" t="s">
        <v>1024</v>
      </c>
      <c r="C491" s="2">
        <v>36633</v>
      </c>
      <c r="D491" s="3">
        <v>23</v>
      </c>
      <c r="E491" s="3" t="s">
        <v>510</v>
      </c>
      <c r="F491" s="3" t="s">
        <v>520</v>
      </c>
      <c r="G491" s="3" t="s">
        <v>538</v>
      </c>
      <c r="H491" s="2">
        <v>44677</v>
      </c>
      <c r="I491" s="3">
        <v>2</v>
      </c>
      <c r="J491" s="3" t="s">
        <v>541</v>
      </c>
      <c r="K491" s="3">
        <v>2700</v>
      </c>
      <c r="L491" s="3">
        <v>36</v>
      </c>
      <c r="M491" s="3">
        <v>50</v>
      </c>
      <c r="N491" s="3">
        <v>65</v>
      </c>
      <c r="O491" s="3">
        <v>164</v>
      </c>
      <c r="P491" s="3" t="s">
        <v>25</v>
      </c>
      <c r="Q491" s="3" t="s">
        <v>26</v>
      </c>
      <c r="S491" s="3" t="s">
        <v>664</v>
      </c>
      <c r="T491" s="3" t="s">
        <v>79</v>
      </c>
      <c r="U491" s="3">
        <v>4</v>
      </c>
      <c r="V491" s="3">
        <v>1</v>
      </c>
      <c r="W491" s="3" t="s">
        <v>26</v>
      </c>
      <c r="AA491" s="3" t="s">
        <v>49</v>
      </c>
      <c r="AB491" s="3" t="s">
        <v>29</v>
      </c>
      <c r="AC491" s="3" t="s">
        <v>664</v>
      </c>
      <c r="AD491" s="3" t="s">
        <v>30</v>
      </c>
      <c r="AE491" s="3" t="s">
        <v>31</v>
      </c>
      <c r="AF491" s="3" t="s">
        <v>664</v>
      </c>
      <c r="AG491" s="3" t="s">
        <v>94</v>
      </c>
    </row>
    <row r="492" spans="1:33">
      <c r="A492" s="1">
        <v>45210.686467268519</v>
      </c>
      <c r="B492" s="3" t="s">
        <v>1024</v>
      </c>
      <c r="C492" s="2">
        <v>34177</v>
      </c>
      <c r="D492" s="3">
        <v>30</v>
      </c>
      <c r="E492" s="3" t="s">
        <v>510</v>
      </c>
      <c r="F492" s="3" t="s">
        <v>521</v>
      </c>
      <c r="G492" s="3" t="s">
        <v>539</v>
      </c>
      <c r="H492" s="2">
        <v>45176</v>
      </c>
      <c r="I492" s="3">
        <v>2</v>
      </c>
      <c r="J492" s="3" t="s">
        <v>541</v>
      </c>
      <c r="K492" s="3">
        <v>3750</v>
      </c>
      <c r="L492" s="3" t="s">
        <v>757</v>
      </c>
      <c r="M492" s="3">
        <v>55</v>
      </c>
      <c r="N492" s="3">
        <v>62</v>
      </c>
      <c r="O492" s="3">
        <v>159</v>
      </c>
      <c r="P492" s="3" t="s">
        <v>33</v>
      </c>
      <c r="Q492" s="3" t="s">
        <v>26</v>
      </c>
      <c r="S492" s="3" t="s">
        <v>664</v>
      </c>
      <c r="T492" s="3" t="s">
        <v>57</v>
      </c>
      <c r="U492" s="3">
        <v>7</v>
      </c>
      <c r="V492" s="3">
        <v>1</v>
      </c>
      <c r="W492" s="3" t="s">
        <v>26</v>
      </c>
      <c r="AA492" s="3" t="s">
        <v>49</v>
      </c>
      <c r="AB492" s="3" t="s">
        <v>29</v>
      </c>
      <c r="AC492" s="3" t="s">
        <v>664</v>
      </c>
      <c r="AD492" s="3" t="s">
        <v>55</v>
      </c>
      <c r="AE492" s="3" t="s">
        <v>31</v>
      </c>
      <c r="AF492" s="3" t="s">
        <v>664</v>
      </c>
      <c r="AG492" s="3" t="s">
        <v>48</v>
      </c>
    </row>
    <row r="493" spans="1:33">
      <c r="A493" s="1">
        <v>45210.70380628472</v>
      </c>
      <c r="B493" s="3" t="s">
        <v>1024</v>
      </c>
      <c r="C493" s="2">
        <v>31786</v>
      </c>
      <c r="D493" s="3" t="s">
        <v>1281</v>
      </c>
      <c r="E493" s="3" t="s">
        <v>510</v>
      </c>
      <c r="F493" s="3" t="s">
        <v>520</v>
      </c>
      <c r="G493" s="3" t="s">
        <v>540</v>
      </c>
      <c r="H493" s="2">
        <v>44058</v>
      </c>
      <c r="I493" s="3">
        <v>2</v>
      </c>
      <c r="J493" s="3" t="s">
        <v>541</v>
      </c>
      <c r="K493" s="3" t="s">
        <v>1282</v>
      </c>
      <c r="L493" s="3">
        <v>36</v>
      </c>
      <c r="M493" s="3" t="s">
        <v>1283</v>
      </c>
      <c r="N493" s="3" t="s">
        <v>1284</v>
      </c>
      <c r="O493" s="3">
        <v>160</v>
      </c>
      <c r="P493" s="3" t="s">
        <v>44</v>
      </c>
      <c r="Q493" s="3" t="s">
        <v>26</v>
      </c>
      <c r="S493" s="3" t="s">
        <v>664</v>
      </c>
      <c r="T493" s="3" t="s">
        <v>27</v>
      </c>
      <c r="U493" s="3">
        <v>7</v>
      </c>
      <c r="V493" s="3">
        <v>1</v>
      </c>
      <c r="W493" s="3" t="s">
        <v>34</v>
      </c>
      <c r="X493" s="3" t="s">
        <v>350</v>
      </c>
      <c r="Y493" s="3">
        <v>7</v>
      </c>
      <c r="Z493" s="3">
        <v>1</v>
      </c>
      <c r="AA493" s="3" t="s">
        <v>49</v>
      </c>
      <c r="AB493" s="3" t="s">
        <v>351</v>
      </c>
      <c r="AC493" s="3" t="s">
        <v>664</v>
      </c>
      <c r="AD493" s="3" t="s">
        <v>239</v>
      </c>
      <c r="AE493" s="3" t="s">
        <v>31</v>
      </c>
      <c r="AF493" s="3" t="s">
        <v>664</v>
      </c>
      <c r="AG493" s="3" t="s">
        <v>39</v>
      </c>
    </row>
    <row r="494" spans="1:33">
      <c r="A494" s="1">
        <v>45210.725107650462</v>
      </c>
      <c r="B494" s="3" t="s">
        <v>1024</v>
      </c>
      <c r="C494" s="2">
        <v>34151</v>
      </c>
      <c r="D494" s="3">
        <v>30</v>
      </c>
      <c r="E494" s="3" t="s">
        <v>510</v>
      </c>
      <c r="F494" s="3" t="s">
        <v>531</v>
      </c>
      <c r="G494" s="3" t="s">
        <v>539</v>
      </c>
      <c r="H494" s="2">
        <v>44916</v>
      </c>
      <c r="I494" s="3">
        <v>1</v>
      </c>
      <c r="J494" s="3" t="s">
        <v>542</v>
      </c>
      <c r="K494" s="3">
        <v>3680</v>
      </c>
      <c r="L494" s="3">
        <v>38</v>
      </c>
      <c r="M494" s="3">
        <v>73</v>
      </c>
      <c r="N494" s="3">
        <v>93</v>
      </c>
      <c r="O494" s="3">
        <v>160</v>
      </c>
      <c r="P494" s="3" t="s">
        <v>33</v>
      </c>
      <c r="Q494" s="3" t="s">
        <v>26</v>
      </c>
      <c r="S494" s="3" t="s">
        <v>664</v>
      </c>
      <c r="T494" s="3" t="s">
        <v>79</v>
      </c>
      <c r="U494" s="3">
        <v>7</v>
      </c>
      <c r="V494" s="3">
        <v>1</v>
      </c>
      <c r="W494" s="3" t="s">
        <v>26</v>
      </c>
      <c r="AA494" s="3" t="s">
        <v>49</v>
      </c>
      <c r="AB494" s="3" t="s">
        <v>29</v>
      </c>
      <c r="AC494" s="3" t="s">
        <v>664</v>
      </c>
      <c r="AD494" s="3" t="s">
        <v>30</v>
      </c>
      <c r="AE494" s="3" t="s">
        <v>31</v>
      </c>
      <c r="AF494" s="3" t="s">
        <v>664</v>
      </c>
      <c r="AG494" s="3" t="s">
        <v>39</v>
      </c>
    </row>
    <row r="495" spans="1:33">
      <c r="A495" s="1">
        <v>45210.737345706017</v>
      </c>
      <c r="B495" s="3" t="s">
        <v>1024</v>
      </c>
      <c r="C495" s="2">
        <v>32343</v>
      </c>
      <c r="D495" s="3">
        <v>35</v>
      </c>
      <c r="E495" s="3" t="s">
        <v>510</v>
      </c>
      <c r="F495" s="3" t="s">
        <v>521</v>
      </c>
      <c r="G495" s="3" t="s">
        <v>539</v>
      </c>
      <c r="H495" s="2">
        <v>44722</v>
      </c>
      <c r="I495" s="3">
        <v>1</v>
      </c>
      <c r="J495" s="3" t="s">
        <v>541</v>
      </c>
      <c r="K495" s="3">
        <v>3600</v>
      </c>
      <c r="L495" s="3">
        <v>38</v>
      </c>
      <c r="M495" s="3">
        <v>65</v>
      </c>
      <c r="N495" s="3">
        <v>75</v>
      </c>
      <c r="O495" s="3">
        <v>157</v>
      </c>
      <c r="P495" s="3" t="s">
        <v>33</v>
      </c>
      <c r="Q495" s="3" t="s">
        <v>34</v>
      </c>
      <c r="R495" s="3" t="s">
        <v>352</v>
      </c>
      <c r="S495" s="3" t="s">
        <v>664</v>
      </c>
      <c r="T495" s="3" t="s">
        <v>319</v>
      </c>
      <c r="U495" s="3">
        <v>7</v>
      </c>
      <c r="V495" s="3">
        <v>1</v>
      </c>
      <c r="W495" s="3" t="s">
        <v>26</v>
      </c>
      <c r="AA495" s="3" t="s">
        <v>54</v>
      </c>
      <c r="AB495" s="3" t="s">
        <v>29</v>
      </c>
      <c r="AC495" s="3" t="s">
        <v>664</v>
      </c>
      <c r="AD495" s="3" t="s">
        <v>30</v>
      </c>
      <c r="AE495" s="3" t="s">
        <v>72</v>
      </c>
      <c r="AF495" s="3" t="s">
        <v>664</v>
      </c>
      <c r="AG495" s="3" t="s">
        <v>32</v>
      </c>
    </row>
    <row r="496" spans="1:33">
      <c r="A496" s="1">
        <v>45210.760494363421</v>
      </c>
      <c r="B496" s="3" t="s">
        <v>1024</v>
      </c>
      <c r="C496" s="2">
        <v>31311</v>
      </c>
      <c r="D496" s="3">
        <v>38</v>
      </c>
      <c r="E496" s="3" t="s">
        <v>510</v>
      </c>
      <c r="F496" s="3" t="s">
        <v>529</v>
      </c>
      <c r="G496" s="3" t="s">
        <v>540</v>
      </c>
      <c r="H496" s="2">
        <v>44740</v>
      </c>
      <c r="I496" s="3">
        <v>1</v>
      </c>
      <c r="J496" s="3" t="s">
        <v>541</v>
      </c>
      <c r="K496" s="3">
        <v>3550</v>
      </c>
      <c r="L496" s="3" t="s">
        <v>627</v>
      </c>
      <c r="M496" s="3">
        <v>53</v>
      </c>
      <c r="N496" s="3">
        <v>62</v>
      </c>
      <c r="O496" s="3">
        <v>159</v>
      </c>
      <c r="P496" s="3" t="s">
        <v>33</v>
      </c>
      <c r="Q496" s="3" t="s">
        <v>26</v>
      </c>
      <c r="S496" s="3" t="s">
        <v>664</v>
      </c>
      <c r="T496" s="3" t="s">
        <v>57</v>
      </c>
      <c r="U496" s="3">
        <v>7</v>
      </c>
      <c r="V496" s="3">
        <v>1</v>
      </c>
      <c r="W496" s="3" t="s">
        <v>34</v>
      </c>
      <c r="Y496" s="3">
        <v>7</v>
      </c>
      <c r="Z496" s="3">
        <v>1</v>
      </c>
      <c r="AA496" s="3" t="s">
        <v>42</v>
      </c>
      <c r="AB496" s="3" t="s">
        <v>564</v>
      </c>
      <c r="AC496" s="3" t="s">
        <v>664</v>
      </c>
      <c r="AD496" s="3" t="s">
        <v>30</v>
      </c>
      <c r="AE496" s="3" t="s">
        <v>38</v>
      </c>
      <c r="AF496" s="3" t="s">
        <v>664</v>
      </c>
      <c r="AG496" s="3" t="s">
        <v>32</v>
      </c>
    </row>
    <row r="497" spans="1:33">
      <c r="A497" s="1">
        <v>45210.783851238426</v>
      </c>
      <c r="B497" s="3" t="s">
        <v>1024</v>
      </c>
      <c r="C497" s="2">
        <v>34030</v>
      </c>
      <c r="D497" s="3">
        <v>30</v>
      </c>
      <c r="E497" s="3" t="s">
        <v>510</v>
      </c>
      <c r="F497" s="3" t="s">
        <v>528</v>
      </c>
      <c r="G497" s="3" t="s">
        <v>540</v>
      </c>
      <c r="H497" s="2">
        <v>43946</v>
      </c>
      <c r="I497" s="3">
        <v>2</v>
      </c>
      <c r="J497" s="3" t="s">
        <v>541</v>
      </c>
      <c r="K497" s="3">
        <v>3560</v>
      </c>
      <c r="L497" s="3">
        <v>40</v>
      </c>
      <c r="M497" s="3">
        <v>59</v>
      </c>
      <c r="N497" s="3">
        <v>65</v>
      </c>
      <c r="O497" s="3">
        <v>150</v>
      </c>
      <c r="P497" s="3" t="s">
        <v>33</v>
      </c>
      <c r="Q497" s="3" t="s">
        <v>26</v>
      </c>
      <c r="S497" s="3" t="s">
        <v>26</v>
      </c>
      <c r="W497" s="3" t="s">
        <v>26</v>
      </c>
      <c r="AA497" s="3" t="s">
        <v>51</v>
      </c>
      <c r="AB497" s="3" t="s">
        <v>29</v>
      </c>
      <c r="AC497" s="3" t="s">
        <v>664</v>
      </c>
      <c r="AD497" s="3" t="s">
        <v>30</v>
      </c>
      <c r="AE497" s="3" t="s">
        <v>31</v>
      </c>
      <c r="AF497" s="3" t="s">
        <v>664</v>
      </c>
      <c r="AG497" s="3" t="s">
        <v>32</v>
      </c>
    </row>
    <row r="498" spans="1:33">
      <c r="A498" s="1">
        <v>45210.78894319445</v>
      </c>
      <c r="B498" s="3" t="s">
        <v>1024</v>
      </c>
      <c r="C498" s="2">
        <v>35584</v>
      </c>
      <c r="D498" s="3">
        <v>26</v>
      </c>
      <c r="E498" s="3" t="s">
        <v>510</v>
      </c>
      <c r="F498" s="3" t="s">
        <v>520</v>
      </c>
      <c r="G498" s="3" t="s">
        <v>538</v>
      </c>
      <c r="H498" s="2">
        <v>44676</v>
      </c>
      <c r="I498" s="3">
        <v>2</v>
      </c>
      <c r="J498" s="3" t="s">
        <v>542</v>
      </c>
      <c r="K498" s="3">
        <v>3264</v>
      </c>
      <c r="L498" s="3" t="s">
        <v>638</v>
      </c>
      <c r="M498" s="3">
        <v>68</v>
      </c>
      <c r="N498" s="3">
        <v>76</v>
      </c>
      <c r="O498" s="3">
        <v>160</v>
      </c>
      <c r="P498" s="3" t="s">
        <v>33</v>
      </c>
      <c r="Q498" s="3" t="s">
        <v>26</v>
      </c>
      <c r="S498" s="3" t="s">
        <v>664</v>
      </c>
      <c r="T498" s="3" t="s">
        <v>79</v>
      </c>
      <c r="U498" s="3">
        <v>7</v>
      </c>
      <c r="V498" s="3">
        <v>1</v>
      </c>
      <c r="W498" s="3" t="s">
        <v>26</v>
      </c>
      <c r="AA498" s="3" t="s">
        <v>49</v>
      </c>
      <c r="AB498" s="3" t="s">
        <v>29</v>
      </c>
      <c r="AC498" s="3" t="s">
        <v>664</v>
      </c>
      <c r="AD498" s="3" t="s">
        <v>30</v>
      </c>
      <c r="AE498" s="3" t="s">
        <v>72</v>
      </c>
      <c r="AF498" s="3" t="s">
        <v>664</v>
      </c>
      <c r="AG498" s="3" t="s">
        <v>48</v>
      </c>
    </row>
    <row r="499" spans="1:33">
      <c r="A499" s="1">
        <v>45210.793728055556</v>
      </c>
      <c r="B499" s="3" t="s">
        <v>1024</v>
      </c>
      <c r="C499" s="2">
        <v>31891</v>
      </c>
      <c r="D499" s="3">
        <v>36</v>
      </c>
      <c r="E499" s="3" t="s">
        <v>510</v>
      </c>
      <c r="F499" s="3" t="s">
        <v>527</v>
      </c>
      <c r="G499" s="3" t="s">
        <v>539</v>
      </c>
      <c r="H499" s="2">
        <v>42881</v>
      </c>
      <c r="I499" s="3">
        <v>2</v>
      </c>
      <c r="J499" s="3" t="s">
        <v>542</v>
      </c>
      <c r="K499" s="3">
        <v>3425</v>
      </c>
      <c r="L499" s="3">
        <v>39</v>
      </c>
      <c r="M499" s="3">
        <v>58</v>
      </c>
      <c r="N499" s="3">
        <v>64</v>
      </c>
      <c r="O499" s="3">
        <v>1.62</v>
      </c>
      <c r="P499" s="3" t="s">
        <v>33</v>
      </c>
      <c r="Q499" s="3" t="s">
        <v>26</v>
      </c>
      <c r="S499" s="3" t="s">
        <v>664</v>
      </c>
      <c r="T499" s="3" t="s">
        <v>166</v>
      </c>
      <c r="U499" s="3">
        <v>7</v>
      </c>
      <c r="V499" s="3">
        <v>1</v>
      </c>
      <c r="W499" s="3" t="s">
        <v>34</v>
      </c>
      <c r="X499" s="3" t="s">
        <v>782</v>
      </c>
      <c r="Y499" s="3">
        <v>7</v>
      </c>
      <c r="Z499" s="3">
        <v>1</v>
      </c>
      <c r="AA499" s="3" t="s">
        <v>49</v>
      </c>
      <c r="AB499" s="3" t="s">
        <v>29</v>
      </c>
      <c r="AC499" s="3" t="s">
        <v>664</v>
      </c>
      <c r="AD499" s="3" t="s">
        <v>30</v>
      </c>
      <c r="AE499" s="3" t="s">
        <v>31</v>
      </c>
      <c r="AF499" s="3" t="s">
        <v>664</v>
      </c>
      <c r="AG499" s="3" t="s">
        <v>39</v>
      </c>
    </row>
    <row r="500" spans="1:33">
      <c r="A500" s="1">
        <v>45210.808364432873</v>
      </c>
      <c r="B500" s="3" t="s">
        <v>1024</v>
      </c>
      <c r="C500" s="2">
        <v>32404</v>
      </c>
      <c r="D500" s="3">
        <v>35</v>
      </c>
      <c r="E500" s="3" t="s">
        <v>510</v>
      </c>
      <c r="F500" s="3" t="s">
        <v>526</v>
      </c>
      <c r="G500" s="3" t="s">
        <v>539</v>
      </c>
      <c r="H500" s="2">
        <v>44806</v>
      </c>
      <c r="I500" s="3">
        <v>2</v>
      </c>
      <c r="J500" s="3" t="s">
        <v>541</v>
      </c>
      <c r="K500" s="3">
        <v>4180</v>
      </c>
      <c r="L500" s="3" t="s">
        <v>616</v>
      </c>
      <c r="M500" s="3" t="s">
        <v>1285</v>
      </c>
      <c r="N500" s="3" t="s">
        <v>1171</v>
      </c>
      <c r="O500" s="3">
        <v>157</v>
      </c>
      <c r="P500" s="3" t="s">
        <v>33</v>
      </c>
      <c r="Q500" s="3" t="s">
        <v>26</v>
      </c>
      <c r="S500" s="3" t="s">
        <v>664</v>
      </c>
      <c r="T500" s="3" t="s">
        <v>79</v>
      </c>
      <c r="U500" s="3">
        <v>5</v>
      </c>
      <c r="V500" s="3">
        <v>1</v>
      </c>
      <c r="W500" s="3" t="s">
        <v>34</v>
      </c>
      <c r="X500" s="3" t="s">
        <v>353</v>
      </c>
      <c r="Y500" s="3">
        <v>5</v>
      </c>
      <c r="Z500" s="3">
        <v>1</v>
      </c>
      <c r="AA500" s="3" t="s">
        <v>49</v>
      </c>
      <c r="AB500" s="3" t="s">
        <v>29</v>
      </c>
      <c r="AC500" s="3" t="s">
        <v>664</v>
      </c>
      <c r="AD500" s="3" t="s">
        <v>30</v>
      </c>
      <c r="AE500" s="3" t="s">
        <v>72</v>
      </c>
      <c r="AF500" s="3" t="s">
        <v>664</v>
      </c>
      <c r="AG500" s="3" t="s">
        <v>32</v>
      </c>
    </row>
    <row r="501" spans="1:33">
      <c r="A501" s="1">
        <v>45210.828601493056</v>
      </c>
      <c r="B501" s="3" t="s">
        <v>1024</v>
      </c>
      <c r="C501" s="2">
        <v>32442</v>
      </c>
      <c r="D501" s="3">
        <v>34</v>
      </c>
      <c r="E501" s="3" t="s">
        <v>510</v>
      </c>
      <c r="F501" s="3" t="s">
        <v>520</v>
      </c>
      <c r="G501" s="3" t="s">
        <v>539</v>
      </c>
      <c r="H501" s="2">
        <v>44555</v>
      </c>
      <c r="I501" s="3">
        <v>5</v>
      </c>
      <c r="J501" s="3" t="s">
        <v>541</v>
      </c>
      <c r="K501" s="3">
        <v>3950</v>
      </c>
      <c r="L501" s="3" t="s">
        <v>783</v>
      </c>
      <c r="M501" s="3">
        <v>67</v>
      </c>
      <c r="N501" s="3">
        <v>74</v>
      </c>
      <c r="O501" s="3">
        <v>165</v>
      </c>
      <c r="P501" s="3" t="s">
        <v>33</v>
      </c>
      <c r="Q501" s="3" t="s">
        <v>26</v>
      </c>
      <c r="S501" s="3" t="s">
        <v>664</v>
      </c>
      <c r="T501" s="3" t="s">
        <v>57</v>
      </c>
      <c r="U501" s="3">
        <v>7</v>
      </c>
      <c r="V501" s="3">
        <v>1</v>
      </c>
      <c r="W501" s="3" t="s">
        <v>34</v>
      </c>
      <c r="X501" s="3" t="s">
        <v>140</v>
      </c>
      <c r="Y501" s="3">
        <v>7</v>
      </c>
      <c r="Z501" s="3">
        <v>1</v>
      </c>
      <c r="AA501" s="3" t="s">
        <v>42</v>
      </c>
      <c r="AB501" s="3" t="s">
        <v>29</v>
      </c>
      <c r="AC501" s="3" t="s">
        <v>664</v>
      </c>
      <c r="AD501" s="3" t="s">
        <v>30</v>
      </c>
      <c r="AE501" s="3" t="s">
        <v>31</v>
      </c>
      <c r="AF501" s="3" t="s">
        <v>664</v>
      </c>
      <c r="AG501" s="3" t="s">
        <v>32</v>
      </c>
    </row>
    <row r="502" spans="1:33">
      <c r="A502" s="1">
        <v>45210.862724456019</v>
      </c>
      <c r="B502" s="3" t="s">
        <v>1024</v>
      </c>
      <c r="C502" s="2">
        <v>35377</v>
      </c>
      <c r="D502" s="3">
        <v>26</v>
      </c>
      <c r="E502" s="3" t="s">
        <v>510</v>
      </c>
      <c r="F502" s="3" t="s">
        <v>520</v>
      </c>
      <c r="G502" s="3" t="s">
        <v>539</v>
      </c>
      <c r="H502" s="2">
        <v>44861</v>
      </c>
      <c r="I502" s="3">
        <v>1</v>
      </c>
      <c r="J502" s="3" t="s">
        <v>541</v>
      </c>
      <c r="K502" s="3">
        <v>4160</v>
      </c>
      <c r="L502" s="3" t="s">
        <v>784</v>
      </c>
      <c r="M502" s="3">
        <v>85</v>
      </c>
      <c r="N502" s="3">
        <v>100</v>
      </c>
      <c r="O502" s="3">
        <v>164</v>
      </c>
      <c r="P502" s="3" t="s">
        <v>33</v>
      </c>
      <c r="Q502" s="3" t="s">
        <v>26</v>
      </c>
      <c r="S502" s="3" t="s">
        <v>664</v>
      </c>
      <c r="T502" s="3" t="s">
        <v>56</v>
      </c>
      <c r="U502" s="3">
        <v>7</v>
      </c>
      <c r="V502" s="3">
        <v>1</v>
      </c>
      <c r="W502" s="3" t="s">
        <v>26</v>
      </c>
      <c r="AA502" s="3" t="s">
        <v>49</v>
      </c>
      <c r="AB502" s="3" t="s">
        <v>83</v>
      </c>
      <c r="AC502" s="3" t="s">
        <v>664</v>
      </c>
      <c r="AD502" s="3" t="s">
        <v>30</v>
      </c>
      <c r="AE502" s="3" t="s">
        <v>31</v>
      </c>
      <c r="AF502" s="3" t="s">
        <v>664</v>
      </c>
      <c r="AG502" s="3" t="s">
        <v>32</v>
      </c>
    </row>
    <row r="503" spans="1:33">
      <c r="A503" s="1">
        <v>45210.869530868054</v>
      </c>
      <c r="B503" s="3" t="s">
        <v>1024</v>
      </c>
      <c r="C503" s="2">
        <v>33643</v>
      </c>
      <c r="D503" s="3">
        <v>31</v>
      </c>
      <c r="E503" s="3" t="s">
        <v>510</v>
      </c>
      <c r="F503" s="3" t="s">
        <v>520</v>
      </c>
      <c r="G503" s="3" t="s">
        <v>539</v>
      </c>
      <c r="H503" s="2">
        <v>44561</v>
      </c>
      <c r="I503" s="3">
        <v>3</v>
      </c>
      <c r="J503" s="3" t="s">
        <v>541</v>
      </c>
      <c r="K503" s="3">
        <v>3890</v>
      </c>
      <c r="L503" s="3" t="s">
        <v>638</v>
      </c>
      <c r="M503" s="3">
        <v>77</v>
      </c>
      <c r="N503" s="3">
        <v>90</v>
      </c>
      <c r="O503" s="3">
        <v>162</v>
      </c>
      <c r="P503" s="3" t="s">
        <v>33</v>
      </c>
      <c r="Q503" s="3" t="s">
        <v>26</v>
      </c>
      <c r="S503" s="3" t="s">
        <v>664</v>
      </c>
      <c r="T503" s="3" t="s">
        <v>162</v>
      </c>
      <c r="U503" s="3">
        <v>7</v>
      </c>
      <c r="V503" s="3">
        <v>1</v>
      </c>
      <c r="W503" s="3" t="s">
        <v>34</v>
      </c>
      <c r="X503" s="3" t="s">
        <v>58</v>
      </c>
      <c r="Y503" s="3">
        <v>5</v>
      </c>
      <c r="Z503" s="3">
        <v>1</v>
      </c>
      <c r="AA503" s="3" t="s">
        <v>28</v>
      </c>
      <c r="AB503" s="3" t="s">
        <v>354</v>
      </c>
      <c r="AC503" s="3" t="s">
        <v>664</v>
      </c>
      <c r="AD503" s="3" t="s">
        <v>55</v>
      </c>
      <c r="AE503" s="3" t="s">
        <v>31</v>
      </c>
      <c r="AF503" s="3" t="s">
        <v>664</v>
      </c>
      <c r="AG503" s="3" t="s">
        <v>32</v>
      </c>
    </row>
    <row r="504" spans="1:33">
      <c r="A504" s="1">
        <v>45210.8910740625</v>
      </c>
      <c r="B504" s="3" t="s">
        <v>1024</v>
      </c>
      <c r="C504" s="2">
        <v>30821</v>
      </c>
      <c r="D504" s="3">
        <v>39</v>
      </c>
      <c r="E504" s="3" t="s">
        <v>510</v>
      </c>
      <c r="F504" s="3" t="s">
        <v>522</v>
      </c>
      <c r="G504" s="3" t="s">
        <v>539</v>
      </c>
      <c r="H504" s="2">
        <v>44144</v>
      </c>
      <c r="I504" s="3">
        <v>1</v>
      </c>
      <c r="J504" s="3" t="s">
        <v>542</v>
      </c>
      <c r="K504" s="3">
        <v>2620</v>
      </c>
      <c r="L504" s="3">
        <v>38</v>
      </c>
      <c r="M504" s="3">
        <v>80</v>
      </c>
      <c r="N504" s="3">
        <v>83</v>
      </c>
      <c r="O504" s="3">
        <v>158</v>
      </c>
      <c r="P504" s="3" t="s">
        <v>33</v>
      </c>
      <c r="Q504" s="3" t="s">
        <v>26</v>
      </c>
      <c r="S504" s="3" t="s">
        <v>664</v>
      </c>
      <c r="T504" s="3" t="s">
        <v>41</v>
      </c>
      <c r="U504" s="3">
        <v>7</v>
      </c>
      <c r="V504" s="3">
        <v>1</v>
      </c>
      <c r="W504" s="3" t="s">
        <v>34</v>
      </c>
      <c r="X504" s="3" t="s">
        <v>58</v>
      </c>
      <c r="Y504" s="3">
        <v>7</v>
      </c>
      <c r="Z504" s="3">
        <v>1</v>
      </c>
      <c r="AA504" s="3" t="s">
        <v>228</v>
      </c>
      <c r="AB504" s="3" t="s">
        <v>355</v>
      </c>
      <c r="AC504" s="3" t="s">
        <v>664</v>
      </c>
      <c r="AD504" s="3" t="s">
        <v>30</v>
      </c>
      <c r="AE504" s="3" t="s">
        <v>38</v>
      </c>
      <c r="AF504" s="3" t="s">
        <v>664</v>
      </c>
      <c r="AG504" s="3" t="s">
        <v>39</v>
      </c>
    </row>
    <row r="505" spans="1:33">
      <c r="A505" s="1">
        <v>45210.896810497681</v>
      </c>
      <c r="B505" s="3" t="s">
        <v>1024</v>
      </c>
      <c r="C505" s="2">
        <v>33777</v>
      </c>
      <c r="D505" s="3">
        <v>31</v>
      </c>
      <c r="E505" s="3" t="s">
        <v>510</v>
      </c>
      <c r="F505" s="3" t="s">
        <v>520</v>
      </c>
      <c r="G505" s="3" t="s">
        <v>539</v>
      </c>
      <c r="H505" s="2">
        <v>44539</v>
      </c>
      <c r="I505" s="3">
        <v>1</v>
      </c>
      <c r="J505" s="3" t="s">
        <v>542</v>
      </c>
      <c r="K505" s="3" t="s">
        <v>1286</v>
      </c>
      <c r="L505" s="3" t="s">
        <v>650</v>
      </c>
      <c r="M505" s="3">
        <v>54</v>
      </c>
      <c r="N505" s="3">
        <v>63</v>
      </c>
      <c r="O505" s="3" t="s">
        <v>1287</v>
      </c>
      <c r="P505" s="3" t="s">
        <v>106</v>
      </c>
      <c r="Q505" s="3" t="s">
        <v>26</v>
      </c>
      <c r="S505" s="3" t="s">
        <v>664</v>
      </c>
      <c r="T505" s="3" t="s">
        <v>41</v>
      </c>
      <c r="U505" s="3">
        <v>4</v>
      </c>
      <c r="V505" s="3">
        <v>1</v>
      </c>
      <c r="W505" s="3" t="s">
        <v>34</v>
      </c>
      <c r="X505" s="3" t="s">
        <v>58</v>
      </c>
      <c r="Y505" s="3">
        <v>4</v>
      </c>
      <c r="Z505" s="3">
        <v>1</v>
      </c>
      <c r="AA505" s="3" t="s">
        <v>49</v>
      </c>
      <c r="AB505" s="3" t="s">
        <v>356</v>
      </c>
      <c r="AC505" s="3" t="s">
        <v>664</v>
      </c>
      <c r="AD505" s="3" t="s">
        <v>30</v>
      </c>
      <c r="AE505" s="3" t="s">
        <v>38</v>
      </c>
      <c r="AF505" s="3" t="s">
        <v>664</v>
      </c>
      <c r="AG505" s="3" t="s">
        <v>32</v>
      </c>
    </row>
    <row r="506" spans="1:33">
      <c r="A506" s="1">
        <v>45210.89988405093</v>
      </c>
      <c r="B506" s="3" t="s">
        <v>1024</v>
      </c>
      <c r="C506" s="2">
        <v>31196</v>
      </c>
      <c r="D506" s="3">
        <v>38</v>
      </c>
      <c r="E506" s="3" t="s">
        <v>510</v>
      </c>
      <c r="F506" s="3" t="s">
        <v>520</v>
      </c>
      <c r="G506" s="3" t="s">
        <v>539</v>
      </c>
      <c r="H506" s="2">
        <v>44833</v>
      </c>
      <c r="I506" s="3">
        <v>1</v>
      </c>
      <c r="J506" s="3" t="s">
        <v>541</v>
      </c>
      <c r="K506" s="3">
        <v>3850</v>
      </c>
      <c r="L506" s="3">
        <v>41</v>
      </c>
      <c r="M506" s="3" t="s">
        <v>1085</v>
      </c>
      <c r="N506" s="3">
        <v>81</v>
      </c>
      <c r="O506" s="3">
        <v>158</v>
      </c>
      <c r="P506" s="3" t="s">
        <v>106</v>
      </c>
      <c r="Q506" s="3" t="s">
        <v>26</v>
      </c>
      <c r="S506" s="3" t="s">
        <v>664</v>
      </c>
      <c r="T506" s="3" t="s">
        <v>41</v>
      </c>
      <c r="U506" s="3">
        <v>7</v>
      </c>
      <c r="V506" s="3">
        <v>1</v>
      </c>
      <c r="W506" s="3" t="s">
        <v>34</v>
      </c>
      <c r="X506" s="3" t="s">
        <v>58</v>
      </c>
      <c r="Y506" s="3">
        <v>7</v>
      </c>
      <c r="Z506" s="3">
        <v>1</v>
      </c>
      <c r="AA506" s="3" t="s">
        <v>42</v>
      </c>
      <c r="AB506" s="3" t="s">
        <v>29</v>
      </c>
      <c r="AC506" s="3" t="s">
        <v>664</v>
      </c>
      <c r="AD506" s="3" t="s">
        <v>30</v>
      </c>
      <c r="AE506" s="3" t="s">
        <v>60</v>
      </c>
      <c r="AF506" s="3" t="s">
        <v>664</v>
      </c>
      <c r="AG506" s="3" t="s">
        <v>48</v>
      </c>
    </row>
    <row r="507" spans="1:33">
      <c r="A507" s="1">
        <v>45210.903325127314</v>
      </c>
      <c r="B507" s="3" t="s">
        <v>1024</v>
      </c>
      <c r="C507" s="2">
        <v>31788</v>
      </c>
      <c r="D507" s="3">
        <v>36</v>
      </c>
      <c r="E507" s="3" t="s">
        <v>510</v>
      </c>
      <c r="F507" s="3" t="s">
        <v>520</v>
      </c>
      <c r="G507" s="3" t="s">
        <v>539</v>
      </c>
      <c r="H507" s="2">
        <v>44543</v>
      </c>
      <c r="I507" s="3">
        <v>1</v>
      </c>
      <c r="J507" s="3" t="s">
        <v>541</v>
      </c>
      <c r="K507" s="3">
        <v>4200</v>
      </c>
      <c r="L507" s="3">
        <v>40</v>
      </c>
      <c r="M507" s="3">
        <v>77</v>
      </c>
      <c r="N507" s="3">
        <v>89</v>
      </c>
      <c r="O507" s="3">
        <v>165</v>
      </c>
      <c r="P507" s="3" t="s">
        <v>33</v>
      </c>
      <c r="Q507" s="3" t="s">
        <v>26</v>
      </c>
      <c r="S507" s="3" t="s">
        <v>664</v>
      </c>
      <c r="T507" s="3" t="s">
        <v>43</v>
      </c>
      <c r="U507" s="3">
        <v>7</v>
      </c>
      <c r="V507" s="3">
        <v>1</v>
      </c>
      <c r="W507" s="3" t="s">
        <v>34</v>
      </c>
      <c r="X507" s="3" t="s">
        <v>357</v>
      </c>
      <c r="Y507" s="3">
        <v>7</v>
      </c>
      <c r="Z507" s="3" t="s">
        <v>358</v>
      </c>
      <c r="AA507" s="3" t="s">
        <v>36</v>
      </c>
      <c r="AB507" s="3" t="s">
        <v>29</v>
      </c>
      <c r="AC507" s="3" t="s">
        <v>664</v>
      </c>
      <c r="AD507" s="3" t="s">
        <v>55</v>
      </c>
      <c r="AE507" s="3" t="s">
        <v>31</v>
      </c>
      <c r="AF507" s="3" t="s">
        <v>664</v>
      </c>
      <c r="AG507" s="3" t="s">
        <v>32</v>
      </c>
    </row>
    <row r="508" spans="1:33">
      <c r="A508" s="1">
        <v>45210.908208958332</v>
      </c>
      <c r="B508" s="3" t="s">
        <v>1024</v>
      </c>
      <c r="C508" s="2">
        <v>33062</v>
      </c>
      <c r="D508" s="3">
        <v>33</v>
      </c>
      <c r="E508" s="3" t="s">
        <v>510</v>
      </c>
      <c r="F508" s="3" t="s">
        <v>522</v>
      </c>
      <c r="G508" s="3" t="s">
        <v>539</v>
      </c>
      <c r="H508" s="2">
        <v>44412</v>
      </c>
      <c r="I508" s="3">
        <v>1</v>
      </c>
      <c r="J508" s="3" t="s">
        <v>542</v>
      </c>
      <c r="K508" s="3">
        <v>3380</v>
      </c>
      <c r="L508" s="3">
        <v>39</v>
      </c>
      <c r="M508" s="3">
        <v>84</v>
      </c>
      <c r="N508" s="3">
        <v>96</v>
      </c>
      <c r="O508" s="3">
        <v>184</v>
      </c>
      <c r="P508" s="3" t="s">
        <v>44</v>
      </c>
      <c r="Q508" s="3" t="s">
        <v>34</v>
      </c>
      <c r="R508" s="3" t="s">
        <v>359</v>
      </c>
      <c r="S508" s="3" t="s">
        <v>664</v>
      </c>
      <c r="T508" s="3" t="s">
        <v>360</v>
      </c>
      <c r="U508" s="3">
        <v>7</v>
      </c>
      <c r="V508" s="3">
        <v>1</v>
      </c>
      <c r="W508" s="3" t="s">
        <v>34</v>
      </c>
      <c r="X508" s="3" t="s">
        <v>361</v>
      </c>
      <c r="Y508" s="3">
        <v>7</v>
      </c>
      <c r="Z508" s="3">
        <v>1</v>
      </c>
      <c r="AA508" s="3" t="s">
        <v>36</v>
      </c>
      <c r="AB508" s="3" t="s">
        <v>362</v>
      </c>
      <c r="AC508" s="3" t="s">
        <v>664</v>
      </c>
      <c r="AD508" s="3" t="s">
        <v>37</v>
      </c>
      <c r="AE508" s="3" t="s">
        <v>31</v>
      </c>
      <c r="AF508" s="3" t="s">
        <v>664</v>
      </c>
      <c r="AG508" s="3" t="s">
        <v>39</v>
      </c>
    </row>
    <row r="509" spans="1:33">
      <c r="A509" s="1">
        <v>45210.914117499997</v>
      </c>
      <c r="B509" s="3" t="s">
        <v>1024</v>
      </c>
      <c r="C509" s="2">
        <v>31521</v>
      </c>
      <c r="D509" s="3">
        <v>37</v>
      </c>
      <c r="E509" s="3" t="s">
        <v>510</v>
      </c>
      <c r="F509" s="3" t="s">
        <v>529</v>
      </c>
      <c r="G509" s="3" t="s">
        <v>540</v>
      </c>
      <c r="H509" s="2">
        <v>43819</v>
      </c>
      <c r="I509" s="3">
        <v>1</v>
      </c>
      <c r="J509" s="3" t="s">
        <v>542</v>
      </c>
      <c r="K509" s="3">
        <v>3050</v>
      </c>
      <c r="L509" s="3" t="s">
        <v>623</v>
      </c>
      <c r="M509" s="3">
        <v>57</v>
      </c>
      <c r="N509" s="3">
        <v>72</v>
      </c>
      <c r="O509" s="3">
        <v>166</v>
      </c>
      <c r="P509" s="3" t="s">
        <v>33</v>
      </c>
      <c r="Q509" s="3" t="s">
        <v>26</v>
      </c>
      <c r="S509" s="3" t="s">
        <v>664</v>
      </c>
      <c r="T509" s="3" t="s">
        <v>27</v>
      </c>
      <c r="U509" s="3">
        <v>7</v>
      </c>
      <c r="V509" s="3">
        <v>1</v>
      </c>
      <c r="W509" s="3" t="s">
        <v>34</v>
      </c>
      <c r="X509" s="3" t="s">
        <v>58</v>
      </c>
      <c r="Y509" s="3">
        <v>7</v>
      </c>
      <c r="Z509" s="3">
        <v>1</v>
      </c>
      <c r="AA509" s="3" t="s">
        <v>28</v>
      </c>
      <c r="AB509" s="3" t="s">
        <v>29</v>
      </c>
      <c r="AC509" s="3" t="s">
        <v>664</v>
      </c>
      <c r="AD509" s="3" t="s">
        <v>30</v>
      </c>
      <c r="AE509" s="3" t="s">
        <v>60</v>
      </c>
      <c r="AF509" s="3" t="s">
        <v>664</v>
      </c>
      <c r="AG509" s="3" t="s">
        <v>62</v>
      </c>
    </row>
    <row r="510" spans="1:33">
      <c r="A510" s="1">
        <v>45210.918197673614</v>
      </c>
      <c r="B510" s="3" t="s">
        <v>1024</v>
      </c>
      <c r="C510" s="2">
        <v>32819</v>
      </c>
      <c r="D510" s="3">
        <v>33</v>
      </c>
      <c r="E510" s="3" t="s">
        <v>510</v>
      </c>
      <c r="F510" s="3" t="s">
        <v>526</v>
      </c>
      <c r="G510" s="3" t="s">
        <v>540</v>
      </c>
      <c r="H510" s="2">
        <v>44049</v>
      </c>
      <c r="I510" s="3">
        <v>3</v>
      </c>
      <c r="J510" s="3" t="s">
        <v>542</v>
      </c>
      <c r="K510" s="3">
        <v>3180</v>
      </c>
      <c r="L510" s="3">
        <v>40</v>
      </c>
      <c r="M510" s="3">
        <v>60</v>
      </c>
      <c r="N510" s="3">
        <v>66</v>
      </c>
      <c r="O510" s="3">
        <v>160</v>
      </c>
      <c r="P510" s="3" t="s">
        <v>44</v>
      </c>
      <c r="Q510" s="3" t="s">
        <v>26</v>
      </c>
      <c r="S510" s="3" t="s">
        <v>664</v>
      </c>
      <c r="T510" s="3" t="s">
        <v>157</v>
      </c>
      <c r="U510" s="3">
        <v>7</v>
      </c>
      <c r="V510" s="3">
        <v>1</v>
      </c>
      <c r="W510" s="3" t="s">
        <v>34</v>
      </c>
      <c r="X510" s="3" t="s">
        <v>363</v>
      </c>
      <c r="Y510" s="3">
        <v>7</v>
      </c>
      <c r="Z510" s="3">
        <v>1</v>
      </c>
      <c r="AA510" s="3" t="s">
        <v>42</v>
      </c>
      <c r="AB510" s="3" t="s">
        <v>364</v>
      </c>
      <c r="AC510" s="3" t="s">
        <v>664</v>
      </c>
      <c r="AD510" s="3" t="s">
        <v>37</v>
      </c>
      <c r="AE510" s="3" t="s">
        <v>38</v>
      </c>
      <c r="AF510" s="3" t="s">
        <v>664</v>
      </c>
      <c r="AG510" s="3" t="s">
        <v>62</v>
      </c>
    </row>
    <row r="511" spans="1:33">
      <c r="A511" s="1">
        <v>45210.919185219907</v>
      </c>
      <c r="B511" s="3" t="s">
        <v>1024</v>
      </c>
      <c r="C511" s="2">
        <v>30499</v>
      </c>
      <c r="D511" s="3">
        <v>40</v>
      </c>
      <c r="E511" s="3" t="s">
        <v>510</v>
      </c>
      <c r="F511" s="3" t="s">
        <v>530</v>
      </c>
      <c r="G511" s="3" t="s">
        <v>539</v>
      </c>
      <c r="H511" s="2">
        <v>45011</v>
      </c>
      <c r="I511" s="3">
        <v>3</v>
      </c>
      <c r="J511" s="3" t="s">
        <v>541</v>
      </c>
      <c r="K511" s="3">
        <v>2450</v>
      </c>
      <c r="L511" s="3">
        <v>35</v>
      </c>
      <c r="M511" s="3">
        <v>56</v>
      </c>
      <c r="N511" s="3">
        <v>67</v>
      </c>
      <c r="O511" s="3">
        <v>157</v>
      </c>
      <c r="P511" s="3" t="s">
        <v>44</v>
      </c>
      <c r="Q511" s="3" t="s">
        <v>34</v>
      </c>
      <c r="R511" s="3" t="s">
        <v>365</v>
      </c>
      <c r="S511" s="3" t="s">
        <v>664</v>
      </c>
      <c r="T511" s="3" t="s">
        <v>27</v>
      </c>
      <c r="U511" s="3">
        <v>7</v>
      </c>
      <c r="V511" s="3">
        <v>1</v>
      </c>
      <c r="W511" s="3" t="s">
        <v>34</v>
      </c>
      <c r="X511" s="3" t="s">
        <v>366</v>
      </c>
      <c r="Y511" s="3">
        <v>7</v>
      </c>
      <c r="Z511" s="3">
        <v>1</v>
      </c>
      <c r="AA511" s="3" t="s">
        <v>49</v>
      </c>
      <c r="AB511" s="3" t="s">
        <v>29</v>
      </c>
      <c r="AC511" s="3" t="s">
        <v>664</v>
      </c>
      <c r="AD511" s="3" t="s">
        <v>367</v>
      </c>
      <c r="AE511" s="3" t="s">
        <v>31</v>
      </c>
      <c r="AF511" s="3" t="s">
        <v>664</v>
      </c>
      <c r="AG511" s="3" t="s">
        <v>39</v>
      </c>
    </row>
    <row r="512" spans="1:33">
      <c r="A512" s="1">
        <v>45210.926314652781</v>
      </c>
      <c r="B512" s="3" t="s">
        <v>1024</v>
      </c>
      <c r="C512" s="2">
        <v>32212</v>
      </c>
      <c r="D512" s="3">
        <v>36</v>
      </c>
      <c r="E512" s="3" t="s">
        <v>511</v>
      </c>
      <c r="F512" s="3" t="s">
        <v>520</v>
      </c>
      <c r="G512" s="3" t="s">
        <v>539</v>
      </c>
      <c r="H512" s="2">
        <v>44763</v>
      </c>
      <c r="I512" s="3">
        <v>1</v>
      </c>
      <c r="J512" s="3" t="s">
        <v>541</v>
      </c>
      <c r="K512" s="3">
        <v>3680</v>
      </c>
      <c r="L512" s="3" t="s">
        <v>638</v>
      </c>
      <c r="M512" s="3">
        <v>70</v>
      </c>
      <c r="N512" s="3">
        <v>75</v>
      </c>
      <c r="O512" s="3">
        <v>155</v>
      </c>
      <c r="P512" s="3" t="s">
        <v>33</v>
      </c>
      <c r="Q512" s="3" t="s">
        <v>26</v>
      </c>
      <c r="S512" s="3" t="s">
        <v>664</v>
      </c>
      <c r="T512" s="3" t="s">
        <v>41</v>
      </c>
      <c r="U512" s="3">
        <v>7</v>
      </c>
      <c r="V512" s="3">
        <v>1</v>
      </c>
      <c r="W512" s="3" t="s">
        <v>34</v>
      </c>
      <c r="X512" s="3" t="s">
        <v>58</v>
      </c>
      <c r="Y512" s="3">
        <v>7</v>
      </c>
      <c r="Z512" s="3">
        <v>1</v>
      </c>
      <c r="AA512" s="3" t="s">
        <v>49</v>
      </c>
      <c r="AB512" s="3" t="s">
        <v>29</v>
      </c>
      <c r="AC512" s="3" t="s">
        <v>664</v>
      </c>
      <c r="AD512" s="3" t="s">
        <v>30</v>
      </c>
      <c r="AE512" s="3" t="s">
        <v>38</v>
      </c>
      <c r="AF512" s="3" t="s">
        <v>664</v>
      </c>
      <c r="AG512" s="3" t="s">
        <v>39</v>
      </c>
    </row>
    <row r="513" spans="1:33">
      <c r="A513" s="1">
        <v>45210.930192002314</v>
      </c>
      <c r="B513" s="3" t="s">
        <v>1024</v>
      </c>
      <c r="C513" s="2">
        <v>31156</v>
      </c>
      <c r="D513" s="3">
        <v>38</v>
      </c>
      <c r="E513" s="3" t="s">
        <v>510</v>
      </c>
      <c r="F513" s="3" t="s">
        <v>520</v>
      </c>
      <c r="G513" s="3" t="s">
        <v>539</v>
      </c>
      <c r="H513" s="2">
        <v>44384</v>
      </c>
      <c r="I513" s="3">
        <v>2</v>
      </c>
      <c r="J513" s="3" t="s">
        <v>541</v>
      </c>
      <c r="K513" s="3">
        <v>3950</v>
      </c>
      <c r="L513" s="3">
        <v>37</v>
      </c>
      <c r="M513" s="3">
        <v>85</v>
      </c>
      <c r="N513" s="3">
        <v>92</v>
      </c>
      <c r="O513" s="3">
        <v>165</v>
      </c>
      <c r="P513" s="3" t="s">
        <v>33</v>
      </c>
      <c r="Q513" s="3" t="s">
        <v>26</v>
      </c>
      <c r="S513" s="3" t="s">
        <v>664</v>
      </c>
      <c r="T513" s="3" t="s">
        <v>41</v>
      </c>
      <c r="U513" s="3">
        <v>7</v>
      </c>
      <c r="V513" s="3">
        <v>1</v>
      </c>
      <c r="W513" s="3" t="s">
        <v>34</v>
      </c>
      <c r="X513" s="3" t="s">
        <v>58</v>
      </c>
      <c r="Y513" s="3">
        <v>7</v>
      </c>
      <c r="Z513" s="3">
        <v>1</v>
      </c>
      <c r="AA513" s="3" t="s">
        <v>49</v>
      </c>
      <c r="AB513" s="3" t="s">
        <v>122</v>
      </c>
      <c r="AC513" s="3" t="s">
        <v>664</v>
      </c>
      <c r="AD513" s="3" t="s">
        <v>30</v>
      </c>
      <c r="AE513" s="3" t="s">
        <v>31</v>
      </c>
      <c r="AF513" s="3" t="s">
        <v>664</v>
      </c>
      <c r="AG513" s="3" t="s">
        <v>94</v>
      </c>
    </row>
    <row r="514" spans="1:33">
      <c r="A514" s="1">
        <v>45210.933980543981</v>
      </c>
      <c r="B514" s="3" t="s">
        <v>1024</v>
      </c>
      <c r="C514" s="2">
        <v>32046</v>
      </c>
      <c r="D514" s="3">
        <v>36</v>
      </c>
      <c r="E514" s="3" t="s">
        <v>510</v>
      </c>
      <c r="F514" s="3" t="s">
        <v>521</v>
      </c>
      <c r="G514" s="3" t="s">
        <v>539</v>
      </c>
      <c r="H514" s="2">
        <v>43424</v>
      </c>
      <c r="I514" s="3">
        <v>1</v>
      </c>
      <c r="J514" s="3" t="s">
        <v>542</v>
      </c>
      <c r="K514" s="3" t="s">
        <v>1064</v>
      </c>
      <c r="L514" s="3" t="s">
        <v>618</v>
      </c>
      <c r="M514" s="3">
        <v>83</v>
      </c>
      <c r="N514" s="3">
        <v>93</v>
      </c>
      <c r="O514" s="3">
        <v>171</v>
      </c>
      <c r="P514" s="3" t="s">
        <v>33</v>
      </c>
      <c r="Q514" s="3" t="s">
        <v>26</v>
      </c>
      <c r="S514" s="3" t="s">
        <v>664</v>
      </c>
      <c r="T514" s="3" t="s">
        <v>217</v>
      </c>
      <c r="U514" s="3">
        <v>7</v>
      </c>
      <c r="V514" s="3">
        <v>1</v>
      </c>
      <c r="W514" s="3" t="s">
        <v>26</v>
      </c>
      <c r="AA514" s="3" t="s">
        <v>49</v>
      </c>
      <c r="AB514" s="3" t="s">
        <v>368</v>
      </c>
      <c r="AC514" s="3" t="s">
        <v>664</v>
      </c>
      <c r="AD514" s="3" t="s">
        <v>55</v>
      </c>
      <c r="AE514" s="3" t="s">
        <v>38</v>
      </c>
      <c r="AF514" s="3" t="s">
        <v>664</v>
      </c>
      <c r="AG514" s="3" t="s">
        <v>62</v>
      </c>
    </row>
    <row r="515" spans="1:33">
      <c r="A515" s="1">
        <v>45210.96824850695</v>
      </c>
      <c r="B515" s="3" t="s">
        <v>1024</v>
      </c>
      <c r="C515" s="2">
        <v>31306</v>
      </c>
      <c r="D515" s="3">
        <v>38</v>
      </c>
      <c r="E515" s="3" t="s">
        <v>510</v>
      </c>
      <c r="F515" s="3" t="s">
        <v>531</v>
      </c>
      <c r="G515" s="3" t="s">
        <v>540</v>
      </c>
      <c r="H515" s="2">
        <v>42887</v>
      </c>
      <c r="I515" s="3">
        <v>1</v>
      </c>
      <c r="J515" s="3" t="s">
        <v>542</v>
      </c>
      <c r="K515" s="3">
        <v>3280</v>
      </c>
      <c r="L515" s="3">
        <v>39</v>
      </c>
      <c r="M515" s="3">
        <v>67</v>
      </c>
      <c r="N515" s="3">
        <v>71</v>
      </c>
      <c r="O515" s="3">
        <v>153</v>
      </c>
      <c r="P515" s="3" t="s">
        <v>50</v>
      </c>
      <c r="Q515" s="3" t="s">
        <v>26</v>
      </c>
      <c r="S515" s="3" t="s">
        <v>664</v>
      </c>
      <c r="T515" s="3" t="s">
        <v>27</v>
      </c>
      <c r="U515" s="3">
        <v>7</v>
      </c>
      <c r="V515" s="3">
        <v>1</v>
      </c>
      <c r="W515" s="3" t="s">
        <v>34</v>
      </c>
      <c r="X515" s="3" t="s">
        <v>684</v>
      </c>
      <c r="Y515" s="3">
        <v>7</v>
      </c>
      <c r="Z515" s="3">
        <v>1</v>
      </c>
      <c r="AA515" s="3" t="s">
        <v>49</v>
      </c>
      <c r="AB515" s="3" t="s">
        <v>29</v>
      </c>
      <c r="AC515" s="3" t="s">
        <v>664</v>
      </c>
      <c r="AD515" s="3" t="s">
        <v>30</v>
      </c>
      <c r="AE515" s="3" t="s">
        <v>38</v>
      </c>
      <c r="AF515" s="3" t="s">
        <v>664</v>
      </c>
      <c r="AG515" s="3" t="s">
        <v>32</v>
      </c>
    </row>
    <row r="516" spans="1:33">
      <c r="A516" s="1">
        <v>45210.968983981482</v>
      </c>
      <c r="B516" s="3" t="s">
        <v>1024</v>
      </c>
      <c r="C516" s="2">
        <v>30970</v>
      </c>
      <c r="D516" s="3">
        <v>38</v>
      </c>
      <c r="E516" s="3" t="s">
        <v>510</v>
      </c>
      <c r="F516" s="3" t="s">
        <v>523</v>
      </c>
      <c r="G516" s="3" t="s">
        <v>538</v>
      </c>
      <c r="H516" s="2">
        <v>43624</v>
      </c>
      <c r="I516" s="3">
        <v>2</v>
      </c>
      <c r="J516" s="3" t="s">
        <v>542</v>
      </c>
      <c r="K516" s="3">
        <v>3680</v>
      </c>
      <c r="L516" s="3" t="s">
        <v>661</v>
      </c>
      <c r="M516" s="3">
        <v>84</v>
      </c>
      <c r="N516" s="3">
        <v>90</v>
      </c>
      <c r="O516" s="3">
        <v>160</v>
      </c>
      <c r="P516" s="3" t="s">
        <v>33</v>
      </c>
      <c r="Q516" s="3" t="s">
        <v>26</v>
      </c>
      <c r="S516" s="3" t="s">
        <v>664</v>
      </c>
      <c r="T516" s="3" t="s">
        <v>79</v>
      </c>
      <c r="U516" s="3">
        <v>7</v>
      </c>
      <c r="V516" s="3">
        <v>1</v>
      </c>
      <c r="W516" s="3" t="s">
        <v>26</v>
      </c>
      <c r="AA516" s="3" t="s">
        <v>49</v>
      </c>
      <c r="AB516" s="3" t="s">
        <v>369</v>
      </c>
      <c r="AC516" s="3" t="s">
        <v>664</v>
      </c>
      <c r="AD516" s="3" t="s">
        <v>30</v>
      </c>
      <c r="AE516" s="3" t="s">
        <v>72</v>
      </c>
      <c r="AF516" s="3" t="s">
        <v>664</v>
      </c>
      <c r="AG516" s="3" t="s">
        <v>39</v>
      </c>
    </row>
    <row r="517" spans="1:33">
      <c r="A517" s="1">
        <v>45210.969283078703</v>
      </c>
      <c r="B517" s="3" t="s">
        <v>1024</v>
      </c>
      <c r="C517" s="2">
        <v>31670</v>
      </c>
      <c r="D517" s="3">
        <v>37</v>
      </c>
      <c r="E517" s="3" t="s">
        <v>510</v>
      </c>
      <c r="F517" s="3" t="s">
        <v>533</v>
      </c>
      <c r="G517" s="3" t="s">
        <v>539</v>
      </c>
      <c r="H517" s="2">
        <v>43439</v>
      </c>
      <c r="I517" s="3">
        <v>2</v>
      </c>
      <c r="J517" s="3" t="s">
        <v>541</v>
      </c>
      <c r="K517" s="3" t="s">
        <v>1182</v>
      </c>
      <c r="L517" s="3" t="s">
        <v>623</v>
      </c>
      <c r="M517" s="3" t="s">
        <v>1189</v>
      </c>
      <c r="N517" s="3" t="s">
        <v>1155</v>
      </c>
      <c r="O517" s="3">
        <v>169</v>
      </c>
      <c r="P517" s="3" t="s">
        <v>33</v>
      </c>
      <c r="Q517" s="3" t="s">
        <v>26</v>
      </c>
      <c r="S517" s="3" t="s">
        <v>664</v>
      </c>
      <c r="T517" s="3" t="s">
        <v>27</v>
      </c>
      <c r="U517" s="3">
        <v>7</v>
      </c>
      <c r="V517" s="3">
        <v>1</v>
      </c>
      <c r="W517" s="3" t="s">
        <v>34</v>
      </c>
      <c r="X517" s="3" t="s">
        <v>58</v>
      </c>
      <c r="Y517" s="3">
        <v>7</v>
      </c>
      <c r="Z517" s="3">
        <v>1</v>
      </c>
      <c r="AA517" s="3" t="s">
        <v>49</v>
      </c>
      <c r="AB517" s="3" t="s">
        <v>370</v>
      </c>
      <c r="AC517" s="3" t="s">
        <v>664</v>
      </c>
      <c r="AD517" s="3" t="s">
        <v>371</v>
      </c>
      <c r="AE517" s="3" t="s">
        <v>38</v>
      </c>
      <c r="AF517" s="3" t="s">
        <v>26</v>
      </c>
    </row>
    <row r="518" spans="1:33">
      <c r="A518" s="1">
        <v>45210.970792025459</v>
      </c>
      <c r="B518" s="3" t="s">
        <v>1024</v>
      </c>
      <c r="C518" s="2">
        <v>33939</v>
      </c>
      <c r="D518" s="3">
        <v>30</v>
      </c>
      <c r="E518" s="3" t="s">
        <v>510</v>
      </c>
      <c r="F518" s="3" t="s">
        <v>529</v>
      </c>
      <c r="G518" s="3" t="s">
        <v>539</v>
      </c>
      <c r="H518" s="2">
        <v>44836</v>
      </c>
      <c r="I518" s="3">
        <v>1</v>
      </c>
      <c r="J518" s="3" t="s">
        <v>542</v>
      </c>
      <c r="K518" s="3" t="s">
        <v>1288</v>
      </c>
      <c r="L518" s="3" t="s">
        <v>709</v>
      </c>
      <c r="M518" s="3">
        <v>120</v>
      </c>
      <c r="N518" s="3" t="s">
        <v>1289</v>
      </c>
      <c r="O518" s="3">
        <v>173</v>
      </c>
      <c r="P518" s="3" t="s">
        <v>33</v>
      </c>
      <c r="Q518" s="3" t="s">
        <v>26</v>
      </c>
      <c r="S518" s="3" t="s">
        <v>664</v>
      </c>
      <c r="T518" s="3" t="s">
        <v>79</v>
      </c>
      <c r="U518" s="3">
        <v>7</v>
      </c>
      <c r="V518" s="3">
        <v>1</v>
      </c>
      <c r="W518" s="3" t="s">
        <v>26</v>
      </c>
      <c r="AA518" s="3" t="s">
        <v>49</v>
      </c>
      <c r="AB518" s="3" t="s">
        <v>29</v>
      </c>
      <c r="AC518" s="3" t="s">
        <v>664</v>
      </c>
      <c r="AD518" s="3" t="s">
        <v>30</v>
      </c>
      <c r="AE518" s="3" t="s">
        <v>31</v>
      </c>
      <c r="AF518" s="3" t="s">
        <v>664</v>
      </c>
      <c r="AG518" s="3" t="s">
        <v>94</v>
      </c>
    </row>
    <row r="519" spans="1:33">
      <c r="A519" s="1">
        <v>45210.97428962963</v>
      </c>
      <c r="B519" s="3" t="s">
        <v>1024</v>
      </c>
      <c r="C519" s="2">
        <v>33922</v>
      </c>
      <c r="D519" s="3">
        <v>31</v>
      </c>
      <c r="E519" s="3" t="s">
        <v>514</v>
      </c>
      <c r="F519" s="3" t="s">
        <v>523</v>
      </c>
      <c r="G519" s="3" t="s">
        <v>539</v>
      </c>
      <c r="H519" s="2">
        <v>43663</v>
      </c>
      <c r="I519" s="3">
        <v>1</v>
      </c>
      <c r="J519" s="3" t="s">
        <v>541</v>
      </c>
      <c r="K519" s="3">
        <v>3450</v>
      </c>
      <c r="L519" s="3" t="s">
        <v>724</v>
      </c>
      <c r="M519" s="3">
        <v>89</v>
      </c>
      <c r="N519" s="3">
        <v>98</v>
      </c>
      <c r="O519" s="3">
        <v>163</v>
      </c>
      <c r="P519" s="3" t="s">
        <v>44</v>
      </c>
      <c r="Q519" s="3" t="s">
        <v>26</v>
      </c>
      <c r="S519" s="3" t="s">
        <v>664</v>
      </c>
      <c r="T519" s="3" t="s">
        <v>43</v>
      </c>
      <c r="U519" s="3">
        <v>7</v>
      </c>
      <c r="V519" s="3">
        <v>1</v>
      </c>
      <c r="W519" s="3" t="s">
        <v>34</v>
      </c>
      <c r="X519" s="3" t="s">
        <v>372</v>
      </c>
      <c r="Y519" s="3">
        <v>7</v>
      </c>
      <c r="Z519" s="3">
        <v>1</v>
      </c>
      <c r="AA519" s="3" t="s">
        <v>49</v>
      </c>
      <c r="AB519" s="3" t="s">
        <v>29</v>
      </c>
      <c r="AC519" s="3" t="s">
        <v>664</v>
      </c>
      <c r="AD519" s="3" t="s">
        <v>59</v>
      </c>
      <c r="AE519" s="3" t="s">
        <v>31</v>
      </c>
      <c r="AF519" s="3" t="s">
        <v>664</v>
      </c>
      <c r="AG519" s="3" t="s">
        <v>39</v>
      </c>
    </row>
    <row r="520" spans="1:33">
      <c r="A520" s="1">
        <v>45210.99204636574</v>
      </c>
      <c r="B520" s="3" t="s">
        <v>1024</v>
      </c>
      <c r="C520" s="2">
        <v>33925</v>
      </c>
      <c r="D520" s="3">
        <v>30</v>
      </c>
      <c r="E520" s="3" t="s">
        <v>510</v>
      </c>
      <c r="F520" s="3" t="s">
        <v>522</v>
      </c>
      <c r="G520" s="3" t="s">
        <v>539</v>
      </c>
      <c r="H520" s="2">
        <v>44448</v>
      </c>
      <c r="I520" s="3">
        <v>1</v>
      </c>
      <c r="J520" s="3" t="s">
        <v>542</v>
      </c>
      <c r="K520" s="3">
        <v>3550</v>
      </c>
      <c r="L520" s="3" t="s">
        <v>618</v>
      </c>
      <c r="M520" s="3">
        <v>59</v>
      </c>
      <c r="N520" s="3">
        <v>72</v>
      </c>
      <c r="O520" s="3">
        <v>154</v>
      </c>
      <c r="P520" s="3" t="s">
        <v>33</v>
      </c>
      <c r="Q520" s="3" t="s">
        <v>26</v>
      </c>
      <c r="S520" s="3" t="s">
        <v>664</v>
      </c>
      <c r="T520" s="3" t="s">
        <v>79</v>
      </c>
      <c r="U520" s="3">
        <v>7</v>
      </c>
      <c r="V520" s="3">
        <v>1</v>
      </c>
      <c r="W520" s="3" t="s">
        <v>26</v>
      </c>
      <c r="AA520" s="3" t="s">
        <v>49</v>
      </c>
      <c r="AB520" s="3" t="s">
        <v>83</v>
      </c>
      <c r="AC520" s="3" t="s">
        <v>664</v>
      </c>
      <c r="AD520" s="3" t="s">
        <v>66</v>
      </c>
      <c r="AE520" s="3" t="s">
        <v>72</v>
      </c>
      <c r="AF520" s="3" t="s">
        <v>664</v>
      </c>
      <c r="AG520" s="3" t="s">
        <v>48</v>
      </c>
    </row>
    <row r="521" spans="1:33">
      <c r="A521" s="1">
        <v>45210.992825601847</v>
      </c>
      <c r="B521" s="3" t="s">
        <v>1024</v>
      </c>
      <c r="C521" s="2">
        <v>31793</v>
      </c>
      <c r="D521" s="3">
        <v>36</v>
      </c>
      <c r="E521" s="3" t="s">
        <v>510</v>
      </c>
      <c r="F521" s="3" t="s">
        <v>520</v>
      </c>
      <c r="G521" s="3" t="s">
        <v>539</v>
      </c>
      <c r="H521" s="2">
        <v>43138</v>
      </c>
      <c r="I521" s="3">
        <v>1</v>
      </c>
      <c r="J521" s="3" t="s">
        <v>542</v>
      </c>
      <c r="K521" s="3">
        <v>3480</v>
      </c>
      <c r="L521" s="3" t="s">
        <v>661</v>
      </c>
      <c r="M521" s="3">
        <v>70</v>
      </c>
      <c r="N521" s="3">
        <v>80</v>
      </c>
      <c r="O521" s="3">
        <v>156</v>
      </c>
      <c r="P521" s="3" t="s">
        <v>50</v>
      </c>
      <c r="Q521" s="3" t="s">
        <v>26</v>
      </c>
      <c r="S521" s="3" t="s">
        <v>664</v>
      </c>
      <c r="T521" s="3" t="s">
        <v>785</v>
      </c>
      <c r="U521" s="3">
        <v>7</v>
      </c>
      <c r="V521" s="3">
        <v>1</v>
      </c>
      <c r="W521" s="3" t="s">
        <v>26</v>
      </c>
      <c r="AA521" s="3" t="s">
        <v>28</v>
      </c>
      <c r="AB521" s="3" t="s">
        <v>29</v>
      </c>
      <c r="AC521" s="3" t="s">
        <v>664</v>
      </c>
      <c r="AD521" s="3" t="s">
        <v>30</v>
      </c>
      <c r="AE521" s="3" t="s">
        <v>31</v>
      </c>
      <c r="AF521" s="3" t="s">
        <v>664</v>
      </c>
      <c r="AG521" s="3" t="s">
        <v>39</v>
      </c>
    </row>
    <row r="522" spans="1:33">
      <c r="A522" s="1">
        <v>45211.010340868059</v>
      </c>
      <c r="B522" s="3" t="s">
        <v>1024</v>
      </c>
      <c r="C522" s="2">
        <v>29855</v>
      </c>
      <c r="D522" s="3">
        <v>42</v>
      </c>
      <c r="E522" s="3" t="s">
        <v>510</v>
      </c>
      <c r="F522" s="3" t="s">
        <v>521</v>
      </c>
      <c r="G522" s="3" t="s">
        <v>539</v>
      </c>
      <c r="H522" s="2">
        <v>43691</v>
      </c>
      <c r="I522" s="3">
        <v>2</v>
      </c>
      <c r="J522" s="3" t="s">
        <v>542</v>
      </c>
      <c r="K522" s="3" t="s">
        <v>1260</v>
      </c>
      <c r="L522" s="3">
        <v>37</v>
      </c>
      <c r="M522" s="3">
        <v>55</v>
      </c>
      <c r="N522" s="3">
        <v>60</v>
      </c>
      <c r="O522" s="3">
        <v>158</v>
      </c>
      <c r="P522" s="3" t="s">
        <v>44</v>
      </c>
      <c r="Q522" s="3" t="s">
        <v>26</v>
      </c>
      <c r="S522" s="3" t="s">
        <v>664</v>
      </c>
      <c r="T522" s="3" t="s">
        <v>373</v>
      </c>
      <c r="U522" s="3">
        <v>7</v>
      </c>
      <c r="V522" s="3">
        <v>1</v>
      </c>
      <c r="W522" s="3" t="s">
        <v>26</v>
      </c>
      <c r="AA522" s="3" t="s">
        <v>49</v>
      </c>
      <c r="AB522" s="3" t="s">
        <v>374</v>
      </c>
      <c r="AC522" s="3" t="s">
        <v>26</v>
      </c>
      <c r="AE522" s="3" t="s">
        <v>159</v>
      </c>
      <c r="AF522" s="3" t="s">
        <v>26</v>
      </c>
    </row>
    <row r="523" spans="1:33">
      <c r="A523" s="1">
        <v>45211.010973576384</v>
      </c>
      <c r="B523" s="3" t="s">
        <v>1024</v>
      </c>
      <c r="C523" s="2">
        <v>34621</v>
      </c>
      <c r="D523" s="3">
        <v>28</v>
      </c>
      <c r="E523" s="3" t="s">
        <v>510</v>
      </c>
      <c r="F523" s="3" t="s">
        <v>531</v>
      </c>
      <c r="G523" s="3" t="s">
        <v>538</v>
      </c>
      <c r="H523" s="2">
        <v>44958</v>
      </c>
      <c r="I523" s="3">
        <v>1</v>
      </c>
      <c r="J523" s="3" t="s">
        <v>542</v>
      </c>
      <c r="K523" s="3">
        <v>2990</v>
      </c>
      <c r="L523" s="3">
        <v>38</v>
      </c>
      <c r="M523" s="3" t="s">
        <v>1290</v>
      </c>
      <c r="N523" s="3" t="s">
        <v>1291</v>
      </c>
      <c r="O523" s="3">
        <v>157</v>
      </c>
      <c r="P523" s="3" t="s">
        <v>50</v>
      </c>
      <c r="Q523" s="3" t="s">
        <v>26</v>
      </c>
      <c r="S523" s="3" t="s">
        <v>664</v>
      </c>
      <c r="T523" s="3" t="s">
        <v>79</v>
      </c>
      <c r="U523" s="3">
        <v>4</v>
      </c>
      <c r="V523" s="3">
        <v>1</v>
      </c>
      <c r="W523" s="3" t="s">
        <v>34</v>
      </c>
      <c r="X523" s="3" t="s">
        <v>375</v>
      </c>
      <c r="Y523" s="3">
        <v>6</v>
      </c>
      <c r="Z523" s="3">
        <v>1</v>
      </c>
      <c r="AA523" s="3" t="s">
        <v>49</v>
      </c>
      <c r="AB523" s="3" t="s">
        <v>29</v>
      </c>
      <c r="AC523" s="3" t="s">
        <v>664</v>
      </c>
      <c r="AD523" s="3" t="s">
        <v>55</v>
      </c>
      <c r="AE523" s="3" t="s">
        <v>38</v>
      </c>
      <c r="AF523" s="3" t="s">
        <v>664</v>
      </c>
      <c r="AG523" s="3" t="s">
        <v>39</v>
      </c>
    </row>
    <row r="524" spans="1:33">
      <c r="A524" s="1">
        <v>45211.015246828705</v>
      </c>
      <c r="B524" s="3" t="s">
        <v>1024</v>
      </c>
      <c r="C524" s="2">
        <v>30141</v>
      </c>
      <c r="D524" s="3">
        <v>41</v>
      </c>
      <c r="E524" s="3" t="s">
        <v>510</v>
      </c>
      <c r="F524" s="3" t="s">
        <v>521</v>
      </c>
      <c r="G524" s="3" t="s">
        <v>539</v>
      </c>
      <c r="H524" s="2">
        <v>44690</v>
      </c>
      <c r="I524" s="3">
        <v>1</v>
      </c>
      <c r="J524" s="3" t="s">
        <v>542</v>
      </c>
      <c r="K524" s="3" t="s">
        <v>1292</v>
      </c>
      <c r="L524" s="3">
        <v>35</v>
      </c>
      <c r="M524" s="3">
        <v>64</v>
      </c>
      <c r="N524" s="3">
        <v>69</v>
      </c>
      <c r="O524" s="3">
        <v>159</v>
      </c>
      <c r="P524" s="3" t="s">
        <v>786</v>
      </c>
      <c r="Q524" s="3" t="s">
        <v>26</v>
      </c>
      <c r="S524" s="3" t="s">
        <v>664</v>
      </c>
      <c r="T524" s="3" t="s">
        <v>506</v>
      </c>
      <c r="U524" s="3">
        <v>7</v>
      </c>
      <c r="V524" s="3">
        <v>1</v>
      </c>
      <c r="W524" s="3" t="s">
        <v>34</v>
      </c>
      <c r="X524" s="3" t="s">
        <v>787</v>
      </c>
      <c r="Y524" s="3">
        <v>7</v>
      </c>
      <c r="Z524" s="3" t="s">
        <v>788</v>
      </c>
      <c r="AA524" s="3" t="s">
        <v>36</v>
      </c>
      <c r="AB524" s="3" t="s">
        <v>789</v>
      </c>
      <c r="AC524" s="3" t="s">
        <v>664</v>
      </c>
      <c r="AD524" s="3" t="s">
        <v>30</v>
      </c>
      <c r="AE524" s="3" t="s">
        <v>31</v>
      </c>
      <c r="AF524" s="3" t="s">
        <v>664</v>
      </c>
      <c r="AG524" s="3" t="s">
        <v>39</v>
      </c>
    </row>
    <row r="525" spans="1:33">
      <c r="A525" s="1">
        <v>45211.018269166671</v>
      </c>
      <c r="B525" s="3" t="s">
        <v>1024</v>
      </c>
      <c r="C525" s="2">
        <v>31379</v>
      </c>
      <c r="D525" s="3">
        <v>37</v>
      </c>
      <c r="E525" s="3" t="s">
        <v>510</v>
      </c>
      <c r="F525" s="3" t="s">
        <v>520</v>
      </c>
      <c r="G525" s="3" t="s">
        <v>538</v>
      </c>
      <c r="H525" s="2">
        <v>44849</v>
      </c>
      <c r="I525" s="3">
        <v>2</v>
      </c>
      <c r="J525" s="3" t="s">
        <v>542</v>
      </c>
      <c r="K525" s="3">
        <v>2870</v>
      </c>
      <c r="L525" s="3" t="s">
        <v>618</v>
      </c>
      <c r="M525" s="3">
        <v>102</v>
      </c>
      <c r="N525" s="3">
        <v>98</v>
      </c>
      <c r="O525" s="3">
        <v>153</v>
      </c>
      <c r="P525" s="3" t="s">
        <v>44</v>
      </c>
      <c r="Q525" s="3" t="s">
        <v>26</v>
      </c>
      <c r="S525" s="3" t="s">
        <v>664</v>
      </c>
      <c r="T525" s="3" t="s">
        <v>27</v>
      </c>
      <c r="U525" s="3">
        <v>7</v>
      </c>
      <c r="V525" s="3">
        <v>1</v>
      </c>
      <c r="W525" s="3" t="s">
        <v>26</v>
      </c>
      <c r="AA525" s="3" t="s">
        <v>28</v>
      </c>
      <c r="AB525" s="3" t="s">
        <v>29</v>
      </c>
      <c r="AC525" s="3" t="s">
        <v>664</v>
      </c>
      <c r="AD525" s="3" t="s">
        <v>37</v>
      </c>
      <c r="AE525" s="3" t="s">
        <v>38</v>
      </c>
      <c r="AF525" s="3" t="s">
        <v>664</v>
      </c>
      <c r="AG525" s="3" t="s">
        <v>39</v>
      </c>
    </row>
    <row r="526" spans="1:33">
      <c r="A526" s="1">
        <v>45211.101937187501</v>
      </c>
      <c r="B526" s="3" t="s">
        <v>1024</v>
      </c>
      <c r="C526" s="2">
        <v>32275</v>
      </c>
      <c r="D526" s="3">
        <v>35</v>
      </c>
      <c r="E526" s="3" t="s">
        <v>510</v>
      </c>
      <c r="F526" s="3" t="s">
        <v>521</v>
      </c>
      <c r="G526" s="3" t="s">
        <v>540</v>
      </c>
      <c r="H526" s="2">
        <v>44950</v>
      </c>
      <c r="I526" s="3">
        <v>1</v>
      </c>
      <c r="J526" s="3" t="s">
        <v>542</v>
      </c>
      <c r="K526" s="3">
        <v>3900</v>
      </c>
      <c r="L526" s="3">
        <v>38</v>
      </c>
      <c r="M526" s="3">
        <v>88</v>
      </c>
      <c r="N526" s="3">
        <v>97</v>
      </c>
      <c r="O526" s="3">
        <v>162</v>
      </c>
      <c r="P526" s="3" t="s">
        <v>33</v>
      </c>
      <c r="Q526" s="3" t="s">
        <v>34</v>
      </c>
      <c r="R526" s="3" t="s">
        <v>376</v>
      </c>
      <c r="S526" s="3" t="s">
        <v>664</v>
      </c>
      <c r="T526" s="3" t="s">
        <v>217</v>
      </c>
      <c r="U526" s="3">
        <v>7</v>
      </c>
      <c r="V526" s="3">
        <v>3</v>
      </c>
      <c r="W526" s="3" t="s">
        <v>34</v>
      </c>
      <c r="X526" s="3" t="s">
        <v>58</v>
      </c>
      <c r="Y526" s="3">
        <v>7</v>
      </c>
      <c r="Z526" s="3">
        <v>1</v>
      </c>
      <c r="AA526" s="3" t="s">
        <v>42</v>
      </c>
      <c r="AB526" s="3" t="s">
        <v>377</v>
      </c>
      <c r="AC526" s="3" t="s">
        <v>664</v>
      </c>
      <c r="AD526" s="3" t="s">
        <v>30</v>
      </c>
      <c r="AE526" s="3" t="s">
        <v>38</v>
      </c>
      <c r="AF526" s="3" t="s">
        <v>664</v>
      </c>
      <c r="AG526" s="3" t="s">
        <v>39</v>
      </c>
    </row>
    <row r="527" spans="1:33">
      <c r="A527" s="1">
        <v>45211.261488055556</v>
      </c>
      <c r="B527" s="3" t="s">
        <v>1024</v>
      </c>
      <c r="C527" s="2">
        <v>34295</v>
      </c>
      <c r="D527" s="3">
        <v>29</v>
      </c>
      <c r="E527" s="3" t="s">
        <v>510</v>
      </c>
      <c r="F527" s="3" t="s">
        <v>520</v>
      </c>
      <c r="G527" s="3" t="s">
        <v>540</v>
      </c>
      <c r="H527" s="2" t="s">
        <v>1293</v>
      </c>
      <c r="I527" s="3">
        <v>1</v>
      </c>
      <c r="J527" s="3" t="s">
        <v>542</v>
      </c>
      <c r="K527" s="3">
        <v>3159</v>
      </c>
      <c r="L527" s="3">
        <v>39</v>
      </c>
      <c r="M527" s="3">
        <v>68</v>
      </c>
      <c r="N527" s="3">
        <v>75</v>
      </c>
      <c r="O527" s="3">
        <v>173</v>
      </c>
      <c r="P527" s="3" t="s">
        <v>33</v>
      </c>
      <c r="Q527" s="3" t="s">
        <v>26</v>
      </c>
      <c r="S527" s="3" t="s">
        <v>664</v>
      </c>
      <c r="T527" s="3" t="s">
        <v>56</v>
      </c>
      <c r="U527" s="3">
        <v>1</v>
      </c>
      <c r="V527" s="3">
        <v>1</v>
      </c>
      <c r="W527" s="3" t="s">
        <v>34</v>
      </c>
      <c r="X527" s="3" t="s">
        <v>116</v>
      </c>
      <c r="Y527" s="3">
        <v>1</v>
      </c>
      <c r="Z527" s="3">
        <v>1</v>
      </c>
      <c r="AA527" s="3" t="s">
        <v>36</v>
      </c>
      <c r="AB527" s="3" t="s">
        <v>29</v>
      </c>
      <c r="AC527" s="3" t="s">
        <v>664</v>
      </c>
      <c r="AD527" s="3" t="s">
        <v>30</v>
      </c>
      <c r="AE527" s="3" t="s">
        <v>38</v>
      </c>
      <c r="AF527" s="3" t="s">
        <v>664</v>
      </c>
      <c r="AG527" s="3" t="s">
        <v>32</v>
      </c>
    </row>
    <row r="528" spans="1:33">
      <c r="A528" s="1">
        <v>45211.30085399306</v>
      </c>
      <c r="B528" s="3" t="s">
        <v>1024</v>
      </c>
      <c r="C528" s="2">
        <v>34541</v>
      </c>
      <c r="D528" s="3">
        <v>29</v>
      </c>
      <c r="E528" s="3" t="s">
        <v>510</v>
      </c>
      <c r="F528" s="3" t="s">
        <v>520</v>
      </c>
      <c r="G528" s="3" t="s">
        <v>539</v>
      </c>
      <c r="H528" s="2">
        <v>44281</v>
      </c>
      <c r="I528" s="3">
        <v>2</v>
      </c>
      <c r="J528" s="3" t="s">
        <v>541</v>
      </c>
      <c r="K528" s="3">
        <v>2900</v>
      </c>
      <c r="L528" s="3">
        <v>39</v>
      </c>
      <c r="M528" s="3">
        <v>85</v>
      </c>
      <c r="N528" s="3">
        <v>100</v>
      </c>
      <c r="O528" s="3">
        <v>161</v>
      </c>
      <c r="P528" s="3" t="s">
        <v>33</v>
      </c>
      <c r="Q528" s="3" t="s">
        <v>26</v>
      </c>
      <c r="S528" s="3" t="s">
        <v>664</v>
      </c>
      <c r="T528" s="3" t="s">
        <v>79</v>
      </c>
      <c r="U528" s="3">
        <v>7</v>
      </c>
      <c r="V528" s="3">
        <v>1</v>
      </c>
      <c r="W528" s="3" t="s">
        <v>26</v>
      </c>
      <c r="AA528" s="3" t="s">
        <v>49</v>
      </c>
      <c r="AB528" s="3" t="s">
        <v>378</v>
      </c>
      <c r="AC528" s="3" t="s">
        <v>664</v>
      </c>
      <c r="AD528" s="3" t="s">
        <v>55</v>
      </c>
      <c r="AE528" s="3" t="s">
        <v>31</v>
      </c>
      <c r="AF528" s="3" t="s">
        <v>664</v>
      </c>
      <c r="AG528" s="3" t="s">
        <v>48</v>
      </c>
    </row>
    <row r="529" spans="1:33">
      <c r="A529" s="1">
        <v>45211.374199004626</v>
      </c>
      <c r="B529" s="3" t="s">
        <v>1024</v>
      </c>
      <c r="C529" s="2">
        <v>34404</v>
      </c>
      <c r="D529" s="3">
        <v>29</v>
      </c>
      <c r="E529" s="3" t="s">
        <v>510</v>
      </c>
      <c r="F529" s="3" t="s">
        <v>532</v>
      </c>
      <c r="G529" s="3" t="s">
        <v>539</v>
      </c>
      <c r="H529" s="2">
        <v>43868</v>
      </c>
      <c r="I529" s="3">
        <v>1</v>
      </c>
      <c r="J529" s="3" t="s">
        <v>541</v>
      </c>
      <c r="K529" s="3">
        <v>1515</v>
      </c>
      <c r="L529" s="3">
        <v>32</v>
      </c>
      <c r="M529" s="3">
        <v>63</v>
      </c>
      <c r="N529" s="3">
        <v>76</v>
      </c>
      <c r="O529" s="3">
        <v>150</v>
      </c>
      <c r="P529" s="3" t="s">
        <v>25</v>
      </c>
      <c r="Q529" s="3" t="s">
        <v>26</v>
      </c>
      <c r="S529" s="3" t="s">
        <v>664</v>
      </c>
      <c r="T529" s="3" t="s">
        <v>79</v>
      </c>
      <c r="U529" s="3">
        <v>7</v>
      </c>
      <c r="V529" s="3">
        <v>1</v>
      </c>
      <c r="W529" s="3" t="s">
        <v>26</v>
      </c>
      <c r="AA529" s="3" t="s">
        <v>54</v>
      </c>
      <c r="AB529" s="3" t="s">
        <v>29</v>
      </c>
      <c r="AC529" s="3" t="s">
        <v>664</v>
      </c>
      <c r="AD529" s="3" t="s">
        <v>55</v>
      </c>
      <c r="AE529" s="3" t="s">
        <v>38</v>
      </c>
      <c r="AF529" s="3" t="s">
        <v>664</v>
      </c>
      <c r="AG529" s="3" t="s">
        <v>32</v>
      </c>
    </row>
    <row r="530" spans="1:33">
      <c r="A530" s="1">
        <v>45211.397110601851</v>
      </c>
      <c r="B530" s="3" t="s">
        <v>1024</v>
      </c>
      <c r="C530" s="2">
        <v>31173</v>
      </c>
      <c r="D530" s="3">
        <v>38</v>
      </c>
      <c r="E530" s="3" t="s">
        <v>510</v>
      </c>
      <c r="F530" s="3" t="s">
        <v>525</v>
      </c>
      <c r="G530" s="3" t="s">
        <v>538</v>
      </c>
      <c r="H530" s="2">
        <v>43978</v>
      </c>
      <c r="I530" s="3">
        <v>1</v>
      </c>
      <c r="J530" s="3" t="s">
        <v>542</v>
      </c>
      <c r="K530" s="3" t="s">
        <v>1294</v>
      </c>
      <c r="L530" s="3" t="s">
        <v>790</v>
      </c>
      <c r="M530" s="3">
        <v>49</v>
      </c>
      <c r="N530" s="3">
        <v>64</v>
      </c>
      <c r="O530" s="3">
        <v>163</v>
      </c>
      <c r="P530" s="3" t="s">
        <v>33</v>
      </c>
      <c r="Q530" s="3" t="s">
        <v>34</v>
      </c>
      <c r="R530" s="3" t="s">
        <v>379</v>
      </c>
      <c r="S530" s="3" t="s">
        <v>664</v>
      </c>
      <c r="T530" s="3" t="s">
        <v>81</v>
      </c>
      <c r="U530" s="3">
        <v>7</v>
      </c>
      <c r="V530" s="3">
        <v>1</v>
      </c>
      <c r="W530" s="3" t="s">
        <v>34</v>
      </c>
      <c r="X530" s="3" t="s">
        <v>58</v>
      </c>
      <c r="Y530" s="3">
        <v>7</v>
      </c>
      <c r="Z530" s="3">
        <v>1</v>
      </c>
      <c r="AA530" s="3" t="s">
        <v>49</v>
      </c>
      <c r="AB530" s="3" t="s">
        <v>29</v>
      </c>
      <c r="AC530" s="3" t="s">
        <v>664</v>
      </c>
      <c r="AD530" s="3" t="s">
        <v>30</v>
      </c>
      <c r="AE530" s="3" t="s">
        <v>31</v>
      </c>
      <c r="AF530" s="3" t="s">
        <v>664</v>
      </c>
      <c r="AG530" s="3" t="s">
        <v>32</v>
      </c>
    </row>
    <row r="531" spans="1:33">
      <c r="A531" s="1">
        <v>45211.401126296296</v>
      </c>
      <c r="B531" s="3" t="s">
        <v>1024</v>
      </c>
      <c r="C531" s="2">
        <v>34697</v>
      </c>
      <c r="D531" s="3">
        <v>28</v>
      </c>
      <c r="E531" s="3" t="s">
        <v>510</v>
      </c>
      <c r="F531" s="3" t="s">
        <v>528</v>
      </c>
      <c r="G531" s="3" t="s">
        <v>539</v>
      </c>
      <c r="H531" s="2">
        <v>45008</v>
      </c>
      <c r="I531" s="3">
        <v>3</v>
      </c>
      <c r="J531" s="3" t="s">
        <v>542</v>
      </c>
      <c r="K531" s="3">
        <v>3850</v>
      </c>
      <c r="L531" s="3">
        <v>40</v>
      </c>
      <c r="M531" s="3">
        <v>114</v>
      </c>
      <c r="N531" s="3">
        <v>120</v>
      </c>
      <c r="O531" s="3">
        <v>160</v>
      </c>
      <c r="P531" s="3" t="s">
        <v>33</v>
      </c>
      <c r="Q531" s="3" t="s">
        <v>26</v>
      </c>
      <c r="S531" s="3" t="s">
        <v>26</v>
      </c>
      <c r="T531" s="3" t="s">
        <v>121</v>
      </c>
      <c r="W531" s="3" t="s">
        <v>26</v>
      </c>
      <c r="AA531" s="3" t="s">
        <v>51</v>
      </c>
      <c r="AB531" s="3" t="s">
        <v>29</v>
      </c>
      <c r="AC531" s="3" t="s">
        <v>664</v>
      </c>
      <c r="AD531" s="3" t="s">
        <v>30</v>
      </c>
      <c r="AE531" s="3" t="s">
        <v>72</v>
      </c>
      <c r="AF531" s="3" t="s">
        <v>664</v>
      </c>
      <c r="AG531" s="3" t="s">
        <v>32</v>
      </c>
    </row>
    <row r="532" spans="1:33">
      <c r="A532" s="1">
        <v>45211.477426238431</v>
      </c>
      <c r="B532" s="3" t="s">
        <v>1024</v>
      </c>
      <c r="C532" s="2">
        <v>30491</v>
      </c>
      <c r="D532" s="3">
        <v>40</v>
      </c>
      <c r="E532" s="3" t="s">
        <v>510</v>
      </c>
      <c r="F532" s="3" t="s">
        <v>531</v>
      </c>
      <c r="G532" s="3" t="s">
        <v>540</v>
      </c>
      <c r="H532" s="2">
        <v>43280</v>
      </c>
      <c r="I532" s="3">
        <v>2</v>
      </c>
      <c r="J532" s="3" t="s">
        <v>542</v>
      </c>
      <c r="K532" s="3">
        <v>3200</v>
      </c>
      <c r="L532" s="3">
        <v>41</v>
      </c>
      <c r="M532" s="3">
        <v>72</v>
      </c>
      <c r="N532" s="3">
        <v>80</v>
      </c>
      <c r="O532" s="3">
        <v>160</v>
      </c>
      <c r="P532" s="3" t="s">
        <v>33</v>
      </c>
      <c r="Q532" s="3" t="s">
        <v>26</v>
      </c>
      <c r="S532" s="3" t="s">
        <v>664</v>
      </c>
      <c r="T532" s="3" t="s">
        <v>27</v>
      </c>
      <c r="U532" s="3">
        <v>7</v>
      </c>
      <c r="V532" s="3">
        <v>1</v>
      </c>
      <c r="W532" s="3" t="s">
        <v>26</v>
      </c>
      <c r="AA532" s="3" t="s">
        <v>28</v>
      </c>
      <c r="AB532" s="3" t="s">
        <v>29</v>
      </c>
      <c r="AC532" s="3" t="s">
        <v>664</v>
      </c>
      <c r="AD532" s="3" t="s">
        <v>37</v>
      </c>
      <c r="AE532" s="3" t="s">
        <v>31</v>
      </c>
      <c r="AF532" s="3" t="s">
        <v>664</v>
      </c>
      <c r="AG532" s="3" t="s">
        <v>48</v>
      </c>
    </row>
    <row r="533" spans="1:33">
      <c r="A533" s="1">
        <v>45211.517031875002</v>
      </c>
      <c r="B533" s="3" t="s">
        <v>1024</v>
      </c>
      <c r="C533" s="2">
        <v>29121</v>
      </c>
      <c r="D533" s="3">
        <v>44</v>
      </c>
      <c r="E533" s="3" t="s">
        <v>510</v>
      </c>
      <c r="F533" s="3" t="s">
        <v>528</v>
      </c>
      <c r="G533" s="3" t="s">
        <v>539</v>
      </c>
      <c r="H533" s="2">
        <v>43202</v>
      </c>
      <c r="I533" s="3">
        <v>1</v>
      </c>
      <c r="J533" s="3" t="s">
        <v>542</v>
      </c>
      <c r="K533" s="3">
        <v>3150</v>
      </c>
      <c r="L533" s="3">
        <v>40</v>
      </c>
      <c r="M533" s="3">
        <v>65</v>
      </c>
      <c r="N533" s="3">
        <v>76</v>
      </c>
      <c r="O533" s="3">
        <v>160</v>
      </c>
      <c r="P533" s="3" t="s">
        <v>33</v>
      </c>
      <c r="Q533" s="3" t="s">
        <v>26</v>
      </c>
      <c r="S533" s="3" t="s">
        <v>664</v>
      </c>
      <c r="T533" s="3" t="s">
        <v>43</v>
      </c>
      <c r="U533" s="3">
        <v>7</v>
      </c>
      <c r="V533" s="3">
        <v>1</v>
      </c>
      <c r="W533" s="3" t="s">
        <v>26</v>
      </c>
      <c r="AA533" s="3" t="s">
        <v>28</v>
      </c>
      <c r="AB533" s="3" t="s">
        <v>380</v>
      </c>
      <c r="AC533" s="3" t="s">
        <v>664</v>
      </c>
      <c r="AD533" s="3" t="s">
        <v>30</v>
      </c>
      <c r="AE533" s="3" t="s">
        <v>38</v>
      </c>
      <c r="AF533" s="3" t="s">
        <v>664</v>
      </c>
      <c r="AG533" s="3" t="s">
        <v>32</v>
      </c>
    </row>
    <row r="534" spans="1:33">
      <c r="A534" s="1">
        <v>45211.543889444445</v>
      </c>
      <c r="B534" s="3" t="s">
        <v>1024</v>
      </c>
      <c r="C534" s="2">
        <v>32847</v>
      </c>
      <c r="D534" s="3">
        <v>33</v>
      </c>
      <c r="E534" s="3" t="s">
        <v>510</v>
      </c>
      <c r="F534" s="3" t="s">
        <v>520</v>
      </c>
      <c r="G534" s="3" t="s">
        <v>539</v>
      </c>
      <c r="H534" s="2">
        <v>44469</v>
      </c>
      <c r="I534" s="3">
        <v>1</v>
      </c>
      <c r="J534" s="3" t="s">
        <v>542</v>
      </c>
      <c r="K534" s="3">
        <v>3330</v>
      </c>
      <c r="L534" s="3" t="s">
        <v>791</v>
      </c>
      <c r="M534" s="3">
        <v>65</v>
      </c>
      <c r="N534" s="3">
        <v>76</v>
      </c>
      <c r="O534" s="3">
        <v>165</v>
      </c>
      <c r="P534" s="3" t="s">
        <v>33</v>
      </c>
      <c r="Q534" s="3" t="s">
        <v>26</v>
      </c>
      <c r="S534" s="3" t="s">
        <v>664</v>
      </c>
      <c r="T534" s="3" t="s">
        <v>27</v>
      </c>
      <c r="U534" s="3">
        <v>7</v>
      </c>
      <c r="V534" s="3">
        <v>1</v>
      </c>
      <c r="W534" s="3" t="s">
        <v>34</v>
      </c>
      <c r="X534" s="3" t="s">
        <v>61</v>
      </c>
      <c r="Y534" s="3">
        <v>7</v>
      </c>
      <c r="Z534" s="3">
        <v>1</v>
      </c>
      <c r="AA534" s="3" t="s">
        <v>28</v>
      </c>
      <c r="AB534" s="3" t="s">
        <v>29</v>
      </c>
      <c r="AC534" s="3" t="s">
        <v>664</v>
      </c>
      <c r="AD534" s="3" t="s">
        <v>55</v>
      </c>
      <c r="AE534" s="3" t="s">
        <v>31</v>
      </c>
      <c r="AF534" s="3" t="s">
        <v>664</v>
      </c>
      <c r="AG534" s="3" t="s">
        <v>39</v>
      </c>
    </row>
    <row r="535" spans="1:33">
      <c r="A535" s="1">
        <v>45211.551301782412</v>
      </c>
      <c r="B535" s="3" t="s">
        <v>1024</v>
      </c>
      <c r="C535" s="2">
        <v>32742</v>
      </c>
      <c r="D535" s="3">
        <v>34</v>
      </c>
      <c r="E535" s="3" t="s">
        <v>510</v>
      </c>
      <c r="F535" s="3" t="s">
        <v>529</v>
      </c>
      <c r="G535" s="3" t="s">
        <v>539</v>
      </c>
      <c r="H535" s="2">
        <v>44134</v>
      </c>
      <c r="I535" s="3">
        <v>1</v>
      </c>
      <c r="J535" s="3" t="s">
        <v>541</v>
      </c>
      <c r="K535" s="3">
        <v>3100</v>
      </c>
      <c r="L535" s="3">
        <v>38</v>
      </c>
      <c r="M535" s="3">
        <v>92</v>
      </c>
      <c r="N535" s="3">
        <v>95</v>
      </c>
      <c r="O535" s="3">
        <v>165</v>
      </c>
      <c r="P535" s="3" t="s">
        <v>44</v>
      </c>
      <c r="Q535" s="3" t="s">
        <v>26</v>
      </c>
      <c r="S535" s="3" t="s">
        <v>664</v>
      </c>
      <c r="T535" s="3" t="s">
        <v>43</v>
      </c>
      <c r="U535" s="3">
        <v>7</v>
      </c>
      <c r="V535" s="3">
        <v>1</v>
      </c>
      <c r="W535" s="3" t="s">
        <v>34</v>
      </c>
      <c r="X535" s="3" t="s">
        <v>381</v>
      </c>
      <c r="Y535" s="3">
        <v>7</v>
      </c>
      <c r="Z535" s="3">
        <v>1</v>
      </c>
      <c r="AA535" s="3" t="s">
        <v>28</v>
      </c>
      <c r="AB535" s="3" t="s">
        <v>240</v>
      </c>
      <c r="AC535" s="3" t="s">
        <v>664</v>
      </c>
      <c r="AD535" s="3" t="s">
        <v>59</v>
      </c>
      <c r="AE535" s="3" t="s">
        <v>38</v>
      </c>
      <c r="AF535" s="3" t="s">
        <v>664</v>
      </c>
      <c r="AG535" s="3" t="s">
        <v>32</v>
      </c>
    </row>
    <row r="536" spans="1:33">
      <c r="A536" s="1">
        <v>45211.563865520831</v>
      </c>
      <c r="B536" s="3" t="s">
        <v>1024</v>
      </c>
      <c r="C536" s="2">
        <v>33109</v>
      </c>
      <c r="D536" s="3">
        <v>33</v>
      </c>
      <c r="E536" s="3" t="s">
        <v>510</v>
      </c>
      <c r="F536" s="3" t="s">
        <v>531</v>
      </c>
      <c r="G536" s="3" t="s">
        <v>539</v>
      </c>
      <c r="H536" s="2">
        <v>44274</v>
      </c>
      <c r="I536" s="3">
        <v>1</v>
      </c>
      <c r="J536" s="3" t="s">
        <v>542</v>
      </c>
      <c r="K536" s="3">
        <v>3145</v>
      </c>
      <c r="L536" s="3">
        <v>40</v>
      </c>
      <c r="M536" s="3">
        <v>62</v>
      </c>
      <c r="N536" s="3">
        <v>82</v>
      </c>
      <c r="O536" s="3">
        <v>150</v>
      </c>
      <c r="P536" s="3" t="s">
        <v>33</v>
      </c>
      <c r="Q536" s="3" t="s">
        <v>26</v>
      </c>
      <c r="S536" s="3" t="s">
        <v>664</v>
      </c>
      <c r="T536" s="3" t="s">
        <v>79</v>
      </c>
      <c r="U536" s="3">
        <v>7</v>
      </c>
      <c r="V536" s="3">
        <v>1</v>
      </c>
      <c r="W536" s="3" t="s">
        <v>34</v>
      </c>
      <c r="X536" s="3" t="s">
        <v>382</v>
      </c>
      <c r="Y536" s="3">
        <v>7</v>
      </c>
      <c r="Z536" s="3">
        <v>1</v>
      </c>
      <c r="AA536" s="3" t="s">
        <v>49</v>
      </c>
      <c r="AB536" s="3" t="s">
        <v>29</v>
      </c>
      <c r="AC536" s="3" t="s">
        <v>26</v>
      </c>
      <c r="AD536" s="3" t="s">
        <v>383</v>
      </c>
      <c r="AE536" s="3" t="s">
        <v>38</v>
      </c>
      <c r="AF536" s="3" t="s">
        <v>26</v>
      </c>
      <c r="AG536" s="3" t="s">
        <v>39</v>
      </c>
    </row>
    <row r="537" spans="1:33">
      <c r="A537" s="1">
        <v>45211.594606932871</v>
      </c>
      <c r="B537" s="3" t="s">
        <v>1024</v>
      </c>
      <c r="C537" s="2">
        <v>31125</v>
      </c>
      <c r="D537" s="3">
        <v>38</v>
      </c>
      <c r="E537" s="3" t="s">
        <v>510</v>
      </c>
      <c r="F537" s="3" t="s">
        <v>520</v>
      </c>
      <c r="G537" s="3" t="s">
        <v>539</v>
      </c>
      <c r="H537" s="2">
        <v>43160</v>
      </c>
      <c r="I537" s="3">
        <v>1</v>
      </c>
      <c r="J537" s="3" t="s">
        <v>541</v>
      </c>
      <c r="K537" s="3">
        <v>3420</v>
      </c>
      <c r="L537" s="3">
        <v>36</v>
      </c>
      <c r="M537" s="3">
        <v>54</v>
      </c>
      <c r="N537" s="3">
        <v>64</v>
      </c>
      <c r="O537" s="3">
        <v>164</v>
      </c>
      <c r="P537" s="3" t="s">
        <v>33</v>
      </c>
      <c r="Q537" s="3" t="s">
        <v>26</v>
      </c>
      <c r="S537" s="3" t="s">
        <v>664</v>
      </c>
      <c r="T537" s="3" t="s">
        <v>57</v>
      </c>
      <c r="U537" s="3">
        <v>7</v>
      </c>
      <c r="V537" s="3">
        <v>1</v>
      </c>
      <c r="W537" s="3" t="s">
        <v>34</v>
      </c>
      <c r="X537" s="3" t="s">
        <v>384</v>
      </c>
      <c r="Y537" s="3">
        <v>7</v>
      </c>
      <c r="Z537" s="3">
        <v>1</v>
      </c>
      <c r="AA537" s="3" t="s">
        <v>28</v>
      </c>
      <c r="AB537" s="3" t="s">
        <v>385</v>
      </c>
      <c r="AC537" s="3" t="s">
        <v>664</v>
      </c>
      <c r="AD537" s="3" t="s">
        <v>30</v>
      </c>
      <c r="AE537" s="3" t="s">
        <v>60</v>
      </c>
      <c r="AF537" s="3" t="s">
        <v>664</v>
      </c>
      <c r="AG537" s="3" t="s">
        <v>32</v>
      </c>
    </row>
    <row r="538" spans="1:33">
      <c r="A538" s="1">
        <v>45211.620083912036</v>
      </c>
      <c r="B538" s="3" t="s">
        <v>1024</v>
      </c>
      <c r="C538" s="2">
        <v>34892</v>
      </c>
      <c r="D538" s="3">
        <v>28</v>
      </c>
      <c r="E538" s="3" t="s">
        <v>510</v>
      </c>
      <c r="F538" s="3" t="s">
        <v>520</v>
      </c>
      <c r="G538" s="3" t="s">
        <v>539</v>
      </c>
      <c r="H538" s="2">
        <v>43477</v>
      </c>
      <c r="I538" s="3">
        <v>1</v>
      </c>
      <c r="J538" s="3" t="s">
        <v>541</v>
      </c>
      <c r="K538" s="3" t="s">
        <v>1295</v>
      </c>
      <c r="L538" s="3" t="s">
        <v>792</v>
      </c>
      <c r="M538" s="3">
        <v>60</v>
      </c>
      <c r="N538" s="3">
        <v>71</v>
      </c>
      <c r="O538" s="3">
        <v>174</v>
      </c>
      <c r="P538" s="3" t="s">
        <v>33</v>
      </c>
      <c r="Q538" s="3" t="s">
        <v>26</v>
      </c>
      <c r="S538" s="3" t="s">
        <v>664</v>
      </c>
      <c r="T538" s="3" t="s">
        <v>79</v>
      </c>
      <c r="U538" s="3">
        <v>7</v>
      </c>
      <c r="V538" s="3">
        <v>1</v>
      </c>
      <c r="W538" s="3" t="s">
        <v>26</v>
      </c>
      <c r="AA538" s="3" t="s">
        <v>49</v>
      </c>
      <c r="AB538" s="3" t="s">
        <v>29</v>
      </c>
      <c r="AC538" s="3" t="s">
        <v>664</v>
      </c>
      <c r="AD538" s="3" t="s">
        <v>30</v>
      </c>
      <c r="AE538" s="3" t="s">
        <v>31</v>
      </c>
      <c r="AF538" s="3" t="s">
        <v>664</v>
      </c>
      <c r="AG538" s="3" t="s">
        <v>32</v>
      </c>
    </row>
    <row r="539" spans="1:33">
      <c r="A539" s="1">
        <v>45211.644141701385</v>
      </c>
      <c r="B539" s="3" t="s">
        <v>1024</v>
      </c>
      <c r="C539" s="2">
        <v>31081</v>
      </c>
      <c r="D539" s="3">
        <v>38</v>
      </c>
      <c r="E539" s="3" t="s">
        <v>510</v>
      </c>
      <c r="F539" s="3" t="s">
        <v>520</v>
      </c>
      <c r="G539" s="3" t="s">
        <v>540</v>
      </c>
      <c r="H539" s="2">
        <v>43264</v>
      </c>
      <c r="I539" s="3">
        <v>1</v>
      </c>
      <c r="J539" s="3" t="s">
        <v>542</v>
      </c>
      <c r="K539" s="3">
        <v>2990</v>
      </c>
      <c r="L539" s="3" t="s">
        <v>627</v>
      </c>
      <c r="M539" s="3">
        <v>45</v>
      </c>
      <c r="N539" s="3">
        <v>50</v>
      </c>
      <c r="O539" s="3">
        <v>150</v>
      </c>
      <c r="P539" s="3" t="s">
        <v>33</v>
      </c>
      <c r="Q539" s="3" t="s">
        <v>34</v>
      </c>
      <c r="S539" s="3" t="s">
        <v>664</v>
      </c>
      <c r="T539" s="3" t="s">
        <v>57</v>
      </c>
      <c r="U539" s="3">
        <v>7</v>
      </c>
      <c r="V539" s="3">
        <v>1</v>
      </c>
      <c r="W539" s="3" t="s">
        <v>34</v>
      </c>
      <c r="X539" s="3" t="s">
        <v>689</v>
      </c>
      <c r="Y539" s="3">
        <v>7</v>
      </c>
      <c r="Z539" s="3">
        <v>1</v>
      </c>
      <c r="AA539" s="3" t="s">
        <v>49</v>
      </c>
      <c r="AB539" s="3" t="s">
        <v>185</v>
      </c>
      <c r="AC539" s="3" t="s">
        <v>664</v>
      </c>
      <c r="AD539" s="3" t="s">
        <v>30</v>
      </c>
      <c r="AE539" s="3" t="s">
        <v>60</v>
      </c>
      <c r="AF539" s="3" t="s">
        <v>664</v>
      </c>
      <c r="AG539" s="3" t="s">
        <v>62</v>
      </c>
    </row>
    <row r="540" spans="1:33">
      <c r="A540" s="1">
        <v>45211.646094293981</v>
      </c>
      <c r="B540" s="3" t="s">
        <v>1024</v>
      </c>
      <c r="C540" s="2">
        <v>31407</v>
      </c>
      <c r="D540" s="3">
        <v>37</v>
      </c>
      <c r="E540" s="3" t="s">
        <v>510</v>
      </c>
      <c r="F540" s="3" t="s">
        <v>520</v>
      </c>
      <c r="G540" s="3" t="s">
        <v>538</v>
      </c>
      <c r="H540" s="2">
        <v>44959</v>
      </c>
      <c r="I540" s="3">
        <v>2</v>
      </c>
      <c r="J540" s="3" t="s">
        <v>542</v>
      </c>
      <c r="K540" s="3">
        <v>3630</v>
      </c>
      <c r="L540" s="3" t="s">
        <v>618</v>
      </c>
      <c r="M540" s="3">
        <v>48.5</v>
      </c>
      <c r="N540" s="3">
        <v>59</v>
      </c>
      <c r="O540" s="3">
        <v>1.56</v>
      </c>
      <c r="P540" s="3" t="s">
        <v>33</v>
      </c>
      <c r="Q540" s="3" t="s">
        <v>26</v>
      </c>
      <c r="S540" s="3" t="s">
        <v>664</v>
      </c>
      <c r="T540" s="3" t="s">
        <v>57</v>
      </c>
      <c r="U540" s="3">
        <v>7</v>
      </c>
      <c r="V540" s="3">
        <v>1</v>
      </c>
      <c r="W540" s="3" t="s">
        <v>34</v>
      </c>
      <c r="X540" s="3" t="s">
        <v>58</v>
      </c>
      <c r="Y540" s="3">
        <v>7</v>
      </c>
      <c r="Z540" s="3">
        <v>1</v>
      </c>
      <c r="AA540" s="3" t="s">
        <v>28</v>
      </c>
      <c r="AB540" s="3" t="s">
        <v>29</v>
      </c>
      <c r="AC540" s="3" t="s">
        <v>664</v>
      </c>
      <c r="AD540" s="3" t="s">
        <v>30</v>
      </c>
      <c r="AE540" s="3" t="s">
        <v>31</v>
      </c>
      <c r="AF540" s="3" t="s">
        <v>664</v>
      </c>
      <c r="AG540" s="3" t="s">
        <v>62</v>
      </c>
    </row>
    <row r="541" spans="1:33">
      <c r="A541" s="1">
        <v>45211.708521909721</v>
      </c>
      <c r="B541" s="3" t="s">
        <v>1024</v>
      </c>
      <c r="C541" s="2">
        <v>33860</v>
      </c>
      <c r="D541" s="3">
        <v>31</v>
      </c>
      <c r="E541" s="3" t="s">
        <v>510</v>
      </c>
      <c r="F541" s="3" t="s">
        <v>528</v>
      </c>
      <c r="G541" s="3" t="s">
        <v>539</v>
      </c>
      <c r="H541" s="2">
        <v>44083</v>
      </c>
      <c r="I541" s="3">
        <v>1</v>
      </c>
      <c r="J541" s="3" t="s">
        <v>541</v>
      </c>
      <c r="K541" s="3">
        <v>3750</v>
      </c>
      <c r="L541" s="3">
        <v>37</v>
      </c>
      <c r="M541" s="3">
        <v>117</v>
      </c>
      <c r="N541" s="3">
        <v>124</v>
      </c>
      <c r="O541" s="3">
        <v>168</v>
      </c>
      <c r="P541" s="3" t="s">
        <v>33</v>
      </c>
      <c r="Q541" s="3" t="s">
        <v>34</v>
      </c>
      <c r="R541" s="3" t="s">
        <v>386</v>
      </c>
      <c r="S541" s="3" t="s">
        <v>664</v>
      </c>
      <c r="T541" s="3" t="s">
        <v>79</v>
      </c>
      <c r="U541" s="3">
        <v>7</v>
      </c>
      <c r="V541" s="3">
        <v>1</v>
      </c>
      <c r="W541" s="3" t="s">
        <v>34</v>
      </c>
      <c r="X541" s="3" t="s">
        <v>58</v>
      </c>
      <c r="Y541" s="3">
        <v>7</v>
      </c>
      <c r="Z541" s="3">
        <v>1</v>
      </c>
      <c r="AA541" s="3" t="s">
        <v>42</v>
      </c>
      <c r="AB541" s="3" t="s">
        <v>29</v>
      </c>
      <c r="AC541" s="3" t="s">
        <v>664</v>
      </c>
      <c r="AD541" s="3" t="s">
        <v>30</v>
      </c>
      <c r="AE541" s="3" t="s">
        <v>31</v>
      </c>
      <c r="AF541" s="3" t="s">
        <v>664</v>
      </c>
      <c r="AG541" s="3" t="s">
        <v>32</v>
      </c>
    </row>
    <row r="542" spans="1:33">
      <c r="A542" s="1">
        <v>45211.807083136577</v>
      </c>
      <c r="B542" s="3" t="s">
        <v>1024</v>
      </c>
      <c r="C542" s="2">
        <v>34564</v>
      </c>
      <c r="D542" s="3">
        <v>29</v>
      </c>
      <c r="E542" s="3" t="s">
        <v>510</v>
      </c>
      <c r="F542" s="3" t="s">
        <v>520</v>
      </c>
      <c r="G542" s="3" t="s">
        <v>539</v>
      </c>
      <c r="H542" s="2">
        <v>44027</v>
      </c>
      <c r="I542" s="3">
        <v>1</v>
      </c>
      <c r="J542" s="3" t="s">
        <v>542</v>
      </c>
      <c r="K542" s="3" t="s">
        <v>1296</v>
      </c>
      <c r="L542" s="3" t="s">
        <v>719</v>
      </c>
      <c r="M542" s="3">
        <v>51</v>
      </c>
      <c r="N542" s="3">
        <v>60</v>
      </c>
      <c r="O542" s="3">
        <v>150</v>
      </c>
      <c r="P542" s="3" t="s">
        <v>33</v>
      </c>
      <c r="Q542" s="3" t="s">
        <v>26</v>
      </c>
      <c r="S542" s="3" t="s">
        <v>664</v>
      </c>
      <c r="T542" s="3" t="s">
        <v>27</v>
      </c>
      <c r="U542" s="3">
        <v>7</v>
      </c>
      <c r="V542" s="3">
        <v>1</v>
      </c>
      <c r="W542" s="3" t="s">
        <v>34</v>
      </c>
      <c r="X542" s="3" t="s">
        <v>58</v>
      </c>
      <c r="Y542" s="3">
        <v>7</v>
      </c>
      <c r="Z542" s="3">
        <v>1</v>
      </c>
      <c r="AA542" s="3" t="s">
        <v>49</v>
      </c>
      <c r="AB542" s="3" t="s">
        <v>29</v>
      </c>
      <c r="AC542" s="3" t="s">
        <v>664</v>
      </c>
      <c r="AD542" s="3" t="s">
        <v>30</v>
      </c>
      <c r="AE542" s="3" t="s">
        <v>31</v>
      </c>
      <c r="AF542" s="3" t="s">
        <v>664</v>
      </c>
      <c r="AG542" s="3" t="s">
        <v>32</v>
      </c>
    </row>
    <row r="543" spans="1:33">
      <c r="A543" s="1">
        <v>45211.847854930558</v>
      </c>
      <c r="B543" s="3" t="s">
        <v>1024</v>
      </c>
      <c r="C543" s="2">
        <v>32156</v>
      </c>
      <c r="D543" s="3">
        <v>35</v>
      </c>
      <c r="E543" s="3" t="s">
        <v>510</v>
      </c>
      <c r="F543" s="3" t="s">
        <v>522</v>
      </c>
      <c r="G543" s="3" t="s">
        <v>539</v>
      </c>
      <c r="H543" s="2">
        <v>43635</v>
      </c>
      <c r="I543" s="3">
        <v>1</v>
      </c>
      <c r="J543" s="3" t="s">
        <v>541</v>
      </c>
      <c r="K543" s="3">
        <v>2650</v>
      </c>
      <c r="L543" s="3" t="s">
        <v>662</v>
      </c>
      <c r="M543" s="3">
        <v>50</v>
      </c>
      <c r="N543" s="3">
        <v>62</v>
      </c>
      <c r="O543" s="3">
        <v>154</v>
      </c>
      <c r="P543" s="3" t="s">
        <v>33</v>
      </c>
      <c r="Q543" s="3" t="s">
        <v>34</v>
      </c>
      <c r="R543" s="3" t="s">
        <v>387</v>
      </c>
      <c r="S543" s="3" t="s">
        <v>664</v>
      </c>
      <c r="T543" s="3" t="s">
        <v>79</v>
      </c>
      <c r="U543" s="3">
        <v>7</v>
      </c>
      <c r="V543" s="3">
        <v>1</v>
      </c>
      <c r="W543" s="3" t="s">
        <v>26</v>
      </c>
      <c r="AA543" s="3" t="s">
        <v>49</v>
      </c>
      <c r="AB543" s="3" t="s">
        <v>29</v>
      </c>
      <c r="AC543" s="3" t="s">
        <v>664</v>
      </c>
      <c r="AD543" s="3" t="s">
        <v>37</v>
      </c>
      <c r="AE543" s="3" t="s">
        <v>31</v>
      </c>
      <c r="AF543" s="3" t="s">
        <v>664</v>
      </c>
      <c r="AG543" s="3" t="s">
        <v>39</v>
      </c>
    </row>
    <row r="544" spans="1:33">
      <c r="A544" s="1">
        <v>45211.854905636574</v>
      </c>
      <c r="B544" s="3" t="s">
        <v>1024</v>
      </c>
      <c r="C544" s="2">
        <v>33269</v>
      </c>
      <c r="D544" s="3">
        <v>32</v>
      </c>
      <c r="E544" s="3" t="s">
        <v>510</v>
      </c>
      <c r="F544" s="3" t="s">
        <v>532</v>
      </c>
      <c r="G544" s="3" t="s">
        <v>539</v>
      </c>
      <c r="H544" s="2">
        <v>44658</v>
      </c>
      <c r="I544" s="3">
        <v>1</v>
      </c>
      <c r="J544" s="3" t="s">
        <v>542</v>
      </c>
      <c r="K544" s="3">
        <v>3825</v>
      </c>
      <c r="L544" s="3" t="s">
        <v>649</v>
      </c>
      <c r="M544" s="3">
        <v>55</v>
      </c>
      <c r="N544" s="3">
        <v>68</v>
      </c>
      <c r="O544" s="3">
        <v>167</v>
      </c>
      <c r="P544" s="3" t="s">
        <v>33</v>
      </c>
      <c r="Q544" s="3" t="s">
        <v>26</v>
      </c>
      <c r="S544" s="3" t="s">
        <v>664</v>
      </c>
      <c r="T544" s="3" t="s">
        <v>79</v>
      </c>
      <c r="U544" s="3">
        <v>5</v>
      </c>
      <c r="V544" s="3">
        <v>1</v>
      </c>
      <c r="W544" s="3" t="s">
        <v>34</v>
      </c>
      <c r="X544" s="3" t="s">
        <v>245</v>
      </c>
      <c r="Y544" s="3">
        <v>5</v>
      </c>
      <c r="Z544" s="3">
        <v>1</v>
      </c>
      <c r="AA544" s="3" t="s">
        <v>49</v>
      </c>
      <c r="AB544" s="3" t="s">
        <v>29</v>
      </c>
      <c r="AC544" s="3" t="s">
        <v>664</v>
      </c>
      <c r="AD544" s="3" t="s">
        <v>55</v>
      </c>
      <c r="AE544" s="3" t="s">
        <v>87</v>
      </c>
      <c r="AF544" s="3" t="s">
        <v>664</v>
      </c>
      <c r="AG544" s="3" t="s">
        <v>94</v>
      </c>
    </row>
    <row r="545" spans="1:33">
      <c r="A545" s="1">
        <v>45211.867657696755</v>
      </c>
      <c r="B545" s="3" t="s">
        <v>1024</v>
      </c>
      <c r="C545" s="2">
        <v>30353</v>
      </c>
      <c r="D545" s="3">
        <v>40</v>
      </c>
      <c r="E545" s="3" t="s">
        <v>510</v>
      </c>
      <c r="F545" s="3" t="s">
        <v>531</v>
      </c>
      <c r="G545" s="3" t="s">
        <v>539</v>
      </c>
      <c r="H545" s="2">
        <v>43388</v>
      </c>
      <c r="I545" s="3">
        <v>1</v>
      </c>
      <c r="J545" s="3" t="s">
        <v>542</v>
      </c>
      <c r="K545" s="3" t="s">
        <v>1297</v>
      </c>
      <c r="L545" s="3">
        <v>39</v>
      </c>
      <c r="M545" s="3" t="s">
        <v>1298</v>
      </c>
      <c r="N545" s="3" t="s">
        <v>1299</v>
      </c>
      <c r="O545" s="3">
        <v>158</v>
      </c>
      <c r="P545" s="3" t="s">
        <v>33</v>
      </c>
      <c r="Q545" s="3" t="s">
        <v>26</v>
      </c>
      <c r="S545" s="3" t="s">
        <v>664</v>
      </c>
      <c r="T545" s="3" t="s">
        <v>79</v>
      </c>
      <c r="U545" s="3">
        <v>7</v>
      </c>
      <c r="V545" s="3">
        <v>1</v>
      </c>
      <c r="W545" s="3" t="s">
        <v>26</v>
      </c>
      <c r="AA545" s="3" t="s">
        <v>49</v>
      </c>
      <c r="AB545" s="3" t="s">
        <v>388</v>
      </c>
      <c r="AC545" s="3" t="s">
        <v>664</v>
      </c>
      <c r="AD545" s="3" t="s">
        <v>55</v>
      </c>
      <c r="AE545" s="3" t="s">
        <v>72</v>
      </c>
      <c r="AF545" s="3" t="s">
        <v>664</v>
      </c>
      <c r="AG545" s="3" t="s">
        <v>39</v>
      </c>
    </row>
    <row r="546" spans="1:33">
      <c r="A546" s="1">
        <v>45211.879338182873</v>
      </c>
      <c r="B546" s="3" t="s">
        <v>1024</v>
      </c>
      <c r="C546" s="2">
        <v>30101</v>
      </c>
      <c r="D546" s="3">
        <v>41</v>
      </c>
      <c r="E546" s="3" t="s">
        <v>510</v>
      </c>
      <c r="F546" s="3" t="s">
        <v>528</v>
      </c>
      <c r="G546" s="3" t="s">
        <v>540</v>
      </c>
      <c r="H546" s="2">
        <v>44163</v>
      </c>
      <c r="I546" s="3">
        <v>1</v>
      </c>
      <c r="J546" s="3" t="s">
        <v>541</v>
      </c>
      <c r="K546" s="3">
        <v>2730</v>
      </c>
      <c r="L546" s="3">
        <v>38</v>
      </c>
      <c r="M546" s="3" t="s">
        <v>1300</v>
      </c>
      <c r="N546" s="3" t="s">
        <v>1301</v>
      </c>
      <c r="O546" s="3">
        <v>150</v>
      </c>
      <c r="P546" s="3" t="s">
        <v>173</v>
      </c>
      <c r="Q546" s="3" t="s">
        <v>26</v>
      </c>
      <c r="S546" s="3" t="s">
        <v>664</v>
      </c>
      <c r="T546" s="3" t="s">
        <v>43</v>
      </c>
      <c r="U546" s="3">
        <v>7</v>
      </c>
      <c r="V546" s="3">
        <v>1</v>
      </c>
      <c r="W546" s="3" t="s">
        <v>34</v>
      </c>
      <c r="X546" s="3" t="s">
        <v>58</v>
      </c>
      <c r="Y546" s="3">
        <v>7</v>
      </c>
      <c r="Z546" s="3">
        <v>1</v>
      </c>
      <c r="AA546" s="3" t="s">
        <v>28</v>
      </c>
      <c r="AB546" s="3" t="s">
        <v>29</v>
      </c>
      <c r="AC546" s="3" t="s">
        <v>664</v>
      </c>
      <c r="AD546" s="3" t="s">
        <v>55</v>
      </c>
      <c r="AE546" s="3" t="s">
        <v>38</v>
      </c>
      <c r="AF546" s="3" t="s">
        <v>664</v>
      </c>
      <c r="AG546" s="3" t="s">
        <v>39</v>
      </c>
    </row>
    <row r="547" spans="1:33">
      <c r="A547" s="1">
        <v>45211.879882743058</v>
      </c>
      <c r="B547" s="3" t="s">
        <v>1024</v>
      </c>
      <c r="C547" s="2">
        <v>33485</v>
      </c>
      <c r="D547" s="3">
        <v>32</v>
      </c>
      <c r="E547" s="3" t="s">
        <v>510</v>
      </c>
      <c r="F547" s="3" t="s">
        <v>529</v>
      </c>
      <c r="G547" s="3" t="s">
        <v>540</v>
      </c>
      <c r="H547" s="2">
        <v>44863</v>
      </c>
      <c r="I547" s="3">
        <v>1</v>
      </c>
      <c r="J547" s="3" t="s">
        <v>541</v>
      </c>
      <c r="K547" s="3" t="s">
        <v>1302</v>
      </c>
      <c r="L547" s="3" t="s">
        <v>793</v>
      </c>
      <c r="M547" s="3" t="s">
        <v>1303</v>
      </c>
      <c r="N547" s="3" t="s">
        <v>1304</v>
      </c>
      <c r="O547" s="3">
        <v>169</v>
      </c>
      <c r="P547" s="3" t="s">
        <v>33</v>
      </c>
      <c r="Q547" s="3" t="s">
        <v>26</v>
      </c>
      <c r="S547" s="3" t="s">
        <v>664</v>
      </c>
      <c r="T547" s="3" t="s">
        <v>27</v>
      </c>
      <c r="U547" s="3">
        <v>7</v>
      </c>
      <c r="V547" s="3">
        <v>1</v>
      </c>
      <c r="W547" s="3" t="s">
        <v>26</v>
      </c>
      <c r="AA547" s="3" t="s">
        <v>49</v>
      </c>
      <c r="AB547" s="3" t="s">
        <v>389</v>
      </c>
      <c r="AC547" s="3" t="s">
        <v>664</v>
      </c>
      <c r="AD547" s="3" t="s">
        <v>37</v>
      </c>
      <c r="AE547" s="3" t="s">
        <v>31</v>
      </c>
      <c r="AF547" s="3" t="s">
        <v>664</v>
      </c>
      <c r="AG547" s="3" t="s">
        <v>39</v>
      </c>
    </row>
    <row r="548" spans="1:33">
      <c r="A548" s="1">
        <v>45211.882566458335</v>
      </c>
      <c r="B548" s="3" t="s">
        <v>1024</v>
      </c>
      <c r="C548" s="2">
        <v>29015</v>
      </c>
      <c r="D548" s="3">
        <v>44</v>
      </c>
      <c r="E548" s="3" t="s">
        <v>510</v>
      </c>
      <c r="F548" s="3" t="s">
        <v>521</v>
      </c>
      <c r="G548" s="3" t="s">
        <v>539</v>
      </c>
      <c r="H548" s="2">
        <v>44774</v>
      </c>
      <c r="I548" s="3">
        <v>1</v>
      </c>
      <c r="J548" s="3" t="s">
        <v>541</v>
      </c>
      <c r="K548" s="3">
        <v>3133</v>
      </c>
      <c r="L548" s="3">
        <v>37</v>
      </c>
      <c r="M548" s="3">
        <v>97</v>
      </c>
      <c r="N548" s="3">
        <v>93</v>
      </c>
      <c r="O548" s="3">
        <v>170</v>
      </c>
      <c r="P548" s="3" t="s">
        <v>25</v>
      </c>
      <c r="Q548" s="3" t="s">
        <v>26</v>
      </c>
      <c r="S548" s="3" t="s">
        <v>664</v>
      </c>
      <c r="T548" s="3" t="s">
        <v>27</v>
      </c>
      <c r="U548" s="3">
        <v>7</v>
      </c>
      <c r="V548" s="3">
        <v>1</v>
      </c>
      <c r="W548" s="3" t="s">
        <v>34</v>
      </c>
      <c r="X548" s="3" t="s">
        <v>254</v>
      </c>
      <c r="Y548" s="3">
        <v>7</v>
      </c>
      <c r="Z548" s="3">
        <v>1</v>
      </c>
      <c r="AA548" s="3" t="s">
        <v>36</v>
      </c>
      <c r="AB548" s="3" t="s">
        <v>29</v>
      </c>
      <c r="AC548" s="3" t="s">
        <v>664</v>
      </c>
      <c r="AD548" s="3" t="s">
        <v>37</v>
      </c>
      <c r="AE548" s="3" t="s">
        <v>31</v>
      </c>
      <c r="AF548" s="3" t="s">
        <v>664</v>
      </c>
      <c r="AG548" s="3" t="s">
        <v>62</v>
      </c>
    </row>
    <row r="549" spans="1:33">
      <c r="A549" s="1">
        <v>45211.892946944441</v>
      </c>
      <c r="B549" s="3" t="s">
        <v>1024</v>
      </c>
      <c r="C549" s="2">
        <v>29680</v>
      </c>
      <c r="D549" s="3">
        <v>42</v>
      </c>
      <c r="E549" s="3" t="s">
        <v>510</v>
      </c>
      <c r="F549" s="3" t="s">
        <v>529</v>
      </c>
      <c r="G549" s="3" t="s">
        <v>539</v>
      </c>
      <c r="H549" s="2">
        <v>44707</v>
      </c>
      <c r="I549" s="3">
        <v>3</v>
      </c>
      <c r="J549" s="3" t="s">
        <v>542</v>
      </c>
      <c r="K549" s="3">
        <v>3150</v>
      </c>
      <c r="L549" s="3">
        <v>38</v>
      </c>
      <c r="M549" s="3">
        <v>60</v>
      </c>
      <c r="N549" s="3">
        <v>69</v>
      </c>
      <c r="O549" s="3">
        <v>158</v>
      </c>
      <c r="P549" s="3" t="s">
        <v>33</v>
      </c>
      <c r="Q549" s="3" t="s">
        <v>26</v>
      </c>
      <c r="S549" s="3" t="s">
        <v>664</v>
      </c>
      <c r="T549" s="3" t="s">
        <v>27</v>
      </c>
      <c r="U549" s="3">
        <v>7</v>
      </c>
      <c r="V549" s="3">
        <v>1</v>
      </c>
      <c r="W549" s="3" t="s">
        <v>26</v>
      </c>
      <c r="AA549" s="3" t="s">
        <v>49</v>
      </c>
      <c r="AB549" s="3" t="s">
        <v>390</v>
      </c>
      <c r="AC549" s="3" t="s">
        <v>664</v>
      </c>
      <c r="AD549" s="3" t="s">
        <v>59</v>
      </c>
      <c r="AE549" s="3" t="s">
        <v>31</v>
      </c>
      <c r="AF549" s="3" t="s">
        <v>664</v>
      </c>
      <c r="AG549" s="3" t="s">
        <v>32</v>
      </c>
    </row>
    <row r="550" spans="1:33">
      <c r="A550" s="1">
        <v>45211.896459560186</v>
      </c>
      <c r="B550" s="3" t="s">
        <v>1024</v>
      </c>
      <c r="C550" s="2">
        <v>32116</v>
      </c>
      <c r="D550" s="3">
        <v>35</v>
      </c>
      <c r="E550" s="3" t="s">
        <v>510</v>
      </c>
      <c r="F550" s="3" t="s">
        <v>533</v>
      </c>
      <c r="G550" s="3" t="s">
        <v>539</v>
      </c>
      <c r="H550" s="2">
        <v>43004</v>
      </c>
      <c r="I550" s="3">
        <v>2</v>
      </c>
      <c r="J550" s="3" t="s">
        <v>541</v>
      </c>
      <c r="K550" s="3">
        <v>3000</v>
      </c>
      <c r="L550" s="3" t="s">
        <v>661</v>
      </c>
      <c r="M550" s="3">
        <v>80</v>
      </c>
      <c r="N550" s="3">
        <v>96</v>
      </c>
      <c r="O550" s="3">
        <v>160</v>
      </c>
      <c r="P550" s="3" t="s">
        <v>33</v>
      </c>
      <c r="Q550" s="3" t="s">
        <v>26</v>
      </c>
      <c r="S550" s="3" t="s">
        <v>664</v>
      </c>
      <c r="T550" s="3" t="s">
        <v>206</v>
      </c>
      <c r="U550" s="3">
        <v>7</v>
      </c>
      <c r="V550" s="3">
        <v>1</v>
      </c>
      <c r="W550" s="3" t="s">
        <v>26</v>
      </c>
      <c r="AA550" s="3" t="s">
        <v>49</v>
      </c>
      <c r="AB550" s="3" t="s">
        <v>29</v>
      </c>
      <c r="AC550" s="3" t="s">
        <v>664</v>
      </c>
      <c r="AD550" s="3" t="s">
        <v>55</v>
      </c>
      <c r="AE550" s="3" t="s">
        <v>31</v>
      </c>
      <c r="AF550" s="3" t="s">
        <v>664</v>
      </c>
      <c r="AG550" s="3" t="s">
        <v>32</v>
      </c>
    </row>
    <row r="551" spans="1:33">
      <c r="A551" s="1">
        <v>45211.901103969911</v>
      </c>
      <c r="B551" s="3" t="s">
        <v>1024</v>
      </c>
      <c r="C551" s="2">
        <v>30020</v>
      </c>
      <c r="D551" s="3">
        <v>41</v>
      </c>
      <c r="E551" s="3" t="s">
        <v>510</v>
      </c>
      <c r="F551" s="3" t="s">
        <v>520</v>
      </c>
      <c r="G551" s="3" t="s">
        <v>539</v>
      </c>
      <c r="H551" s="2">
        <v>44008</v>
      </c>
      <c r="I551" s="3">
        <v>1</v>
      </c>
      <c r="J551" s="3" t="s">
        <v>541</v>
      </c>
      <c r="K551" s="3">
        <v>3950</v>
      </c>
      <c r="L551" s="3" t="s">
        <v>661</v>
      </c>
      <c r="M551" s="3">
        <v>67</v>
      </c>
      <c r="N551" s="3">
        <v>84</v>
      </c>
      <c r="O551" s="3">
        <v>163</v>
      </c>
      <c r="P551" s="3" t="s">
        <v>40</v>
      </c>
      <c r="Q551" s="3" t="s">
        <v>34</v>
      </c>
      <c r="R551" s="3" t="s">
        <v>391</v>
      </c>
      <c r="S551" s="3" t="s">
        <v>664</v>
      </c>
      <c r="T551" s="3" t="s">
        <v>140</v>
      </c>
      <c r="U551" s="3">
        <v>7</v>
      </c>
      <c r="V551" s="3">
        <v>1</v>
      </c>
      <c r="W551" s="3" t="s">
        <v>26</v>
      </c>
      <c r="AA551" s="3" t="s">
        <v>42</v>
      </c>
      <c r="AB551" s="3" t="s">
        <v>29</v>
      </c>
      <c r="AC551" s="3" t="s">
        <v>664</v>
      </c>
      <c r="AD551" s="3" t="s">
        <v>30</v>
      </c>
      <c r="AE551" s="3" t="s">
        <v>31</v>
      </c>
      <c r="AF551" s="3" t="s">
        <v>664</v>
      </c>
      <c r="AG551" s="3" t="s">
        <v>62</v>
      </c>
    </row>
    <row r="552" spans="1:33">
      <c r="A552" s="1">
        <v>45211.911789618054</v>
      </c>
      <c r="B552" s="3" t="s">
        <v>1024</v>
      </c>
      <c r="C552" s="2">
        <v>31659</v>
      </c>
      <c r="D552" s="3">
        <v>37</v>
      </c>
      <c r="E552" s="3" t="s">
        <v>510</v>
      </c>
      <c r="F552" s="3" t="s">
        <v>524</v>
      </c>
      <c r="G552" s="3" t="s">
        <v>540</v>
      </c>
      <c r="H552" s="2">
        <v>45089</v>
      </c>
      <c r="I552" s="3">
        <v>2</v>
      </c>
      <c r="J552" s="3" t="s">
        <v>542</v>
      </c>
      <c r="K552" s="3" t="s">
        <v>1305</v>
      </c>
      <c r="L552" s="3">
        <v>36</v>
      </c>
      <c r="M552" s="3">
        <v>92</v>
      </c>
      <c r="N552" s="3">
        <v>96</v>
      </c>
      <c r="O552" s="3">
        <v>160</v>
      </c>
      <c r="P552" s="3" t="s">
        <v>25</v>
      </c>
      <c r="Q552" s="3" t="s">
        <v>34</v>
      </c>
      <c r="R552" s="3" t="s">
        <v>392</v>
      </c>
      <c r="S552" s="3" t="s">
        <v>664</v>
      </c>
      <c r="T552" s="3" t="s">
        <v>57</v>
      </c>
      <c r="U552" s="3">
        <v>7</v>
      </c>
      <c r="V552" s="3">
        <v>1</v>
      </c>
      <c r="W552" s="3" t="s">
        <v>26</v>
      </c>
      <c r="AA552" s="3" t="s">
        <v>36</v>
      </c>
      <c r="AB552" s="3" t="s">
        <v>29</v>
      </c>
      <c r="AC552" s="3" t="s">
        <v>664</v>
      </c>
      <c r="AD552" s="3" t="s">
        <v>37</v>
      </c>
      <c r="AE552" s="3" t="s">
        <v>38</v>
      </c>
      <c r="AF552" s="3" t="s">
        <v>664</v>
      </c>
      <c r="AG552" s="3" t="s">
        <v>32</v>
      </c>
    </row>
    <row r="553" spans="1:33">
      <c r="A553" s="1">
        <v>45211.915536412038</v>
      </c>
      <c r="B553" s="3" t="s">
        <v>1024</v>
      </c>
      <c r="C553" s="2">
        <v>30286</v>
      </c>
      <c r="D553" s="3">
        <v>41</v>
      </c>
      <c r="E553" s="3" t="s">
        <v>510</v>
      </c>
      <c r="F553" s="3" t="s">
        <v>524</v>
      </c>
      <c r="G553" s="3" t="s">
        <v>539</v>
      </c>
      <c r="H553" s="2" t="s">
        <v>1306</v>
      </c>
      <c r="I553" s="3">
        <v>2</v>
      </c>
      <c r="J553" s="3" t="s">
        <v>541</v>
      </c>
      <c r="K553" s="3">
        <v>4560</v>
      </c>
      <c r="L553" s="3" t="s">
        <v>623</v>
      </c>
      <c r="M553" s="3">
        <v>72</v>
      </c>
      <c r="N553" s="3">
        <v>77</v>
      </c>
      <c r="O553" s="3">
        <v>160</v>
      </c>
      <c r="P553" s="3" t="s">
        <v>44</v>
      </c>
      <c r="Q553" s="3" t="s">
        <v>34</v>
      </c>
      <c r="R553" s="3" t="s">
        <v>393</v>
      </c>
      <c r="S553" s="3" t="s">
        <v>664</v>
      </c>
      <c r="T553" s="3" t="s">
        <v>43</v>
      </c>
      <c r="U553" s="3">
        <v>7</v>
      </c>
      <c r="V553" s="3">
        <v>1</v>
      </c>
      <c r="W553" s="3" t="s">
        <v>34</v>
      </c>
      <c r="X553" s="3" t="s">
        <v>336</v>
      </c>
      <c r="Y553" s="3">
        <v>7</v>
      </c>
      <c r="Z553" s="3">
        <v>1</v>
      </c>
      <c r="AA553" s="3" t="s">
        <v>49</v>
      </c>
      <c r="AB553" s="3" t="s">
        <v>29</v>
      </c>
      <c r="AC553" s="3" t="s">
        <v>664</v>
      </c>
      <c r="AD553" s="3" t="s">
        <v>30</v>
      </c>
      <c r="AE553" s="3" t="s">
        <v>31</v>
      </c>
      <c r="AF553" s="3" t="s">
        <v>664</v>
      </c>
      <c r="AG553" s="3" t="s">
        <v>39</v>
      </c>
    </row>
    <row r="554" spans="1:33">
      <c r="A554" s="1">
        <v>45211.935431782404</v>
      </c>
      <c r="B554" s="3" t="s">
        <v>1024</v>
      </c>
      <c r="C554" s="2">
        <v>34132</v>
      </c>
      <c r="D554" s="3">
        <v>30</v>
      </c>
      <c r="E554" s="3" t="s">
        <v>510</v>
      </c>
      <c r="F554" s="3" t="s">
        <v>528</v>
      </c>
      <c r="G554" s="3" t="s">
        <v>539</v>
      </c>
      <c r="H554" s="2">
        <v>44550</v>
      </c>
      <c r="I554" s="3">
        <v>1</v>
      </c>
      <c r="J554" s="3" t="s">
        <v>541</v>
      </c>
      <c r="K554" s="3">
        <v>2975</v>
      </c>
      <c r="L554" s="3" t="s">
        <v>752</v>
      </c>
      <c r="M554" s="3">
        <v>92</v>
      </c>
      <c r="N554" s="3">
        <v>100</v>
      </c>
      <c r="O554" s="3">
        <v>157</v>
      </c>
      <c r="P554" s="3" t="s">
        <v>33</v>
      </c>
      <c r="Q554" s="3" t="s">
        <v>26</v>
      </c>
      <c r="S554" s="3" t="s">
        <v>664</v>
      </c>
      <c r="T554" s="3" t="s">
        <v>79</v>
      </c>
      <c r="U554" s="3">
        <v>7</v>
      </c>
      <c r="V554" s="3">
        <v>1</v>
      </c>
      <c r="W554" s="3" t="s">
        <v>26</v>
      </c>
      <c r="AA554" s="3" t="s">
        <v>49</v>
      </c>
      <c r="AB554" s="3" t="s">
        <v>29</v>
      </c>
      <c r="AC554" s="3" t="s">
        <v>664</v>
      </c>
      <c r="AD554" s="3" t="s">
        <v>55</v>
      </c>
      <c r="AE554" s="3" t="s">
        <v>72</v>
      </c>
      <c r="AF554" s="3" t="s">
        <v>664</v>
      </c>
      <c r="AG554" s="3" t="s">
        <v>94</v>
      </c>
    </row>
    <row r="555" spans="1:33">
      <c r="A555" s="1">
        <v>45211.943235347222</v>
      </c>
      <c r="B555" s="3" t="s">
        <v>1024</v>
      </c>
      <c r="C555" s="2">
        <v>35914</v>
      </c>
      <c r="D555" s="3">
        <v>25</v>
      </c>
      <c r="E555" s="3" t="s">
        <v>510</v>
      </c>
      <c r="F555" s="3" t="s">
        <v>529</v>
      </c>
      <c r="G555" s="3" t="s">
        <v>540</v>
      </c>
      <c r="H555" s="2">
        <v>44917</v>
      </c>
      <c r="I555" s="3">
        <v>1</v>
      </c>
      <c r="J555" s="3" t="s">
        <v>542</v>
      </c>
      <c r="K555" s="3">
        <v>3185</v>
      </c>
      <c r="L555" s="3" t="s">
        <v>1307</v>
      </c>
      <c r="M555" s="3">
        <v>66</v>
      </c>
      <c r="N555" s="3">
        <v>78</v>
      </c>
      <c r="O555" s="3">
        <v>164</v>
      </c>
      <c r="P555" s="3" t="s">
        <v>33</v>
      </c>
      <c r="Q555" s="3" t="s">
        <v>26</v>
      </c>
      <c r="S555" s="3" t="s">
        <v>664</v>
      </c>
      <c r="T555" s="3" t="s">
        <v>79</v>
      </c>
      <c r="U555" s="3">
        <v>6</v>
      </c>
      <c r="V555" s="3">
        <v>1</v>
      </c>
      <c r="W555" s="3" t="s">
        <v>26</v>
      </c>
      <c r="AA555" s="3" t="s">
        <v>28</v>
      </c>
      <c r="AB555" s="3" t="s">
        <v>394</v>
      </c>
      <c r="AC555" s="3" t="s">
        <v>664</v>
      </c>
      <c r="AD555" s="3" t="s">
        <v>30</v>
      </c>
      <c r="AE555" s="3" t="s">
        <v>72</v>
      </c>
      <c r="AF555" s="3" t="s">
        <v>664</v>
      </c>
      <c r="AG555" s="3" t="s">
        <v>39</v>
      </c>
    </row>
    <row r="556" spans="1:33">
      <c r="A556" s="1">
        <v>45211.946636828703</v>
      </c>
      <c r="B556" s="3" t="s">
        <v>1024</v>
      </c>
      <c r="C556" s="2">
        <v>33191</v>
      </c>
      <c r="D556" s="3">
        <v>32</v>
      </c>
      <c r="E556" s="3" t="s">
        <v>510</v>
      </c>
      <c r="F556" s="3" t="s">
        <v>520</v>
      </c>
      <c r="G556" s="3" t="s">
        <v>539</v>
      </c>
      <c r="H556" s="2">
        <v>43374</v>
      </c>
      <c r="I556" s="3">
        <v>3</v>
      </c>
      <c r="J556" s="3" t="s">
        <v>541</v>
      </c>
      <c r="K556" s="3">
        <v>3300</v>
      </c>
      <c r="L556" s="3" t="s">
        <v>638</v>
      </c>
      <c r="M556" s="3">
        <v>75</v>
      </c>
      <c r="N556" s="3">
        <v>82</v>
      </c>
      <c r="O556" s="3">
        <v>152</v>
      </c>
      <c r="P556" s="3" t="s">
        <v>44</v>
      </c>
      <c r="Q556" s="3" t="s">
        <v>26</v>
      </c>
      <c r="S556" s="3" t="s">
        <v>664</v>
      </c>
      <c r="T556" s="3" t="s">
        <v>79</v>
      </c>
      <c r="U556" s="3">
        <v>7</v>
      </c>
      <c r="V556" s="3">
        <v>1</v>
      </c>
      <c r="W556" s="3" t="s">
        <v>26</v>
      </c>
      <c r="AA556" s="3" t="s">
        <v>49</v>
      </c>
      <c r="AB556" s="3" t="s">
        <v>29</v>
      </c>
      <c r="AC556" s="3" t="s">
        <v>664</v>
      </c>
      <c r="AD556" s="3" t="s">
        <v>37</v>
      </c>
      <c r="AE556" s="3" t="s">
        <v>38</v>
      </c>
      <c r="AF556" s="3" t="s">
        <v>664</v>
      </c>
      <c r="AG556" s="3" t="s">
        <v>39</v>
      </c>
    </row>
    <row r="557" spans="1:33">
      <c r="A557" s="1">
        <v>45211.946964270828</v>
      </c>
      <c r="B557" s="3" t="s">
        <v>1024</v>
      </c>
      <c r="C557" s="2">
        <v>31308</v>
      </c>
      <c r="D557" s="3">
        <v>38</v>
      </c>
      <c r="E557" s="3" t="s">
        <v>510</v>
      </c>
      <c r="F557" s="3" t="s">
        <v>520</v>
      </c>
      <c r="G557" s="3" t="s">
        <v>539</v>
      </c>
      <c r="H557" s="2">
        <v>43373</v>
      </c>
      <c r="I557" s="3">
        <v>1</v>
      </c>
      <c r="J557" s="3" t="s">
        <v>541</v>
      </c>
      <c r="K557" s="3">
        <v>3265</v>
      </c>
      <c r="L557" s="3" t="s">
        <v>697</v>
      </c>
      <c r="M557" s="3">
        <v>52</v>
      </c>
      <c r="N557" s="3">
        <v>61</v>
      </c>
      <c r="O557" s="3" t="s">
        <v>1308</v>
      </c>
      <c r="P557" s="3" t="s">
        <v>33</v>
      </c>
      <c r="Q557" s="3" t="s">
        <v>26</v>
      </c>
      <c r="S557" s="3" t="s">
        <v>664</v>
      </c>
      <c r="T557" s="3" t="s">
        <v>43</v>
      </c>
      <c r="U557" s="3">
        <v>7</v>
      </c>
      <c r="V557" s="3">
        <v>1</v>
      </c>
      <c r="W557" s="3" t="s">
        <v>34</v>
      </c>
      <c r="X557" s="3" t="s">
        <v>58</v>
      </c>
      <c r="Y557" s="3">
        <v>7</v>
      </c>
      <c r="Z557" s="3">
        <v>1</v>
      </c>
      <c r="AA557" s="3" t="s">
        <v>54</v>
      </c>
      <c r="AB557" s="3" t="s">
        <v>29</v>
      </c>
      <c r="AC557" s="3" t="s">
        <v>664</v>
      </c>
      <c r="AD557" s="3" t="s">
        <v>30</v>
      </c>
      <c r="AE557" s="3" t="s">
        <v>38</v>
      </c>
      <c r="AF557" s="3" t="s">
        <v>664</v>
      </c>
      <c r="AG557" s="3" t="s">
        <v>39</v>
      </c>
    </row>
    <row r="558" spans="1:33">
      <c r="A558" s="1">
        <v>45211.954976215275</v>
      </c>
      <c r="B558" s="3" t="s">
        <v>1024</v>
      </c>
      <c r="C558" s="2">
        <v>34034</v>
      </c>
      <c r="D558" s="3">
        <v>30</v>
      </c>
      <c r="E558" s="3" t="s">
        <v>510</v>
      </c>
      <c r="F558" s="3" t="s">
        <v>528</v>
      </c>
      <c r="G558" s="3" t="s">
        <v>537</v>
      </c>
      <c r="H558" s="2">
        <v>45071</v>
      </c>
      <c r="I558" s="3">
        <v>5</v>
      </c>
      <c r="J558" s="3" t="s">
        <v>542</v>
      </c>
      <c r="K558" s="3" t="s">
        <v>1309</v>
      </c>
      <c r="L558" s="3" t="s">
        <v>616</v>
      </c>
      <c r="M558" s="3">
        <v>102</v>
      </c>
      <c r="N558" s="3">
        <v>113</v>
      </c>
      <c r="O558" s="3">
        <v>167</v>
      </c>
      <c r="P558" s="3" t="s">
        <v>33</v>
      </c>
      <c r="Q558" s="3" t="s">
        <v>26</v>
      </c>
      <c r="S558" s="3" t="s">
        <v>664</v>
      </c>
      <c r="T558" s="3" t="s">
        <v>79</v>
      </c>
      <c r="U558" s="3">
        <v>7</v>
      </c>
      <c r="V558" s="3">
        <v>1</v>
      </c>
      <c r="W558" s="3" t="s">
        <v>34</v>
      </c>
      <c r="X558" s="3" t="s">
        <v>395</v>
      </c>
      <c r="Y558" s="3">
        <v>7</v>
      </c>
      <c r="Z558" s="3">
        <v>1</v>
      </c>
      <c r="AA558" s="3" t="s">
        <v>36</v>
      </c>
      <c r="AB558" s="3" t="s">
        <v>29</v>
      </c>
      <c r="AC558" s="3" t="s">
        <v>664</v>
      </c>
      <c r="AD558" s="3" t="s">
        <v>55</v>
      </c>
      <c r="AE558" s="3" t="s">
        <v>31</v>
      </c>
      <c r="AF558" s="3" t="s">
        <v>664</v>
      </c>
      <c r="AG558" s="3" t="s">
        <v>39</v>
      </c>
    </row>
    <row r="559" spans="1:33">
      <c r="A559" s="1">
        <v>45211.961878437505</v>
      </c>
      <c r="B559" s="3" t="s">
        <v>1024</v>
      </c>
      <c r="C559" s="2">
        <v>32033</v>
      </c>
      <c r="D559" s="3">
        <v>36</v>
      </c>
      <c r="E559" s="3" t="s">
        <v>510</v>
      </c>
      <c r="F559" s="3" t="s">
        <v>520</v>
      </c>
      <c r="G559" s="3" t="s">
        <v>539</v>
      </c>
      <c r="H559" s="2">
        <v>44628</v>
      </c>
      <c r="I559" s="3">
        <v>2</v>
      </c>
      <c r="J559" s="3" t="s">
        <v>541</v>
      </c>
      <c r="K559" s="3">
        <v>3160</v>
      </c>
      <c r="L559" s="3">
        <v>39</v>
      </c>
      <c r="M559" s="3">
        <v>60</v>
      </c>
      <c r="N559" s="3">
        <v>74</v>
      </c>
      <c r="O559" s="3">
        <v>154</v>
      </c>
      <c r="P559" s="3" t="s">
        <v>40</v>
      </c>
      <c r="Q559" s="3" t="s">
        <v>34</v>
      </c>
      <c r="R559" s="3" t="s">
        <v>396</v>
      </c>
      <c r="S559" s="3" t="s">
        <v>664</v>
      </c>
      <c r="T559" s="3" t="s">
        <v>41</v>
      </c>
      <c r="U559" s="3">
        <v>7</v>
      </c>
      <c r="V559" s="3">
        <v>1</v>
      </c>
      <c r="W559" s="3" t="s">
        <v>34</v>
      </c>
      <c r="X559" s="3" t="s">
        <v>397</v>
      </c>
      <c r="Y559" s="3">
        <v>7</v>
      </c>
      <c r="Z559" s="3">
        <v>1</v>
      </c>
      <c r="AA559" s="3" t="s">
        <v>36</v>
      </c>
      <c r="AB559" s="3" t="s">
        <v>29</v>
      </c>
      <c r="AC559" s="3" t="s">
        <v>664</v>
      </c>
      <c r="AD559" s="3" t="s">
        <v>55</v>
      </c>
      <c r="AE559" s="3" t="s">
        <v>31</v>
      </c>
      <c r="AF559" s="3" t="s">
        <v>664</v>
      </c>
      <c r="AG559" s="3" t="s">
        <v>32</v>
      </c>
    </row>
    <row r="560" spans="1:33">
      <c r="A560" s="1">
        <v>45211.993595624997</v>
      </c>
      <c r="B560" s="3" t="s">
        <v>1024</v>
      </c>
      <c r="C560" s="2">
        <v>32006</v>
      </c>
      <c r="D560" s="3">
        <v>36</v>
      </c>
      <c r="E560" s="3" t="s">
        <v>510</v>
      </c>
      <c r="F560" s="3" t="s">
        <v>529</v>
      </c>
      <c r="G560" s="3" t="s">
        <v>540</v>
      </c>
      <c r="H560" s="2">
        <v>43418</v>
      </c>
      <c r="I560" s="3">
        <v>1</v>
      </c>
      <c r="J560" s="3" t="s">
        <v>542</v>
      </c>
      <c r="K560" s="3">
        <v>3850</v>
      </c>
      <c r="L560" s="3">
        <v>41</v>
      </c>
      <c r="M560" s="3">
        <v>90</v>
      </c>
      <c r="N560" s="3">
        <v>95</v>
      </c>
      <c r="O560" s="3">
        <v>164</v>
      </c>
      <c r="P560" s="3" t="s">
        <v>89</v>
      </c>
      <c r="Q560" s="3" t="s">
        <v>26</v>
      </c>
      <c r="S560" s="3" t="s">
        <v>664</v>
      </c>
      <c r="T560" s="3" t="s">
        <v>79</v>
      </c>
      <c r="U560" s="3">
        <v>7</v>
      </c>
      <c r="V560" s="3">
        <v>1</v>
      </c>
      <c r="W560" s="3" t="s">
        <v>34</v>
      </c>
      <c r="X560" s="3" t="s">
        <v>245</v>
      </c>
      <c r="Y560" s="3">
        <v>7</v>
      </c>
      <c r="Z560" s="3">
        <v>1</v>
      </c>
      <c r="AA560" s="3" t="s">
        <v>36</v>
      </c>
      <c r="AB560" s="3" t="s">
        <v>83</v>
      </c>
      <c r="AC560" s="3" t="s">
        <v>664</v>
      </c>
      <c r="AD560" s="3" t="s">
        <v>37</v>
      </c>
      <c r="AE560" s="3" t="s">
        <v>31</v>
      </c>
      <c r="AF560" s="3" t="s">
        <v>664</v>
      </c>
      <c r="AG560" s="3" t="s">
        <v>62</v>
      </c>
    </row>
    <row r="561" spans="1:33">
      <c r="A561" s="1">
        <v>45212.038333518518</v>
      </c>
      <c r="B561" s="3" t="s">
        <v>1024</v>
      </c>
      <c r="C561" s="2">
        <v>32134</v>
      </c>
      <c r="D561" s="3">
        <v>35</v>
      </c>
      <c r="E561" s="3" t="s">
        <v>510</v>
      </c>
      <c r="F561" s="3" t="s">
        <v>535</v>
      </c>
      <c r="G561" s="3" t="s">
        <v>539</v>
      </c>
      <c r="H561" s="2">
        <v>43966</v>
      </c>
      <c r="I561" s="3">
        <v>3</v>
      </c>
      <c r="J561" s="3" t="s">
        <v>541</v>
      </c>
      <c r="K561" s="3" t="s">
        <v>1310</v>
      </c>
      <c r="L561" s="3">
        <v>39</v>
      </c>
      <c r="M561" s="3">
        <v>70</v>
      </c>
      <c r="N561" s="3">
        <v>80</v>
      </c>
      <c r="O561" s="3">
        <v>160</v>
      </c>
      <c r="P561" s="3" t="s">
        <v>33</v>
      </c>
      <c r="Q561" s="3" t="s">
        <v>26</v>
      </c>
      <c r="S561" s="3" t="s">
        <v>664</v>
      </c>
      <c r="T561" s="3" t="s">
        <v>27</v>
      </c>
      <c r="U561" s="3">
        <v>7</v>
      </c>
      <c r="V561" s="3">
        <v>1</v>
      </c>
      <c r="W561" s="3" t="s">
        <v>34</v>
      </c>
      <c r="X561" s="3" t="s">
        <v>157</v>
      </c>
      <c r="Y561" s="3">
        <v>7</v>
      </c>
      <c r="Z561" s="3">
        <v>1</v>
      </c>
      <c r="AA561" s="3" t="s">
        <v>49</v>
      </c>
      <c r="AB561" s="3" t="s">
        <v>29</v>
      </c>
      <c r="AC561" s="3" t="s">
        <v>664</v>
      </c>
      <c r="AD561" s="3" t="s">
        <v>55</v>
      </c>
      <c r="AE561" s="3" t="s">
        <v>72</v>
      </c>
      <c r="AF561" s="3" t="s">
        <v>664</v>
      </c>
      <c r="AG561" s="3" t="s">
        <v>39</v>
      </c>
    </row>
    <row r="562" spans="1:33">
      <c r="A562" s="1">
        <v>45212.040906724535</v>
      </c>
      <c r="B562" s="3" t="s">
        <v>1024</v>
      </c>
      <c r="C562" s="2">
        <v>34492</v>
      </c>
      <c r="D562" s="3">
        <v>29</v>
      </c>
      <c r="E562" s="3" t="s">
        <v>510</v>
      </c>
      <c r="F562" s="3" t="s">
        <v>521</v>
      </c>
      <c r="G562" s="3" t="s">
        <v>539</v>
      </c>
      <c r="H562" s="2">
        <v>44716</v>
      </c>
      <c r="I562" s="3">
        <v>1</v>
      </c>
      <c r="J562" s="3" t="s">
        <v>541</v>
      </c>
      <c r="K562" s="3" t="s">
        <v>1311</v>
      </c>
      <c r="L562" s="3" t="s">
        <v>661</v>
      </c>
      <c r="M562" s="3">
        <v>59</v>
      </c>
      <c r="N562" s="3">
        <v>68</v>
      </c>
      <c r="O562" s="3">
        <v>150</v>
      </c>
      <c r="P562" s="3" t="s">
        <v>33</v>
      </c>
      <c r="Q562" s="3" t="s">
        <v>26</v>
      </c>
      <c r="S562" s="3" t="s">
        <v>664</v>
      </c>
      <c r="T562" s="3" t="s">
        <v>79</v>
      </c>
      <c r="U562" s="3">
        <v>7</v>
      </c>
      <c r="V562" s="3">
        <v>1</v>
      </c>
      <c r="W562" s="3" t="s">
        <v>34</v>
      </c>
      <c r="X562" s="3" t="s">
        <v>398</v>
      </c>
      <c r="Y562" s="3">
        <v>7</v>
      </c>
      <c r="Z562" s="3">
        <v>1</v>
      </c>
      <c r="AA562" s="3" t="s">
        <v>49</v>
      </c>
      <c r="AB562" s="3" t="s">
        <v>29</v>
      </c>
      <c r="AC562" s="3" t="s">
        <v>664</v>
      </c>
      <c r="AD562" s="3" t="s">
        <v>55</v>
      </c>
      <c r="AE562" s="3" t="s">
        <v>60</v>
      </c>
      <c r="AF562" s="3" t="s">
        <v>664</v>
      </c>
      <c r="AG562" s="3" t="s">
        <v>32</v>
      </c>
    </row>
    <row r="563" spans="1:33">
      <c r="A563" s="1">
        <v>45212.061918263891</v>
      </c>
      <c r="B563" s="3" t="s">
        <v>1024</v>
      </c>
      <c r="C563" s="2">
        <v>32786</v>
      </c>
      <c r="D563" s="3">
        <v>34</v>
      </c>
      <c r="E563" s="3" t="s">
        <v>510</v>
      </c>
      <c r="F563" s="3" t="s">
        <v>534</v>
      </c>
      <c r="G563" s="3" t="s">
        <v>539</v>
      </c>
      <c r="H563" s="2">
        <v>44810</v>
      </c>
      <c r="I563" s="3">
        <v>1</v>
      </c>
      <c r="J563" s="3" t="s">
        <v>541</v>
      </c>
      <c r="K563" s="3" t="s">
        <v>1312</v>
      </c>
      <c r="L563" s="3" t="s">
        <v>794</v>
      </c>
      <c r="M563" s="3">
        <v>74</v>
      </c>
      <c r="N563" s="3">
        <v>91</v>
      </c>
      <c r="O563" s="3">
        <v>174</v>
      </c>
      <c r="P563" s="3" t="s">
        <v>33</v>
      </c>
      <c r="Q563" s="3" t="s">
        <v>26</v>
      </c>
      <c r="S563" s="3" t="s">
        <v>664</v>
      </c>
      <c r="T563" s="3" t="s">
        <v>79</v>
      </c>
      <c r="U563" s="3">
        <v>7</v>
      </c>
      <c r="V563" s="3">
        <v>1</v>
      </c>
      <c r="W563" s="3" t="s">
        <v>26</v>
      </c>
      <c r="AA563" s="3" t="s">
        <v>49</v>
      </c>
      <c r="AB563" s="3" t="s">
        <v>185</v>
      </c>
      <c r="AC563" s="3" t="s">
        <v>664</v>
      </c>
      <c r="AD563" s="3" t="s">
        <v>55</v>
      </c>
      <c r="AE563" s="3" t="s">
        <v>31</v>
      </c>
      <c r="AF563" s="3" t="s">
        <v>664</v>
      </c>
      <c r="AG563" s="3" t="s">
        <v>48</v>
      </c>
    </row>
    <row r="564" spans="1:33">
      <c r="A564" s="1">
        <v>45212.269985740742</v>
      </c>
      <c r="B564" s="3" t="s">
        <v>1024</v>
      </c>
      <c r="C564" s="2">
        <v>31315</v>
      </c>
      <c r="D564" s="3">
        <v>38</v>
      </c>
      <c r="E564" s="3" t="s">
        <v>510</v>
      </c>
      <c r="F564" s="3" t="s">
        <v>529</v>
      </c>
      <c r="G564" s="3" t="s">
        <v>539</v>
      </c>
      <c r="H564" s="2">
        <v>43400</v>
      </c>
      <c r="I564" s="3">
        <v>3</v>
      </c>
      <c r="J564" s="3" t="s">
        <v>541</v>
      </c>
      <c r="K564" s="3">
        <v>3350</v>
      </c>
      <c r="L564" s="3">
        <v>37</v>
      </c>
      <c r="M564" s="3">
        <v>74</v>
      </c>
      <c r="N564" s="3">
        <v>95</v>
      </c>
      <c r="O564" s="3">
        <v>163</v>
      </c>
      <c r="P564" s="3" t="s">
        <v>44</v>
      </c>
      <c r="Q564" s="3" t="s">
        <v>26</v>
      </c>
      <c r="S564" s="3" t="s">
        <v>664</v>
      </c>
      <c r="T564" s="3" t="s">
        <v>27</v>
      </c>
      <c r="U564" s="3">
        <v>3</v>
      </c>
      <c r="V564" s="3">
        <v>1</v>
      </c>
      <c r="W564" s="3" t="s">
        <v>26</v>
      </c>
      <c r="AA564" s="3" t="s">
        <v>49</v>
      </c>
      <c r="AB564" s="3" t="s">
        <v>29</v>
      </c>
      <c r="AC564" s="3" t="s">
        <v>664</v>
      </c>
      <c r="AD564" s="3" t="s">
        <v>55</v>
      </c>
      <c r="AE564" s="3" t="s">
        <v>72</v>
      </c>
      <c r="AF564" s="3" t="s">
        <v>664</v>
      </c>
      <c r="AG564" s="3" t="s">
        <v>94</v>
      </c>
    </row>
    <row r="565" spans="1:33">
      <c r="A565" s="1">
        <v>45212.310260509257</v>
      </c>
      <c r="B565" s="3" t="s">
        <v>1024</v>
      </c>
      <c r="C565" s="2">
        <v>34056</v>
      </c>
      <c r="D565" s="3">
        <v>30</v>
      </c>
      <c r="E565" s="3" t="s">
        <v>510</v>
      </c>
      <c r="F565" s="3" t="s">
        <v>527</v>
      </c>
      <c r="G565" s="3" t="s">
        <v>537</v>
      </c>
      <c r="H565" s="2">
        <v>44202</v>
      </c>
      <c r="I565" s="3">
        <v>3</v>
      </c>
      <c r="J565" s="3" t="s">
        <v>542</v>
      </c>
      <c r="K565" s="3" t="s">
        <v>1313</v>
      </c>
      <c r="L565" s="3">
        <v>39</v>
      </c>
      <c r="M565" s="3">
        <v>95</v>
      </c>
      <c r="N565" s="3">
        <v>105</v>
      </c>
      <c r="O565" s="3">
        <v>160</v>
      </c>
      <c r="P565" s="3" t="s">
        <v>33</v>
      </c>
      <c r="Q565" s="3" t="s">
        <v>26</v>
      </c>
      <c r="S565" s="3" t="s">
        <v>664</v>
      </c>
      <c r="T565" s="3" t="s">
        <v>166</v>
      </c>
      <c r="U565" s="3">
        <v>7</v>
      </c>
      <c r="V565" s="3">
        <v>1</v>
      </c>
      <c r="W565" s="3" t="s">
        <v>26</v>
      </c>
      <c r="AA565" s="3" t="s">
        <v>49</v>
      </c>
      <c r="AB565" s="3" t="s">
        <v>29</v>
      </c>
      <c r="AC565" s="3" t="s">
        <v>664</v>
      </c>
      <c r="AD565" s="3" t="s">
        <v>30</v>
      </c>
      <c r="AE565" s="3" t="s">
        <v>31</v>
      </c>
      <c r="AF565" s="3" t="s">
        <v>664</v>
      </c>
      <c r="AG565" s="3" t="s">
        <v>48</v>
      </c>
    </row>
    <row r="566" spans="1:33">
      <c r="A566" s="1">
        <v>45212.312935833332</v>
      </c>
      <c r="B566" s="3" t="s">
        <v>1024</v>
      </c>
      <c r="C566" s="2">
        <v>32696</v>
      </c>
      <c r="D566" s="3">
        <v>34</v>
      </c>
      <c r="E566" s="3" t="s">
        <v>510</v>
      </c>
      <c r="F566" s="3" t="s">
        <v>528</v>
      </c>
      <c r="G566" s="3" t="s">
        <v>539</v>
      </c>
      <c r="H566" s="2">
        <v>44790</v>
      </c>
      <c r="I566" s="3">
        <v>1</v>
      </c>
      <c r="J566" s="3" t="s">
        <v>542</v>
      </c>
      <c r="K566" s="3">
        <v>3300</v>
      </c>
      <c r="L566" s="3">
        <v>40</v>
      </c>
      <c r="M566" s="3">
        <v>75</v>
      </c>
      <c r="N566" s="3">
        <v>85</v>
      </c>
      <c r="O566" s="3">
        <v>161</v>
      </c>
      <c r="P566" s="3" t="s">
        <v>33</v>
      </c>
      <c r="Q566" s="3" t="s">
        <v>26</v>
      </c>
      <c r="S566" s="3" t="s">
        <v>664</v>
      </c>
      <c r="T566" s="3" t="s">
        <v>43</v>
      </c>
      <c r="U566" s="3">
        <v>7</v>
      </c>
      <c r="V566" s="3">
        <v>1</v>
      </c>
      <c r="W566" s="3" t="s">
        <v>34</v>
      </c>
      <c r="X566" s="3" t="s">
        <v>399</v>
      </c>
      <c r="Y566" s="3">
        <v>7</v>
      </c>
      <c r="Z566" s="3">
        <v>2</v>
      </c>
      <c r="AA566" s="3" t="s">
        <v>49</v>
      </c>
      <c r="AB566" s="3" t="s">
        <v>263</v>
      </c>
      <c r="AC566" s="3" t="s">
        <v>664</v>
      </c>
      <c r="AD566" s="3" t="s">
        <v>30</v>
      </c>
      <c r="AE566" s="3" t="s">
        <v>31</v>
      </c>
      <c r="AF566" s="3" t="s">
        <v>664</v>
      </c>
      <c r="AG566" s="3" t="s">
        <v>32</v>
      </c>
    </row>
    <row r="567" spans="1:33">
      <c r="A567" s="1">
        <v>45212.31570673611</v>
      </c>
      <c r="B567" s="3" t="s">
        <v>1024</v>
      </c>
      <c r="C567" s="2">
        <v>34411</v>
      </c>
      <c r="D567" s="3">
        <v>29</v>
      </c>
      <c r="E567" s="3" t="s">
        <v>510</v>
      </c>
      <c r="F567" s="3" t="s">
        <v>523</v>
      </c>
      <c r="G567" s="3" t="s">
        <v>537</v>
      </c>
      <c r="H567" s="2">
        <v>44918</v>
      </c>
      <c r="I567" s="3">
        <v>2</v>
      </c>
      <c r="J567" s="3" t="s">
        <v>542</v>
      </c>
      <c r="K567" s="3" t="s">
        <v>1314</v>
      </c>
      <c r="L567" s="3" t="s">
        <v>618</v>
      </c>
      <c r="M567" s="3">
        <v>75</v>
      </c>
      <c r="N567" s="3">
        <v>85</v>
      </c>
      <c r="O567" s="3">
        <v>160</v>
      </c>
      <c r="P567" s="3" t="s">
        <v>33</v>
      </c>
      <c r="Q567" s="3" t="s">
        <v>26</v>
      </c>
      <c r="S567" s="3" t="s">
        <v>664</v>
      </c>
      <c r="T567" s="3" t="s">
        <v>79</v>
      </c>
      <c r="U567" s="3">
        <v>7</v>
      </c>
      <c r="V567" s="3">
        <v>1</v>
      </c>
      <c r="W567" s="3" t="s">
        <v>26</v>
      </c>
      <c r="AA567" s="3" t="s">
        <v>36</v>
      </c>
      <c r="AB567" s="3" t="s">
        <v>29</v>
      </c>
      <c r="AC567" s="3" t="s">
        <v>664</v>
      </c>
      <c r="AD567" s="3" t="s">
        <v>30</v>
      </c>
      <c r="AE567" s="3" t="s">
        <v>38</v>
      </c>
      <c r="AF567" s="3" t="s">
        <v>664</v>
      </c>
      <c r="AG567" s="3" t="s">
        <v>62</v>
      </c>
    </row>
    <row r="568" spans="1:33">
      <c r="A568" s="1">
        <v>45212.32234712963</v>
      </c>
      <c r="B568" s="3" t="s">
        <v>1024</v>
      </c>
      <c r="C568" s="2">
        <v>31103</v>
      </c>
      <c r="D568" s="3">
        <v>38</v>
      </c>
      <c r="E568" s="3" t="s">
        <v>510</v>
      </c>
      <c r="F568" s="3" t="s">
        <v>529</v>
      </c>
      <c r="G568" s="3" t="s">
        <v>540</v>
      </c>
      <c r="H568" s="2">
        <v>43658</v>
      </c>
      <c r="I568" s="3">
        <v>2</v>
      </c>
      <c r="J568" s="3" t="s">
        <v>542</v>
      </c>
      <c r="K568" s="3">
        <v>2775</v>
      </c>
      <c r="L568" s="3">
        <v>39</v>
      </c>
      <c r="M568" s="3">
        <v>53</v>
      </c>
      <c r="N568" s="3">
        <v>73</v>
      </c>
      <c r="O568" s="3">
        <v>162</v>
      </c>
      <c r="P568" s="3" t="s">
        <v>33</v>
      </c>
      <c r="Q568" s="3" t="s">
        <v>26</v>
      </c>
      <c r="S568" s="3" t="s">
        <v>664</v>
      </c>
      <c r="T568" s="3" t="s">
        <v>79</v>
      </c>
      <c r="U568" s="3">
        <v>7</v>
      </c>
      <c r="V568" s="3">
        <v>1</v>
      </c>
      <c r="W568" s="3" t="s">
        <v>34</v>
      </c>
      <c r="X568" s="3" t="s">
        <v>400</v>
      </c>
      <c r="Y568" s="3">
        <v>7</v>
      </c>
      <c r="Z568" s="3">
        <v>1</v>
      </c>
      <c r="AA568" s="3" t="s">
        <v>49</v>
      </c>
      <c r="AB568" s="3" t="s">
        <v>29</v>
      </c>
      <c r="AC568" s="3" t="s">
        <v>664</v>
      </c>
      <c r="AD568" s="3" t="s">
        <v>30</v>
      </c>
      <c r="AE568" s="3" t="s">
        <v>38</v>
      </c>
      <c r="AF568" s="3" t="s">
        <v>664</v>
      </c>
      <c r="AG568" s="3" t="s">
        <v>39</v>
      </c>
    </row>
    <row r="569" spans="1:33">
      <c r="A569" s="1">
        <v>45212.388354745373</v>
      </c>
      <c r="B569" s="3" t="s">
        <v>1024</v>
      </c>
      <c r="C569" s="2">
        <v>32730</v>
      </c>
      <c r="D569" s="3">
        <v>34</v>
      </c>
      <c r="E569" s="3" t="s">
        <v>510</v>
      </c>
      <c r="F569" s="3" t="s">
        <v>528</v>
      </c>
      <c r="G569" s="3" t="s">
        <v>539</v>
      </c>
      <c r="H569" s="2">
        <v>44043</v>
      </c>
      <c r="I569" s="3">
        <v>1</v>
      </c>
      <c r="J569" s="3" t="s">
        <v>542</v>
      </c>
      <c r="K569" s="3" t="s">
        <v>1179</v>
      </c>
      <c r="L569" s="3" t="s">
        <v>795</v>
      </c>
      <c r="M569" s="3">
        <v>92</v>
      </c>
      <c r="N569" s="3">
        <v>110</v>
      </c>
      <c r="O569" s="3">
        <v>161</v>
      </c>
      <c r="P569" s="3" t="s">
        <v>33</v>
      </c>
      <c r="Q569" s="3" t="s">
        <v>26</v>
      </c>
      <c r="S569" s="3" t="s">
        <v>664</v>
      </c>
      <c r="T569" s="3" t="s">
        <v>56</v>
      </c>
      <c r="U569" s="3">
        <v>7</v>
      </c>
      <c r="V569" s="3">
        <v>1</v>
      </c>
      <c r="W569" s="3" t="s">
        <v>26</v>
      </c>
      <c r="AA569" s="3" t="s">
        <v>42</v>
      </c>
      <c r="AB569" s="3" t="s">
        <v>29</v>
      </c>
      <c r="AC569" s="3" t="s">
        <v>664</v>
      </c>
      <c r="AD569" s="3" t="s">
        <v>30</v>
      </c>
      <c r="AE569" s="3" t="s">
        <v>31</v>
      </c>
      <c r="AF569" s="3" t="s">
        <v>664</v>
      </c>
      <c r="AG569" s="3" t="s">
        <v>39</v>
      </c>
    </row>
    <row r="570" spans="1:33">
      <c r="A570" s="1">
        <v>45212.432528993057</v>
      </c>
      <c r="B570" s="3" t="s">
        <v>1024</v>
      </c>
      <c r="C570" s="2">
        <v>31386</v>
      </c>
      <c r="D570" s="3">
        <v>37</v>
      </c>
      <c r="E570" s="3" t="s">
        <v>510</v>
      </c>
      <c r="F570" s="3" t="s">
        <v>529</v>
      </c>
      <c r="G570" s="3" t="s">
        <v>539</v>
      </c>
      <c r="H570" s="2">
        <v>43318</v>
      </c>
      <c r="I570" s="3">
        <v>1</v>
      </c>
      <c r="J570" s="3" t="s">
        <v>541</v>
      </c>
      <c r="K570" s="3">
        <v>3.2</v>
      </c>
      <c r="L570" s="3" t="s">
        <v>796</v>
      </c>
      <c r="M570" s="3">
        <v>51</v>
      </c>
      <c r="N570" s="3">
        <v>58</v>
      </c>
      <c r="O570" s="3">
        <v>154</v>
      </c>
      <c r="P570" s="3" t="s">
        <v>33</v>
      </c>
      <c r="Q570" s="3" t="s">
        <v>34</v>
      </c>
      <c r="R570" s="3" t="s">
        <v>797</v>
      </c>
      <c r="S570" s="3" t="s">
        <v>664</v>
      </c>
      <c r="T570" s="3" t="s">
        <v>655</v>
      </c>
      <c r="U570" s="3">
        <v>3</v>
      </c>
      <c r="V570" s="3">
        <v>1</v>
      </c>
      <c r="W570" s="3" t="s">
        <v>26</v>
      </c>
      <c r="AA570" s="3" t="s">
        <v>49</v>
      </c>
      <c r="AB570" s="3" t="s">
        <v>83</v>
      </c>
      <c r="AC570" s="3" t="s">
        <v>664</v>
      </c>
      <c r="AD570" s="3" t="s">
        <v>55</v>
      </c>
      <c r="AE570" s="3" t="s">
        <v>31</v>
      </c>
      <c r="AF570" s="3" t="s">
        <v>664</v>
      </c>
      <c r="AG570" s="3" t="s">
        <v>39</v>
      </c>
    </row>
    <row r="571" spans="1:33">
      <c r="A571" s="1">
        <v>45212.441965428239</v>
      </c>
      <c r="B571" s="3" t="s">
        <v>1024</v>
      </c>
      <c r="C571" s="2">
        <v>30488</v>
      </c>
      <c r="D571" s="3">
        <v>40</v>
      </c>
      <c r="E571" s="3" t="s">
        <v>510</v>
      </c>
      <c r="F571" s="3" t="s">
        <v>529</v>
      </c>
      <c r="G571" s="3" t="s">
        <v>539</v>
      </c>
      <c r="H571" s="2">
        <v>44609</v>
      </c>
      <c r="I571" s="3">
        <v>3</v>
      </c>
      <c r="J571" s="3" t="s">
        <v>541</v>
      </c>
      <c r="K571" s="3">
        <v>3260</v>
      </c>
      <c r="L571" s="3">
        <v>38</v>
      </c>
      <c r="M571" s="3">
        <v>80</v>
      </c>
      <c r="N571" s="3">
        <v>90</v>
      </c>
      <c r="O571" s="3">
        <v>165</v>
      </c>
      <c r="P571" s="3" t="s">
        <v>33</v>
      </c>
      <c r="Q571" s="3" t="s">
        <v>26</v>
      </c>
      <c r="S571" s="3" t="s">
        <v>664</v>
      </c>
      <c r="T571" s="3" t="s">
        <v>206</v>
      </c>
      <c r="U571" s="3">
        <v>7</v>
      </c>
      <c r="V571" s="3">
        <v>1</v>
      </c>
      <c r="W571" s="3" t="s">
        <v>34</v>
      </c>
      <c r="X571" s="3" t="s">
        <v>58</v>
      </c>
      <c r="Y571" s="3">
        <v>5</v>
      </c>
      <c r="Z571" s="3">
        <v>1</v>
      </c>
      <c r="AA571" s="3" t="s">
        <v>49</v>
      </c>
      <c r="AB571" s="3" t="s">
        <v>29</v>
      </c>
      <c r="AC571" s="3" t="s">
        <v>664</v>
      </c>
      <c r="AD571" s="3" t="s">
        <v>37</v>
      </c>
      <c r="AE571" s="3" t="s">
        <v>60</v>
      </c>
      <c r="AF571" s="3" t="s">
        <v>664</v>
      </c>
      <c r="AG571" s="3" t="s">
        <v>39</v>
      </c>
    </row>
    <row r="572" spans="1:33">
      <c r="A572" s="1">
        <v>45212.46892269676</v>
      </c>
      <c r="B572" s="3" t="s">
        <v>1024</v>
      </c>
      <c r="C572" s="2">
        <v>35397</v>
      </c>
      <c r="D572" s="3">
        <v>26</v>
      </c>
      <c r="E572" s="3" t="s">
        <v>510</v>
      </c>
      <c r="F572" s="3" t="s">
        <v>520</v>
      </c>
      <c r="G572" s="3" t="s">
        <v>538</v>
      </c>
      <c r="H572" s="2">
        <v>44912</v>
      </c>
      <c r="I572" s="3">
        <v>1</v>
      </c>
      <c r="J572" s="3" t="s">
        <v>541</v>
      </c>
      <c r="K572" s="3" t="s">
        <v>1142</v>
      </c>
      <c r="L572" s="3" t="s">
        <v>680</v>
      </c>
      <c r="M572" s="3">
        <v>99</v>
      </c>
      <c r="N572" s="3">
        <v>89</v>
      </c>
      <c r="O572" s="3">
        <v>164</v>
      </c>
      <c r="P572" s="3" t="s">
        <v>33</v>
      </c>
      <c r="Q572" s="3" t="s">
        <v>26</v>
      </c>
      <c r="S572" s="3" t="s">
        <v>664</v>
      </c>
      <c r="T572" s="3" t="s">
        <v>632</v>
      </c>
      <c r="U572" s="3">
        <v>7</v>
      </c>
      <c r="V572" s="3">
        <v>1</v>
      </c>
      <c r="W572" s="3" t="s">
        <v>26</v>
      </c>
      <c r="AA572" s="3" t="s">
        <v>49</v>
      </c>
      <c r="AB572" s="3" t="s">
        <v>555</v>
      </c>
      <c r="AC572" s="3" t="s">
        <v>664</v>
      </c>
      <c r="AD572" s="3" t="s">
        <v>30</v>
      </c>
      <c r="AE572" s="3" t="s">
        <v>60</v>
      </c>
      <c r="AF572" s="3" t="s">
        <v>664</v>
      </c>
      <c r="AG572" s="3" t="s">
        <v>62</v>
      </c>
    </row>
    <row r="573" spans="1:33">
      <c r="A573" s="1">
        <v>45212.525610069446</v>
      </c>
      <c r="B573" s="3" t="s">
        <v>1024</v>
      </c>
      <c r="C573" s="2">
        <v>29291</v>
      </c>
      <c r="D573" s="3">
        <v>43</v>
      </c>
      <c r="E573" s="3" t="s">
        <v>510</v>
      </c>
      <c r="F573" s="3" t="s">
        <v>523</v>
      </c>
      <c r="G573" s="3" t="s">
        <v>539</v>
      </c>
      <c r="H573" s="2">
        <v>44811</v>
      </c>
      <c r="I573" s="3">
        <v>2</v>
      </c>
      <c r="J573" s="3" t="s">
        <v>541</v>
      </c>
      <c r="K573" s="3">
        <v>3240</v>
      </c>
      <c r="L573" s="3" t="s">
        <v>661</v>
      </c>
      <c r="M573" s="3">
        <v>69</v>
      </c>
      <c r="N573" s="3">
        <v>81</v>
      </c>
      <c r="O573" s="3">
        <v>163</v>
      </c>
      <c r="P573" s="3" t="s">
        <v>33</v>
      </c>
      <c r="Q573" s="3" t="s">
        <v>26</v>
      </c>
      <c r="S573" s="3" t="s">
        <v>664</v>
      </c>
      <c r="T573" s="3" t="s">
        <v>57</v>
      </c>
      <c r="U573" s="3">
        <v>7</v>
      </c>
      <c r="V573" s="3">
        <v>1</v>
      </c>
      <c r="W573" s="3" t="s">
        <v>34</v>
      </c>
      <c r="X573" s="3" t="s">
        <v>401</v>
      </c>
      <c r="Y573" s="3">
        <v>7</v>
      </c>
      <c r="Z573" s="3">
        <v>1</v>
      </c>
      <c r="AA573" s="3" t="s">
        <v>49</v>
      </c>
      <c r="AB573" s="3" t="s">
        <v>29</v>
      </c>
      <c r="AC573" s="3" t="s">
        <v>664</v>
      </c>
      <c r="AD573" s="3" t="s">
        <v>30</v>
      </c>
      <c r="AE573" s="3" t="s">
        <v>38</v>
      </c>
      <c r="AF573" s="3" t="s">
        <v>664</v>
      </c>
      <c r="AG573" s="3" t="s">
        <v>39</v>
      </c>
    </row>
    <row r="574" spans="1:33">
      <c r="A574" s="1">
        <v>45212.584585543984</v>
      </c>
      <c r="B574" s="3" t="s">
        <v>1024</v>
      </c>
      <c r="C574" s="2">
        <v>36793</v>
      </c>
      <c r="D574" s="3">
        <v>23</v>
      </c>
      <c r="E574" s="3" t="s">
        <v>510</v>
      </c>
      <c r="F574" s="3" t="s">
        <v>520</v>
      </c>
      <c r="G574" s="3" t="s">
        <v>538</v>
      </c>
      <c r="H574" s="2">
        <v>44131</v>
      </c>
      <c r="I574" s="3">
        <v>1</v>
      </c>
      <c r="J574" s="3" t="s">
        <v>541</v>
      </c>
      <c r="K574" s="3" t="s">
        <v>1315</v>
      </c>
      <c r="L574" s="3" t="s">
        <v>798</v>
      </c>
      <c r="M574" s="3" t="s">
        <v>1316</v>
      </c>
      <c r="N574" s="3" t="s">
        <v>1317</v>
      </c>
      <c r="O574" s="3" t="s">
        <v>1318</v>
      </c>
      <c r="P574" s="3" t="s">
        <v>123</v>
      </c>
      <c r="Q574" s="3" t="s">
        <v>34</v>
      </c>
      <c r="R574" s="3" t="s">
        <v>402</v>
      </c>
      <c r="S574" s="3" t="s">
        <v>664</v>
      </c>
      <c r="T574" s="3" t="s">
        <v>41</v>
      </c>
      <c r="U574" s="3">
        <v>7</v>
      </c>
      <c r="V574" s="3">
        <v>1</v>
      </c>
      <c r="W574" s="3" t="s">
        <v>34</v>
      </c>
      <c r="X574" s="3" t="s">
        <v>403</v>
      </c>
      <c r="Y574" s="3">
        <v>7</v>
      </c>
      <c r="Z574" s="3">
        <v>2</v>
      </c>
      <c r="AA574" s="3" t="s">
        <v>49</v>
      </c>
      <c r="AB574" s="3" t="s">
        <v>29</v>
      </c>
      <c r="AC574" s="3" t="s">
        <v>664</v>
      </c>
      <c r="AD574" s="3" t="s">
        <v>30</v>
      </c>
      <c r="AE574" s="3" t="s">
        <v>72</v>
      </c>
      <c r="AF574" s="3" t="s">
        <v>664</v>
      </c>
      <c r="AG574" s="3" t="s">
        <v>32</v>
      </c>
    </row>
    <row r="575" spans="1:33">
      <c r="A575" s="1">
        <v>45212.593996759257</v>
      </c>
      <c r="B575" s="3" t="s">
        <v>1024</v>
      </c>
      <c r="C575" s="2">
        <v>30736</v>
      </c>
      <c r="D575" s="3">
        <v>39</v>
      </c>
      <c r="E575" s="3" t="s">
        <v>510</v>
      </c>
      <c r="F575" s="3" t="s">
        <v>520</v>
      </c>
      <c r="G575" s="3" t="s">
        <v>539</v>
      </c>
      <c r="H575" s="2">
        <v>43762</v>
      </c>
      <c r="I575" s="3">
        <v>1</v>
      </c>
      <c r="J575" s="3" t="s">
        <v>542</v>
      </c>
      <c r="K575" s="3">
        <v>3190</v>
      </c>
      <c r="L575" s="3" t="s">
        <v>636</v>
      </c>
      <c r="M575" s="3">
        <v>110</v>
      </c>
      <c r="N575" s="3">
        <v>107</v>
      </c>
      <c r="O575" s="3">
        <v>160</v>
      </c>
      <c r="P575" s="3" t="s">
        <v>173</v>
      </c>
      <c r="Q575" s="3" t="s">
        <v>26</v>
      </c>
      <c r="S575" s="3" t="s">
        <v>664</v>
      </c>
      <c r="T575" s="3" t="s">
        <v>56</v>
      </c>
      <c r="U575" s="3">
        <v>7</v>
      </c>
      <c r="V575" s="3">
        <v>1</v>
      </c>
      <c r="W575" s="3" t="s">
        <v>26</v>
      </c>
      <c r="AA575" s="3" t="s">
        <v>49</v>
      </c>
      <c r="AB575" s="3" t="s">
        <v>29</v>
      </c>
      <c r="AC575" s="3" t="s">
        <v>664</v>
      </c>
      <c r="AD575" s="3" t="s">
        <v>55</v>
      </c>
      <c r="AE575" s="3" t="s">
        <v>31</v>
      </c>
      <c r="AF575" s="3" t="s">
        <v>664</v>
      </c>
      <c r="AG575" s="3" t="s">
        <v>39</v>
      </c>
    </row>
    <row r="576" spans="1:33">
      <c r="A576" s="1">
        <v>45212.596312152775</v>
      </c>
      <c r="B576" s="3" t="s">
        <v>1024</v>
      </c>
      <c r="C576" s="2">
        <v>34879</v>
      </c>
      <c r="D576" s="3">
        <v>28</v>
      </c>
      <c r="E576" s="3" t="s">
        <v>510</v>
      </c>
      <c r="F576" s="3" t="s">
        <v>528</v>
      </c>
      <c r="G576" s="3" t="s">
        <v>539</v>
      </c>
      <c r="H576" s="2">
        <v>44658</v>
      </c>
      <c r="I576" s="3">
        <v>1</v>
      </c>
      <c r="J576" s="3" t="s">
        <v>541</v>
      </c>
      <c r="K576" s="3">
        <v>3035</v>
      </c>
      <c r="L576" s="3">
        <v>38</v>
      </c>
      <c r="M576" s="3">
        <v>50</v>
      </c>
      <c r="N576" s="3">
        <v>60</v>
      </c>
      <c r="O576" s="3">
        <v>153</v>
      </c>
      <c r="P576" s="3" t="s">
        <v>33</v>
      </c>
      <c r="Q576" s="3" t="s">
        <v>26</v>
      </c>
      <c r="S576" s="3" t="s">
        <v>664</v>
      </c>
      <c r="T576" s="3" t="s">
        <v>27</v>
      </c>
      <c r="U576" s="3">
        <v>7</v>
      </c>
      <c r="V576" s="3">
        <v>1</v>
      </c>
      <c r="W576" s="3" t="s">
        <v>26</v>
      </c>
      <c r="AA576" s="3" t="s">
        <v>49</v>
      </c>
      <c r="AB576" s="3" t="s">
        <v>29</v>
      </c>
      <c r="AC576" s="3" t="s">
        <v>664</v>
      </c>
      <c r="AD576" s="3" t="s">
        <v>37</v>
      </c>
      <c r="AE576" s="3" t="s">
        <v>38</v>
      </c>
      <c r="AF576" s="3" t="s">
        <v>664</v>
      </c>
      <c r="AG576" s="3" t="s">
        <v>39</v>
      </c>
    </row>
    <row r="577" spans="1:33">
      <c r="A577" s="1">
        <v>45212.597406203698</v>
      </c>
      <c r="B577" s="3" t="s">
        <v>1024</v>
      </c>
      <c r="C577" s="2">
        <v>35977</v>
      </c>
      <c r="D577" s="3">
        <v>25</v>
      </c>
      <c r="E577" s="3" t="s">
        <v>510</v>
      </c>
      <c r="F577" s="3" t="s">
        <v>530</v>
      </c>
      <c r="G577" s="3" t="s">
        <v>538</v>
      </c>
      <c r="H577" s="2">
        <v>43498</v>
      </c>
      <c r="I577" s="3">
        <v>1</v>
      </c>
      <c r="J577" s="3" t="s">
        <v>542</v>
      </c>
      <c r="K577" s="3">
        <v>3850</v>
      </c>
      <c r="L577" s="3" t="s">
        <v>799</v>
      </c>
      <c r="M577" s="3">
        <v>76</v>
      </c>
      <c r="N577" s="3">
        <v>89</v>
      </c>
      <c r="O577" s="3">
        <v>1.66</v>
      </c>
      <c r="P577" s="3" t="s">
        <v>33</v>
      </c>
      <c r="Q577" s="3" t="s">
        <v>26</v>
      </c>
      <c r="S577" s="3" t="s">
        <v>664</v>
      </c>
      <c r="T577" s="3" t="s">
        <v>57</v>
      </c>
      <c r="U577" s="3">
        <v>7</v>
      </c>
      <c r="V577" s="3">
        <v>1</v>
      </c>
      <c r="W577" s="3" t="s">
        <v>34</v>
      </c>
      <c r="X577" s="3" t="s">
        <v>404</v>
      </c>
      <c r="Y577" s="3">
        <v>7</v>
      </c>
      <c r="Z577" s="3">
        <v>1</v>
      </c>
      <c r="AA577" s="3" t="s">
        <v>49</v>
      </c>
      <c r="AB577" s="3" t="s">
        <v>405</v>
      </c>
      <c r="AC577" s="3" t="s">
        <v>664</v>
      </c>
      <c r="AD577" s="3" t="s">
        <v>59</v>
      </c>
      <c r="AE577" s="3" t="s">
        <v>31</v>
      </c>
      <c r="AF577" s="3" t="s">
        <v>664</v>
      </c>
      <c r="AG577" s="3" t="s">
        <v>32</v>
      </c>
    </row>
    <row r="578" spans="1:33">
      <c r="A578" s="1">
        <v>45212.602635925927</v>
      </c>
      <c r="B578" s="3" t="s">
        <v>1024</v>
      </c>
      <c r="C578" s="2">
        <v>33424</v>
      </c>
      <c r="D578" s="3">
        <v>32</v>
      </c>
      <c r="E578" s="3" t="s">
        <v>510</v>
      </c>
      <c r="F578" s="3" t="s">
        <v>520</v>
      </c>
      <c r="G578" s="3" t="s">
        <v>540</v>
      </c>
      <c r="H578" s="2">
        <v>43727</v>
      </c>
      <c r="I578" s="3">
        <v>2</v>
      </c>
      <c r="J578" s="3" t="s">
        <v>542</v>
      </c>
      <c r="K578" s="3">
        <v>3550</v>
      </c>
      <c r="L578" s="3">
        <v>38</v>
      </c>
      <c r="M578" s="3">
        <v>76</v>
      </c>
      <c r="N578" s="3">
        <v>81.599999999999994</v>
      </c>
      <c r="O578" s="3">
        <v>168</v>
      </c>
      <c r="P578" s="3" t="s">
        <v>44</v>
      </c>
      <c r="Q578" s="3" t="s">
        <v>26</v>
      </c>
      <c r="S578" s="3" t="s">
        <v>664</v>
      </c>
      <c r="T578" s="3" t="s">
        <v>43</v>
      </c>
      <c r="U578" s="3">
        <v>7</v>
      </c>
      <c r="V578" s="3">
        <v>1</v>
      </c>
      <c r="W578" s="3" t="s">
        <v>34</v>
      </c>
      <c r="X578" s="3" t="s">
        <v>58</v>
      </c>
      <c r="Y578" s="3">
        <v>7</v>
      </c>
      <c r="Z578" s="3">
        <v>1</v>
      </c>
      <c r="AA578" s="3" t="s">
        <v>28</v>
      </c>
      <c r="AB578" s="3" t="s">
        <v>29</v>
      </c>
      <c r="AC578" s="3" t="s">
        <v>664</v>
      </c>
      <c r="AD578" s="3" t="s">
        <v>59</v>
      </c>
      <c r="AE578" s="3" t="s">
        <v>31</v>
      </c>
      <c r="AF578" s="3" t="s">
        <v>664</v>
      </c>
      <c r="AG578" s="3" t="s">
        <v>48</v>
      </c>
    </row>
    <row r="579" spans="1:33">
      <c r="A579" s="1">
        <v>45212.609312025466</v>
      </c>
      <c r="B579" s="3" t="s">
        <v>1024</v>
      </c>
      <c r="C579" s="2">
        <v>32945</v>
      </c>
      <c r="D579" s="3">
        <v>33</v>
      </c>
      <c r="E579" s="3" t="s">
        <v>510</v>
      </c>
      <c r="F579" s="3" t="s">
        <v>529</v>
      </c>
      <c r="G579" s="3" t="s">
        <v>538</v>
      </c>
      <c r="H579" s="2">
        <v>44608</v>
      </c>
      <c r="I579" s="3">
        <v>2</v>
      </c>
      <c r="J579" s="3" t="s">
        <v>541</v>
      </c>
      <c r="K579" s="3">
        <v>3100</v>
      </c>
      <c r="L579" s="3" t="s">
        <v>652</v>
      </c>
      <c r="M579" s="3">
        <v>75</v>
      </c>
      <c r="N579" s="3">
        <v>90</v>
      </c>
      <c r="O579" s="3">
        <v>157</v>
      </c>
      <c r="P579" s="3" t="s">
        <v>173</v>
      </c>
      <c r="Q579" s="3" t="s">
        <v>26</v>
      </c>
      <c r="S579" s="3" t="s">
        <v>664</v>
      </c>
      <c r="T579" s="3" t="s">
        <v>27</v>
      </c>
      <c r="U579" s="3">
        <v>7</v>
      </c>
      <c r="V579" s="3">
        <v>1</v>
      </c>
      <c r="W579" s="3" t="s">
        <v>26</v>
      </c>
      <c r="AA579" s="3" t="s">
        <v>28</v>
      </c>
      <c r="AB579" s="3" t="s">
        <v>29</v>
      </c>
      <c r="AC579" s="3" t="s">
        <v>664</v>
      </c>
      <c r="AD579" s="3" t="s">
        <v>30</v>
      </c>
      <c r="AE579" s="3" t="s">
        <v>31</v>
      </c>
      <c r="AF579" s="3" t="s">
        <v>664</v>
      </c>
      <c r="AG579" s="3" t="s">
        <v>48</v>
      </c>
    </row>
    <row r="580" spans="1:33">
      <c r="A580" s="1">
        <v>45212.614711400463</v>
      </c>
      <c r="B580" s="3" t="s">
        <v>1024</v>
      </c>
      <c r="C580" s="2">
        <v>29372</v>
      </c>
      <c r="D580" s="3">
        <v>43</v>
      </c>
      <c r="E580" s="3" t="s">
        <v>510</v>
      </c>
      <c r="F580" s="3" t="s">
        <v>531</v>
      </c>
      <c r="G580" s="3" t="s">
        <v>539</v>
      </c>
      <c r="H580" s="2">
        <v>44525</v>
      </c>
      <c r="I580" s="3">
        <v>3</v>
      </c>
      <c r="J580" s="3" t="s">
        <v>541</v>
      </c>
      <c r="K580" s="3">
        <v>3450</v>
      </c>
      <c r="L580" s="3">
        <v>37</v>
      </c>
      <c r="M580" s="3">
        <v>80</v>
      </c>
      <c r="N580" s="3" t="s">
        <v>655</v>
      </c>
      <c r="O580" s="3">
        <v>60</v>
      </c>
      <c r="P580" s="3" t="s">
        <v>44</v>
      </c>
      <c r="Q580" s="3" t="s">
        <v>26</v>
      </c>
      <c r="S580" s="3" t="s">
        <v>664</v>
      </c>
      <c r="T580" s="3" t="s">
        <v>43</v>
      </c>
      <c r="U580" s="3">
        <v>7</v>
      </c>
      <c r="V580" s="3">
        <v>1</v>
      </c>
      <c r="W580" s="3" t="s">
        <v>34</v>
      </c>
      <c r="X580" s="3" t="s">
        <v>58</v>
      </c>
      <c r="Y580" s="3">
        <v>7</v>
      </c>
      <c r="Z580" s="3">
        <v>1</v>
      </c>
      <c r="AA580" s="3" t="s">
        <v>42</v>
      </c>
      <c r="AB580" s="3" t="s">
        <v>29</v>
      </c>
      <c r="AC580" s="3" t="s">
        <v>664</v>
      </c>
      <c r="AD580" s="3" t="s">
        <v>30</v>
      </c>
      <c r="AE580" s="3" t="s">
        <v>31</v>
      </c>
      <c r="AF580" s="3" t="s">
        <v>664</v>
      </c>
      <c r="AG580" s="3" t="s">
        <v>39</v>
      </c>
    </row>
    <row r="581" spans="1:33">
      <c r="A581" s="1">
        <v>45212.617059212964</v>
      </c>
      <c r="B581" s="3" t="s">
        <v>1024</v>
      </c>
      <c r="C581" s="2">
        <v>33315</v>
      </c>
      <c r="D581" s="3">
        <v>32</v>
      </c>
      <c r="E581" s="3" t="s">
        <v>510</v>
      </c>
      <c r="F581" s="3" t="s">
        <v>530</v>
      </c>
      <c r="G581" s="3" t="s">
        <v>539</v>
      </c>
      <c r="H581" s="2">
        <v>44532</v>
      </c>
      <c r="I581" s="3">
        <v>1</v>
      </c>
      <c r="J581" s="3" t="s">
        <v>541</v>
      </c>
      <c r="K581" s="3">
        <v>3.28</v>
      </c>
      <c r="L581" s="3" t="s">
        <v>697</v>
      </c>
      <c r="M581" s="3">
        <v>56</v>
      </c>
      <c r="N581" s="3">
        <v>61</v>
      </c>
      <c r="O581" s="3">
        <v>155</v>
      </c>
      <c r="P581" s="3" t="s">
        <v>33</v>
      </c>
      <c r="Q581" s="3" t="s">
        <v>26</v>
      </c>
      <c r="S581" s="3" t="s">
        <v>664</v>
      </c>
      <c r="T581" s="3" t="s">
        <v>79</v>
      </c>
      <c r="U581" s="3">
        <v>7</v>
      </c>
      <c r="V581" s="3">
        <v>1</v>
      </c>
      <c r="W581" s="3" t="s">
        <v>34</v>
      </c>
      <c r="X581" s="3" t="s">
        <v>58</v>
      </c>
      <c r="Y581" s="3">
        <v>7</v>
      </c>
      <c r="Z581" s="3">
        <v>1</v>
      </c>
      <c r="AA581" s="3" t="s">
        <v>49</v>
      </c>
      <c r="AB581" s="3" t="s">
        <v>113</v>
      </c>
      <c r="AC581" s="3" t="s">
        <v>664</v>
      </c>
      <c r="AD581" s="3" t="s">
        <v>37</v>
      </c>
      <c r="AE581" s="3" t="s">
        <v>38</v>
      </c>
      <c r="AF581" s="3" t="s">
        <v>26</v>
      </c>
    </row>
    <row r="582" spans="1:33">
      <c r="A582" s="1">
        <v>45212.618354317128</v>
      </c>
      <c r="B582" s="3" t="s">
        <v>1024</v>
      </c>
      <c r="C582" s="2">
        <v>32419</v>
      </c>
      <c r="D582" s="3">
        <v>35</v>
      </c>
      <c r="E582" s="3" t="s">
        <v>510</v>
      </c>
      <c r="F582" s="3" t="s">
        <v>529</v>
      </c>
      <c r="G582" s="3" t="s">
        <v>539</v>
      </c>
      <c r="H582" s="2">
        <v>44743</v>
      </c>
      <c r="I582" s="3">
        <v>3</v>
      </c>
      <c r="J582" s="3" t="s">
        <v>541</v>
      </c>
      <c r="K582" s="3">
        <v>4100</v>
      </c>
      <c r="L582" s="3" t="s">
        <v>623</v>
      </c>
      <c r="M582" s="3" t="s">
        <v>1319</v>
      </c>
      <c r="N582" s="3" t="s">
        <v>1320</v>
      </c>
      <c r="O582" s="3">
        <v>166</v>
      </c>
      <c r="P582" s="3" t="s">
        <v>44</v>
      </c>
      <c r="Q582" s="3" t="s">
        <v>26</v>
      </c>
      <c r="S582" s="3" t="s">
        <v>664</v>
      </c>
      <c r="T582" s="3" t="s">
        <v>27</v>
      </c>
      <c r="U582" s="3">
        <v>7</v>
      </c>
      <c r="V582" s="3">
        <v>1</v>
      </c>
      <c r="W582" s="3" t="s">
        <v>26</v>
      </c>
      <c r="AA582" s="3" t="s">
        <v>49</v>
      </c>
      <c r="AB582" s="3" t="s">
        <v>406</v>
      </c>
      <c r="AC582" s="3" t="s">
        <v>664</v>
      </c>
      <c r="AD582" s="3" t="s">
        <v>55</v>
      </c>
      <c r="AE582" s="3" t="s">
        <v>72</v>
      </c>
      <c r="AF582" s="3" t="s">
        <v>664</v>
      </c>
      <c r="AG582" s="3" t="s">
        <v>48</v>
      </c>
    </row>
    <row r="583" spans="1:33">
      <c r="A583" s="1">
        <v>45212.645799027778</v>
      </c>
      <c r="B583" s="3" t="s">
        <v>1024</v>
      </c>
      <c r="C583" s="2">
        <v>32794</v>
      </c>
      <c r="D583" s="3">
        <v>33</v>
      </c>
      <c r="E583" s="3" t="s">
        <v>510</v>
      </c>
      <c r="F583" s="3" t="s">
        <v>520</v>
      </c>
      <c r="G583" s="3" t="s">
        <v>540</v>
      </c>
      <c r="H583" s="2">
        <v>44850</v>
      </c>
      <c r="I583" s="3">
        <v>1</v>
      </c>
      <c r="J583" s="3" t="s">
        <v>542</v>
      </c>
      <c r="K583" s="3">
        <v>3320</v>
      </c>
      <c r="L583" s="3">
        <v>37</v>
      </c>
      <c r="M583" s="3">
        <v>69</v>
      </c>
      <c r="N583" s="3">
        <v>79</v>
      </c>
      <c r="O583" s="3">
        <v>171</v>
      </c>
      <c r="P583" s="3" t="s">
        <v>33</v>
      </c>
      <c r="Q583" s="3" t="s">
        <v>26</v>
      </c>
      <c r="S583" s="3" t="s">
        <v>664</v>
      </c>
      <c r="T583" s="3" t="s">
        <v>56</v>
      </c>
      <c r="U583" s="3">
        <v>6</v>
      </c>
      <c r="V583" s="3">
        <v>1</v>
      </c>
      <c r="W583" s="3" t="s">
        <v>34</v>
      </c>
      <c r="X583" s="3" t="s">
        <v>407</v>
      </c>
      <c r="Y583" s="3">
        <v>7</v>
      </c>
      <c r="Z583" s="3">
        <v>1</v>
      </c>
      <c r="AA583" s="3" t="s">
        <v>49</v>
      </c>
      <c r="AB583" s="3" t="s">
        <v>29</v>
      </c>
      <c r="AC583" s="3" t="s">
        <v>664</v>
      </c>
      <c r="AD583" s="3" t="s">
        <v>30</v>
      </c>
      <c r="AE583" s="3" t="s">
        <v>38</v>
      </c>
      <c r="AF583" s="3" t="s">
        <v>664</v>
      </c>
      <c r="AG583" s="3" t="s">
        <v>48</v>
      </c>
    </row>
    <row r="584" spans="1:33">
      <c r="A584" s="1">
        <v>45212.650839074078</v>
      </c>
      <c r="B584" s="3" t="s">
        <v>1024</v>
      </c>
      <c r="C584" s="2">
        <v>31710</v>
      </c>
      <c r="D584" s="3">
        <v>36</v>
      </c>
      <c r="E584" s="3" t="s">
        <v>510</v>
      </c>
      <c r="F584" s="3" t="s">
        <v>529</v>
      </c>
      <c r="G584" s="3" t="s">
        <v>539</v>
      </c>
      <c r="H584" s="2">
        <v>43801</v>
      </c>
      <c r="I584" s="3">
        <v>2</v>
      </c>
      <c r="J584" s="3" t="s">
        <v>541</v>
      </c>
      <c r="K584" s="3">
        <v>3980</v>
      </c>
      <c r="L584" s="3" t="s">
        <v>661</v>
      </c>
      <c r="M584" s="3">
        <v>60</v>
      </c>
      <c r="N584" s="3">
        <v>77</v>
      </c>
      <c r="O584" s="3">
        <v>162</v>
      </c>
      <c r="P584" s="3" t="s">
        <v>33</v>
      </c>
      <c r="Q584" s="3" t="s">
        <v>26</v>
      </c>
      <c r="S584" s="3" t="s">
        <v>664</v>
      </c>
      <c r="T584" s="3" t="s">
        <v>79</v>
      </c>
      <c r="U584" s="3">
        <v>7</v>
      </c>
      <c r="V584" s="3">
        <v>1</v>
      </c>
      <c r="W584" s="3" t="s">
        <v>34</v>
      </c>
      <c r="X584" s="3" t="s">
        <v>128</v>
      </c>
      <c r="Y584" s="3">
        <v>7</v>
      </c>
      <c r="Z584" s="3">
        <v>1</v>
      </c>
      <c r="AA584" s="3" t="s">
        <v>49</v>
      </c>
      <c r="AB584" s="3" t="s">
        <v>29</v>
      </c>
      <c r="AC584" s="3" t="s">
        <v>664</v>
      </c>
      <c r="AD584" s="3" t="s">
        <v>37</v>
      </c>
      <c r="AE584" s="3" t="s">
        <v>31</v>
      </c>
      <c r="AF584" s="3" t="s">
        <v>664</v>
      </c>
      <c r="AG584" s="3" t="s">
        <v>39</v>
      </c>
    </row>
    <row r="585" spans="1:33">
      <c r="A585" s="1">
        <v>45212.654745347223</v>
      </c>
      <c r="B585" s="3" t="s">
        <v>1024</v>
      </c>
      <c r="C585" s="2">
        <v>33372</v>
      </c>
      <c r="D585" s="3">
        <v>32</v>
      </c>
      <c r="E585" s="3" t="s">
        <v>510</v>
      </c>
      <c r="F585" s="3" t="s">
        <v>523</v>
      </c>
      <c r="G585" s="3" t="s">
        <v>540</v>
      </c>
      <c r="H585" s="2">
        <v>42915</v>
      </c>
      <c r="I585" s="3">
        <v>1</v>
      </c>
      <c r="J585" s="3" t="s">
        <v>542</v>
      </c>
      <c r="K585" s="3">
        <v>2350</v>
      </c>
      <c r="L585" s="3">
        <v>37</v>
      </c>
      <c r="M585" s="3">
        <v>85</v>
      </c>
      <c r="N585" s="3">
        <v>85</v>
      </c>
      <c r="O585" s="3">
        <v>160</v>
      </c>
      <c r="P585" s="3" t="s">
        <v>25</v>
      </c>
      <c r="Q585" s="3" t="s">
        <v>26</v>
      </c>
      <c r="S585" s="3" t="s">
        <v>664</v>
      </c>
      <c r="T585" s="3" t="s">
        <v>57</v>
      </c>
      <c r="U585" s="3">
        <v>7</v>
      </c>
      <c r="V585" s="3">
        <v>1</v>
      </c>
      <c r="W585" s="3" t="s">
        <v>26</v>
      </c>
      <c r="AA585" s="3" t="s">
        <v>42</v>
      </c>
      <c r="AB585" s="3" t="s">
        <v>29</v>
      </c>
      <c r="AC585" s="3" t="s">
        <v>664</v>
      </c>
      <c r="AD585" s="3" t="s">
        <v>30</v>
      </c>
      <c r="AE585" s="3" t="s">
        <v>31</v>
      </c>
      <c r="AF585" s="3" t="s">
        <v>664</v>
      </c>
      <c r="AG585" s="3" t="s">
        <v>62</v>
      </c>
    </row>
    <row r="586" spans="1:33">
      <c r="A586" s="1">
        <v>45212.662548657405</v>
      </c>
      <c r="B586" s="3" t="s">
        <v>1024</v>
      </c>
      <c r="C586" s="2">
        <v>33186</v>
      </c>
      <c r="D586" s="3">
        <v>32</v>
      </c>
      <c r="E586" s="3" t="s">
        <v>510</v>
      </c>
      <c r="F586" s="3" t="s">
        <v>520</v>
      </c>
      <c r="G586" s="3" t="s">
        <v>539</v>
      </c>
      <c r="H586" s="2">
        <v>44670</v>
      </c>
      <c r="I586" s="3">
        <v>1</v>
      </c>
      <c r="J586" s="3" t="s">
        <v>541</v>
      </c>
      <c r="K586" s="3">
        <v>4150</v>
      </c>
      <c r="L586" s="3">
        <v>41</v>
      </c>
      <c r="M586" s="3">
        <v>54</v>
      </c>
      <c r="N586" s="3">
        <v>65</v>
      </c>
      <c r="O586" s="3">
        <v>150</v>
      </c>
      <c r="P586" s="3" t="s">
        <v>33</v>
      </c>
      <c r="Q586" s="3" t="s">
        <v>26</v>
      </c>
      <c r="S586" s="3" t="s">
        <v>664</v>
      </c>
      <c r="T586" s="3" t="s">
        <v>43</v>
      </c>
      <c r="U586" s="3">
        <v>7</v>
      </c>
      <c r="V586" s="3">
        <v>1</v>
      </c>
      <c r="W586" s="3" t="s">
        <v>26</v>
      </c>
      <c r="AA586" s="3" t="s">
        <v>42</v>
      </c>
      <c r="AB586" s="3" t="s">
        <v>29</v>
      </c>
      <c r="AC586" s="3" t="s">
        <v>664</v>
      </c>
      <c r="AD586" s="3" t="s">
        <v>30</v>
      </c>
      <c r="AE586" s="3" t="s">
        <v>31</v>
      </c>
      <c r="AF586" s="3" t="s">
        <v>664</v>
      </c>
      <c r="AG586" s="3" t="s">
        <v>32</v>
      </c>
    </row>
    <row r="587" spans="1:33">
      <c r="A587" s="1">
        <v>45212.663080092592</v>
      </c>
      <c r="B587" s="3" t="s">
        <v>1024</v>
      </c>
      <c r="C587" s="2">
        <v>34330</v>
      </c>
      <c r="D587" s="3">
        <v>29</v>
      </c>
      <c r="E587" s="3" t="s">
        <v>510</v>
      </c>
      <c r="F587" s="3" t="s">
        <v>521</v>
      </c>
      <c r="G587" s="3" t="s">
        <v>539</v>
      </c>
      <c r="H587" s="2">
        <v>44469</v>
      </c>
      <c r="I587" s="3">
        <v>1</v>
      </c>
      <c r="J587" s="3" t="s">
        <v>542</v>
      </c>
      <c r="K587" s="3" t="s">
        <v>1321</v>
      </c>
      <c r="L587" s="3" t="s">
        <v>634</v>
      </c>
      <c r="M587" s="3" t="s">
        <v>1322</v>
      </c>
      <c r="N587" s="3">
        <v>67</v>
      </c>
      <c r="O587" s="3">
        <v>159</v>
      </c>
      <c r="P587" s="3" t="s">
        <v>33</v>
      </c>
      <c r="Q587" s="3" t="s">
        <v>26</v>
      </c>
      <c r="S587" s="3" t="s">
        <v>664</v>
      </c>
      <c r="T587" s="3" t="s">
        <v>27</v>
      </c>
      <c r="U587" s="3">
        <v>7</v>
      </c>
      <c r="V587" s="3">
        <v>1</v>
      </c>
      <c r="W587" s="3" t="s">
        <v>26</v>
      </c>
      <c r="AA587" s="3" t="s">
        <v>49</v>
      </c>
      <c r="AB587" s="3" t="s">
        <v>29</v>
      </c>
      <c r="AC587" s="3" t="s">
        <v>664</v>
      </c>
      <c r="AD587" s="3" t="s">
        <v>55</v>
      </c>
      <c r="AE587" s="3" t="s">
        <v>31</v>
      </c>
      <c r="AF587" s="3" t="s">
        <v>664</v>
      </c>
      <c r="AG587" s="3" t="s">
        <v>32</v>
      </c>
    </row>
    <row r="588" spans="1:33">
      <c r="A588" s="1">
        <v>45212.667099560189</v>
      </c>
      <c r="B588" s="3" t="s">
        <v>1024</v>
      </c>
      <c r="C588" s="2">
        <v>35838</v>
      </c>
      <c r="D588" s="3">
        <v>25</v>
      </c>
      <c r="E588" s="3" t="s">
        <v>510</v>
      </c>
      <c r="F588" s="3" t="s">
        <v>520</v>
      </c>
      <c r="G588" s="3" t="s">
        <v>539</v>
      </c>
      <c r="H588" s="2">
        <v>45113</v>
      </c>
      <c r="I588" s="3">
        <v>1</v>
      </c>
      <c r="J588" s="3" t="s">
        <v>542</v>
      </c>
      <c r="K588" s="3">
        <v>2920</v>
      </c>
      <c r="L588" s="3">
        <v>38</v>
      </c>
      <c r="M588" s="3">
        <v>42</v>
      </c>
      <c r="N588" s="3">
        <v>60</v>
      </c>
      <c r="O588" s="3">
        <v>160</v>
      </c>
      <c r="P588" s="3" t="s">
        <v>123</v>
      </c>
      <c r="Q588" s="3" t="s">
        <v>26</v>
      </c>
      <c r="S588" s="3" t="s">
        <v>664</v>
      </c>
      <c r="T588" s="3" t="s">
        <v>79</v>
      </c>
      <c r="U588" s="3">
        <v>7</v>
      </c>
      <c r="V588" s="3">
        <v>1</v>
      </c>
      <c r="W588" s="3" t="s">
        <v>26</v>
      </c>
      <c r="AA588" s="3" t="s">
        <v>49</v>
      </c>
      <c r="AB588" s="3" t="s">
        <v>29</v>
      </c>
      <c r="AC588" s="3" t="s">
        <v>664</v>
      </c>
      <c r="AD588" s="3" t="s">
        <v>30</v>
      </c>
      <c r="AE588" s="3" t="s">
        <v>31</v>
      </c>
      <c r="AF588" s="3" t="s">
        <v>664</v>
      </c>
      <c r="AG588" s="3" t="s">
        <v>76</v>
      </c>
    </row>
    <row r="589" spans="1:33">
      <c r="A589" s="1">
        <v>45212.674702488424</v>
      </c>
      <c r="B589" s="3" t="s">
        <v>1024</v>
      </c>
      <c r="C589" s="2">
        <v>30286</v>
      </c>
      <c r="D589" s="3">
        <v>40</v>
      </c>
      <c r="E589" s="3" t="s">
        <v>510</v>
      </c>
      <c r="F589" s="3" t="s">
        <v>530</v>
      </c>
      <c r="G589" s="3" t="s">
        <v>540</v>
      </c>
      <c r="H589" s="2">
        <v>44053</v>
      </c>
      <c r="I589" s="3">
        <v>1</v>
      </c>
      <c r="J589" s="3" t="s">
        <v>541</v>
      </c>
      <c r="K589" s="3">
        <v>3195</v>
      </c>
      <c r="L589" s="3">
        <v>39</v>
      </c>
      <c r="M589" s="3">
        <v>70</v>
      </c>
      <c r="N589" s="3">
        <v>80</v>
      </c>
      <c r="O589" s="3">
        <v>149</v>
      </c>
      <c r="P589" s="3" t="s">
        <v>33</v>
      </c>
      <c r="Q589" s="3" t="s">
        <v>26</v>
      </c>
      <c r="S589" s="3" t="s">
        <v>664</v>
      </c>
      <c r="T589" s="3" t="s">
        <v>27</v>
      </c>
      <c r="U589" s="3">
        <v>7</v>
      </c>
      <c r="V589" s="3">
        <v>1</v>
      </c>
      <c r="W589" s="3" t="s">
        <v>26</v>
      </c>
      <c r="AA589" s="3" t="s">
        <v>36</v>
      </c>
      <c r="AB589" s="3" t="s">
        <v>29</v>
      </c>
      <c r="AC589" s="3" t="s">
        <v>664</v>
      </c>
      <c r="AD589" s="3" t="s">
        <v>55</v>
      </c>
      <c r="AE589" s="3" t="s">
        <v>31</v>
      </c>
      <c r="AF589" s="3" t="s">
        <v>664</v>
      </c>
      <c r="AG589" s="3" t="s">
        <v>39</v>
      </c>
    </row>
    <row r="590" spans="1:33">
      <c r="A590" s="1">
        <v>45212.702666689816</v>
      </c>
      <c r="B590" s="3" t="s">
        <v>1024</v>
      </c>
      <c r="C590" s="2">
        <v>31264</v>
      </c>
      <c r="D590" s="3">
        <v>38</v>
      </c>
      <c r="E590" s="3" t="s">
        <v>510</v>
      </c>
      <c r="F590" s="3" t="s">
        <v>520</v>
      </c>
      <c r="G590" s="3" t="s">
        <v>539</v>
      </c>
      <c r="H590" s="2">
        <v>44733</v>
      </c>
      <c r="I590" s="3">
        <v>1</v>
      </c>
      <c r="J590" s="3" t="s">
        <v>541</v>
      </c>
      <c r="K590" s="7">
        <v>3580</v>
      </c>
      <c r="L590" s="3" t="s">
        <v>616</v>
      </c>
      <c r="M590" s="3" t="s">
        <v>1323</v>
      </c>
      <c r="N590" s="3" t="s">
        <v>1324</v>
      </c>
      <c r="O590" s="3">
        <v>150</v>
      </c>
      <c r="P590" s="3" t="s">
        <v>33</v>
      </c>
      <c r="Q590" s="3" t="s">
        <v>26</v>
      </c>
      <c r="S590" s="3" t="s">
        <v>664</v>
      </c>
      <c r="T590" s="3" t="s">
        <v>57</v>
      </c>
      <c r="U590" s="3">
        <v>7</v>
      </c>
      <c r="V590" s="3">
        <v>1</v>
      </c>
      <c r="W590" s="3" t="s">
        <v>34</v>
      </c>
      <c r="X590" s="3" t="s">
        <v>58</v>
      </c>
      <c r="Y590" s="3">
        <v>7</v>
      </c>
      <c r="Z590" s="3">
        <v>1</v>
      </c>
      <c r="AA590" s="3" t="s">
        <v>36</v>
      </c>
      <c r="AB590" s="3" t="s">
        <v>29</v>
      </c>
      <c r="AC590" s="3" t="s">
        <v>664</v>
      </c>
      <c r="AD590" s="3" t="s">
        <v>30</v>
      </c>
      <c r="AE590" s="3" t="s">
        <v>38</v>
      </c>
      <c r="AF590" s="3" t="s">
        <v>664</v>
      </c>
      <c r="AG590" s="3" t="s">
        <v>39</v>
      </c>
    </row>
    <row r="591" spans="1:33">
      <c r="A591" s="1">
        <v>45212.709279664356</v>
      </c>
      <c r="B591" s="3" t="s">
        <v>1024</v>
      </c>
      <c r="C591" s="2">
        <v>35798</v>
      </c>
      <c r="D591" s="3">
        <v>25</v>
      </c>
      <c r="E591" s="3" t="s">
        <v>510</v>
      </c>
      <c r="F591" s="3" t="s">
        <v>521</v>
      </c>
      <c r="G591" s="3" t="s">
        <v>538</v>
      </c>
      <c r="H591" s="2">
        <v>44194</v>
      </c>
      <c r="I591" s="3">
        <v>1</v>
      </c>
      <c r="J591" s="3" t="s">
        <v>541</v>
      </c>
      <c r="K591" s="3">
        <v>2570</v>
      </c>
      <c r="L591" s="3" t="s">
        <v>800</v>
      </c>
      <c r="M591" s="3">
        <v>82</v>
      </c>
      <c r="N591" s="3">
        <v>96</v>
      </c>
      <c r="O591" s="3">
        <v>159</v>
      </c>
      <c r="P591" s="3" t="s">
        <v>44</v>
      </c>
      <c r="Q591" s="3" t="s">
        <v>26</v>
      </c>
      <c r="S591" s="3" t="s">
        <v>664</v>
      </c>
      <c r="T591" s="3" t="s">
        <v>79</v>
      </c>
      <c r="U591" s="3">
        <v>7</v>
      </c>
      <c r="V591" s="3">
        <v>1</v>
      </c>
      <c r="W591" s="3" t="s">
        <v>34</v>
      </c>
      <c r="X591" s="3" t="s">
        <v>408</v>
      </c>
      <c r="Y591" s="3">
        <v>7</v>
      </c>
      <c r="Z591" s="3">
        <v>1</v>
      </c>
      <c r="AA591" s="3" t="s">
        <v>49</v>
      </c>
      <c r="AB591" s="3" t="s">
        <v>29</v>
      </c>
      <c r="AC591" s="3" t="s">
        <v>664</v>
      </c>
      <c r="AD591" s="3" t="s">
        <v>30</v>
      </c>
      <c r="AE591" s="3" t="s">
        <v>38</v>
      </c>
      <c r="AF591" s="3" t="s">
        <v>664</v>
      </c>
      <c r="AG591" s="3" t="s">
        <v>32</v>
      </c>
    </row>
    <row r="592" spans="1:33">
      <c r="A592" s="1">
        <v>45212.721774652775</v>
      </c>
      <c r="B592" s="3" t="s">
        <v>1024</v>
      </c>
      <c r="C592" s="2">
        <v>33172</v>
      </c>
      <c r="D592" s="3">
        <v>32</v>
      </c>
      <c r="E592" s="3" t="s">
        <v>510</v>
      </c>
      <c r="F592" s="3" t="s">
        <v>520</v>
      </c>
      <c r="G592" s="3" t="s">
        <v>537</v>
      </c>
      <c r="H592" s="2">
        <v>42772</v>
      </c>
      <c r="I592" s="3">
        <v>2</v>
      </c>
      <c r="J592" s="3" t="s">
        <v>541</v>
      </c>
      <c r="K592" s="3">
        <v>3350</v>
      </c>
      <c r="L592" s="3" t="s">
        <v>658</v>
      </c>
      <c r="M592" s="3">
        <v>68</v>
      </c>
      <c r="N592" s="3">
        <v>80</v>
      </c>
      <c r="O592" s="3">
        <v>169</v>
      </c>
      <c r="P592" s="3" t="s">
        <v>33</v>
      </c>
      <c r="Q592" s="3" t="s">
        <v>26</v>
      </c>
      <c r="S592" s="3" t="s">
        <v>664</v>
      </c>
      <c r="T592" s="3" t="s">
        <v>79</v>
      </c>
      <c r="U592" s="3">
        <v>7</v>
      </c>
      <c r="V592" s="3">
        <v>1</v>
      </c>
      <c r="W592" s="3" t="s">
        <v>26</v>
      </c>
      <c r="AA592" s="3" t="s">
        <v>42</v>
      </c>
      <c r="AB592" s="3" t="s">
        <v>247</v>
      </c>
      <c r="AC592" s="3" t="s">
        <v>664</v>
      </c>
      <c r="AD592" s="3" t="s">
        <v>30</v>
      </c>
      <c r="AE592" s="3" t="s">
        <v>38</v>
      </c>
      <c r="AF592" s="3" t="s">
        <v>664</v>
      </c>
      <c r="AG592" s="3" t="s">
        <v>39</v>
      </c>
    </row>
    <row r="593" spans="1:33">
      <c r="A593" s="1">
        <v>45212.722448020839</v>
      </c>
      <c r="B593" s="3" t="s">
        <v>1024</v>
      </c>
      <c r="C593" s="2">
        <v>33959</v>
      </c>
      <c r="D593" s="3">
        <v>30</v>
      </c>
      <c r="E593" s="3" t="s">
        <v>510</v>
      </c>
      <c r="F593" s="3" t="s">
        <v>528</v>
      </c>
      <c r="G593" s="3" t="s">
        <v>539</v>
      </c>
      <c r="H593" s="2">
        <v>44384</v>
      </c>
      <c r="I593" s="3">
        <v>1</v>
      </c>
      <c r="J593" s="3" t="s">
        <v>542</v>
      </c>
      <c r="K593" s="3" t="s">
        <v>1325</v>
      </c>
      <c r="L593" s="3" t="s">
        <v>680</v>
      </c>
      <c r="M593" s="3">
        <v>68</v>
      </c>
      <c r="N593" s="3">
        <v>76</v>
      </c>
      <c r="O593" s="3">
        <v>154</v>
      </c>
      <c r="P593" s="3" t="s">
        <v>25</v>
      </c>
      <c r="Q593" s="3" t="s">
        <v>26</v>
      </c>
      <c r="S593" s="3" t="s">
        <v>664</v>
      </c>
      <c r="T593" s="3" t="s">
        <v>43</v>
      </c>
      <c r="U593" s="3">
        <v>7</v>
      </c>
      <c r="V593" s="3">
        <v>1</v>
      </c>
      <c r="W593" s="3" t="s">
        <v>26</v>
      </c>
      <c r="AA593" s="3" t="s">
        <v>49</v>
      </c>
      <c r="AB593" s="3" t="s">
        <v>29</v>
      </c>
      <c r="AC593" s="3" t="s">
        <v>664</v>
      </c>
      <c r="AD593" s="3" t="s">
        <v>55</v>
      </c>
      <c r="AE593" s="3" t="s">
        <v>31</v>
      </c>
      <c r="AF593" s="3" t="s">
        <v>664</v>
      </c>
      <c r="AG593" s="3" t="s">
        <v>39</v>
      </c>
    </row>
    <row r="594" spans="1:33">
      <c r="A594" s="1">
        <v>45212.729160636576</v>
      </c>
      <c r="B594" s="3" t="s">
        <v>1024</v>
      </c>
      <c r="C594" s="2">
        <v>30313</v>
      </c>
      <c r="D594" s="3">
        <v>40</v>
      </c>
      <c r="E594" s="3" t="s">
        <v>510</v>
      </c>
      <c r="F594" s="3" t="s">
        <v>532</v>
      </c>
      <c r="G594" s="3" t="s">
        <v>540</v>
      </c>
      <c r="H594" s="2">
        <v>44489</v>
      </c>
      <c r="I594" s="3">
        <v>2</v>
      </c>
      <c r="J594" s="3" t="s">
        <v>542</v>
      </c>
      <c r="K594" s="3" t="s">
        <v>1326</v>
      </c>
      <c r="L594" s="3" t="s">
        <v>801</v>
      </c>
      <c r="M594" s="3">
        <v>58</v>
      </c>
      <c r="N594" s="3">
        <v>66</v>
      </c>
      <c r="O594" s="3">
        <v>152</v>
      </c>
      <c r="P594" s="3" t="s">
        <v>33</v>
      </c>
      <c r="Q594" s="3" t="s">
        <v>26</v>
      </c>
      <c r="S594" s="3" t="s">
        <v>664</v>
      </c>
      <c r="T594" s="3" t="s">
        <v>41</v>
      </c>
      <c r="U594" s="3">
        <v>7</v>
      </c>
      <c r="V594" s="3">
        <v>1</v>
      </c>
      <c r="W594" s="3" t="s">
        <v>26</v>
      </c>
      <c r="AA594" s="3" t="s">
        <v>49</v>
      </c>
      <c r="AB594" s="3" t="s">
        <v>29</v>
      </c>
      <c r="AC594" s="3" t="s">
        <v>664</v>
      </c>
      <c r="AD594" s="3" t="s">
        <v>30</v>
      </c>
      <c r="AE594" s="3" t="s">
        <v>31</v>
      </c>
      <c r="AF594" s="3" t="s">
        <v>664</v>
      </c>
      <c r="AG594" s="3" t="s">
        <v>39</v>
      </c>
    </row>
    <row r="595" spans="1:33">
      <c r="A595" s="1">
        <v>45212.748620509257</v>
      </c>
      <c r="B595" s="3" t="s">
        <v>1024</v>
      </c>
      <c r="C595" s="2">
        <v>31494</v>
      </c>
      <c r="D595" s="3">
        <v>37</v>
      </c>
      <c r="E595" s="3" t="s">
        <v>510</v>
      </c>
      <c r="F595" s="3" t="s">
        <v>529</v>
      </c>
      <c r="G595" s="3" t="s">
        <v>539</v>
      </c>
      <c r="H595" s="2">
        <v>44277</v>
      </c>
      <c r="I595" s="3">
        <v>2</v>
      </c>
      <c r="J595" s="3" t="s">
        <v>541</v>
      </c>
      <c r="K595" s="3">
        <v>3405</v>
      </c>
      <c r="L595" s="3" t="s">
        <v>661</v>
      </c>
      <c r="M595" s="3">
        <v>80</v>
      </c>
      <c r="N595" s="3">
        <v>90</v>
      </c>
      <c r="O595" s="3">
        <v>158</v>
      </c>
      <c r="P595" s="3" t="s">
        <v>33</v>
      </c>
      <c r="Q595" s="3" t="s">
        <v>26</v>
      </c>
      <c r="S595" s="3" t="s">
        <v>664</v>
      </c>
      <c r="T595" s="3" t="s">
        <v>27</v>
      </c>
      <c r="U595" s="3">
        <v>7</v>
      </c>
      <c r="V595" s="3">
        <v>1</v>
      </c>
      <c r="W595" s="3" t="s">
        <v>34</v>
      </c>
      <c r="X595" s="3" t="s">
        <v>97</v>
      </c>
      <c r="Y595" s="3">
        <v>7</v>
      </c>
      <c r="Z595" s="3">
        <v>1</v>
      </c>
      <c r="AA595" s="3" t="s">
        <v>49</v>
      </c>
      <c r="AB595" s="3" t="s">
        <v>189</v>
      </c>
      <c r="AC595" s="3" t="s">
        <v>664</v>
      </c>
      <c r="AD595" s="3" t="s">
        <v>30</v>
      </c>
      <c r="AE595" s="3" t="s">
        <v>31</v>
      </c>
      <c r="AF595" s="3" t="s">
        <v>664</v>
      </c>
      <c r="AG595" s="3" t="s">
        <v>48</v>
      </c>
    </row>
    <row r="596" spans="1:33">
      <c r="A596" s="1">
        <v>45212.750988969907</v>
      </c>
      <c r="B596" s="3" t="s">
        <v>1024</v>
      </c>
      <c r="C596" s="2">
        <v>34284</v>
      </c>
      <c r="D596" s="3">
        <v>29</v>
      </c>
      <c r="E596" s="3" t="s">
        <v>510</v>
      </c>
      <c r="F596" s="3" t="s">
        <v>523</v>
      </c>
      <c r="G596" s="3" t="s">
        <v>538</v>
      </c>
      <c r="H596" s="2">
        <v>44304</v>
      </c>
      <c r="I596" s="3">
        <v>1</v>
      </c>
      <c r="J596" s="3" t="s">
        <v>542</v>
      </c>
      <c r="K596" s="3">
        <v>3440</v>
      </c>
      <c r="L596" s="3" t="s">
        <v>719</v>
      </c>
      <c r="M596" s="3">
        <v>73</v>
      </c>
      <c r="N596" s="3">
        <v>79</v>
      </c>
      <c r="O596" s="3">
        <v>165</v>
      </c>
      <c r="P596" s="3" t="s">
        <v>106</v>
      </c>
      <c r="Q596" s="3" t="s">
        <v>26</v>
      </c>
      <c r="S596" s="3" t="s">
        <v>664</v>
      </c>
      <c r="T596" s="3" t="s">
        <v>71</v>
      </c>
      <c r="U596" s="3">
        <v>7</v>
      </c>
      <c r="V596" s="3">
        <v>1</v>
      </c>
      <c r="W596" s="3" t="s">
        <v>34</v>
      </c>
      <c r="X596" s="3" t="s">
        <v>71</v>
      </c>
      <c r="Y596" s="3">
        <v>7</v>
      </c>
      <c r="Z596" s="3">
        <v>1</v>
      </c>
      <c r="AA596" s="3" t="s">
        <v>42</v>
      </c>
      <c r="AB596" s="3" t="s">
        <v>29</v>
      </c>
      <c r="AC596" s="3" t="s">
        <v>664</v>
      </c>
      <c r="AD596" s="3" t="s">
        <v>55</v>
      </c>
      <c r="AE596" s="3" t="s">
        <v>31</v>
      </c>
      <c r="AF596" s="3" t="s">
        <v>664</v>
      </c>
      <c r="AG596" s="3" t="s">
        <v>39</v>
      </c>
    </row>
    <row r="597" spans="1:33">
      <c r="A597" s="1">
        <v>45212.75324366898</v>
      </c>
      <c r="B597" s="3" t="s">
        <v>1024</v>
      </c>
      <c r="C597" s="2">
        <v>28894</v>
      </c>
      <c r="D597" s="3">
        <v>44</v>
      </c>
      <c r="E597" s="3" t="s">
        <v>510</v>
      </c>
      <c r="F597" s="3" t="s">
        <v>531</v>
      </c>
      <c r="G597" s="3" t="s">
        <v>539</v>
      </c>
      <c r="H597" s="2">
        <v>43535</v>
      </c>
      <c r="I597" s="3">
        <v>1</v>
      </c>
      <c r="J597" s="3" t="s">
        <v>542</v>
      </c>
      <c r="K597" s="3" t="s">
        <v>1327</v>
      </c>
      <c r="L597" s="3" t="s">
        <v>802</v>
      </c>
      <c r="M597" s="3">
        <v>68</v>
      </c>
      <c r="N597" s="3">
        <v>80</v>
      </c>
      <c r="O597" s="3">
        <v>154</v>
      </c>
      <c r="P597" s="3" t="s">
        <v>33</v>
      </c>
      <c r="Q597" s="3" t="s">
        <v>26</v>
      </c>
      <c r="S597" s="3" t="s">
        <v>664</v>
      </c>
      <c r="T597" s="3" t="s">
        <v>27</v>
      </c>
      <c r="U597" s="3">
        <v>7</v>
      </c>
      <c r="V597" s="3">
        <v>1</v>
      </c>
      <c r="W597" s="3" t="s">
        <v>34</v>
      </c>
      <c r="X597" s="3" t="s">
        <v>689</v>
      </c>
      <c r="Y597" s="3">
        <v>7</v>
      </c>
      <c r="Z597" s="3">
        <v>1</v>
      </c>
      <c r="AA597" s="3" t="s">
        <v>36</v>
      </c>
      <c r="AB597" s="3" t="s">
        <v>29</v>
      </c>
      <c r="AC597" s="3" t="s">
        <v>664</v>
      </c>
      <c r="AD597" s="3" t="s">
        <v>30</v>
      </c>
      <c r="AE597" s="3" t="s">
        <v>31</v>
      </c>
      <c r="AF597" s="3" t="s">
        <v>664</v>
      </c>
      <c r="AG597" s="3" t="s">
        <v>39</v>
      </c>
    </row>
    <row r="598" spans="1:33">
      <c r="A598" s="1">
        <v>45212.762168761576</v>
      </c>
      <c r="B598" s="3" t="s">
        <v>1024</v>
      </c>
      <c r="C598" s="2">
        <v>32539</v>
      </c>
      <c r="D598" s="3">
        <v>34</v>
      </c>
      <c r="E598" s="3" t="s">
        <v>510</v>
      </c>
      <c r="F598" s="3" t="s">
        <v>529</v>
      </c>
      <c r="G598" s="3" t="s">
        <v>539</v>
      </c>
      <c r="H598" s="2">
        <v>44861</v>
      </c>
      <c r="I598" s="3">
        <v>2</v>
      </c>
      <c r="J598" s="3" t="s">
        <v>542</v>
      </c>
      <c r="K598" s="3">
        <v>3470</v>
      </c>
      <c r="L598" s="3">
        <v>38</v>
      </c>
      <c r="M598" s="3">
        <v>55</v>
      </c>
      <c r="N598" s="3">
        <v>66</v>
      </c>
      <c r="O598" s="3">
        <v>155</v>
      </c>
      <c r="P598" s="3" t="s">
        <v>33</v>
      </c>
      <c r="Q598" s="3" t="s">
        <v>26</v>
      </c>
      <c r="S598" s="3" t="s">
        <v>664</v>
      </c>
      <c r="T598" s="3" t="s">
        <v>43</v>
      </c>
      <c r="U598" s="3">
        <v>7</v>
      </c>
      <c r="V598" s="3">
        <v>1</v>
      </c>
      <c r="W598" s="3" t="s">
        <v>34</v>
      </c>
      <c r="X598" s="3" t="s">
        <v>409</v>
      </c>
      <c r="Y598" s="3">
        <v>7</v>
      </c>
      <c r="Z598" s="3">
        <v>1</v>
      </c>
      <c r="AA598" s="3" t="s">
        <v>49</v>
      </c>
      <c r="AB598" s="3" t="s">
        <v>226</v>
      </c>
      <c r="AC598" s="3" t="s">
        <v>664</v>
      </c>
      <c r="AD598" s="3" t="s">
        <v>55</v>
      </c>
      <c r="AE598" s="3" t="s">
        <v>31</v>
      </c>
      <c r="AF598" s="3" t="s">
        <v>664</v>
      </c>
      <c r="AG598" s="3" t="s">
        <v>39</v>
      </c>
    </row>
    <row r="599" spans="1:33">
      <c r="A599" s="1">
        <v>45212.773088831018</v>
      </c>
      <c r="B599" s="3" t="s">
        <v>1024</v>
      </c>
      <c r="C599" s="2">
        <v>33161</v>
      </c>
      <c r="D599" s="3">
        <v>32</v>
      </c>
      <c r="E599" s="3" t="s">
        <v>510</v>
      </c>
      <c r="F599" s="3" t="s">
        <v>520</v>
      </c>
      <c r="G599" s="3" t="s">
        <v>539</v>
      </c>
      <c r="H599" s="2">
        <v>43122</v>
      </c>
      <c r="I599" s="3">
        <v>1</v>
      </c>
      <c r="J599" s="3" t="s">
        <v>541</v>
      </c>
      <c r="K599" s="3" t="s">
        <v>1250</v>
      </c>
      <c r="L599" s="3" t="s">
        <v>616</v>
      </c>
      <c r="M599" s="3" t="s">
        <v>316</v>
      </c>
      <c r="N599" s="3" t="s">
        <v>316</v>
      </c>
      <c r="O599" s="3" t="s">
        <v>1328</v>
      </c>
      <c r="P599" s="3" t="s">
        <v>33</v>
      </c>
      <c r="Q599" s="3" t="s">
        <v>26</v>
      </c>
      <c r="S599" s="3" t="s">
        <v>664</v>
      </c>
      <c r="T599" s="3" t="s">
        <v>373</v>
      </c>
      <c r="U599" s="3">
        <v>7</v>
      </c>
      <c r="V599" s="3">
        <v>1</v>
      </c>
      <c r="W599" s="3" t="s">
        <v>34</v>
      </c>
      <c r="X599" s="3" t="s">
        <v>803</v>
      </c>
      <c r="Y599" s="3">
        <v>7</v>
      </c>
      <c r="Z599" s="3">
        <v>1</v>
      </c>
      <c r="AA599" s="3" t="s">
        <v>49</v>
      </c>
      <c r="AB599" s="3" t="s">
        <v>29</v>
      </c>
      <c r="AC599" s="3" t="s">
        <v>664</v>
      </c>
      <c r="AD599" s="3" t="s">
        <v>55</v>
      </c>
      <c r="AE599" s="3" t="s">
        <v>31</v>
      </c>
      <c r="AF599" s="3" t="s">
        <v>664</v>
      </c>
      <c r="AG599" s="3" t="s">
        <v>48</v>
      </c>
    </row>
    <row r="600" spans="1:33">
      <c r="A600" s="1">
        <v>45212.775519745366</v>
      </c>
      <c r="B600" s="3" t="s">
        <v>1024</v>
      </c>
      <c r="C600" s="2">
        <v>34586</v>
      </c>
      <c r="D600" s="3">
        <v>28</v>
      </c>
      <c r="E600" s="3" t="s">
        <v>510</v>
      </c>
      <c r="F600" s="3" t="s">
        <v>531</v>
      </c>
      <c r="G600" s="3" t="s">
        <v>539</v>
      </c>
      <c r="H600" s="2">
        <v>44621</v>
      </c>
      <c r="I600" s="3">
        <v>1</v>
      </c>
      <c r="J600" s="3" t="s">
        <v>541</v>
      </c>
      <c r="K600" s="3">
        <v>2750</v>
      </c>
      <c r="L600" s="3" t="s">
        <v>804</v>
      </c>
      <c r="M600" s="3">
        <v>63</v>
      </c>
      <c r="N600" s="3">
        <v>73</v>
      </c>
      <c r="O600" s="3">
        <v>162</v>
      </c>
      <c r="P600" s="3" t="s">
        <v>33</v>
      </c>
      <c r="Q600" s="3" t="s">
        <v>26</v>
      </c>
      <c r="S600" s="3" t="s">
        <v>664</v>
      </c>
      <c r="T600" s="3" t="s">
        <v>27</v>
      </c>
      <c r="U600" s="3">
        <v>7</v>
      </c>
      <c r="V600" s="3">
        <v>1</v>
      </c>
      <c r="W600" s="3" t="s">
        <v>34</v>
      </c>
      <c r="X600" s="3" t="s">
        <v>410</v>
      </c>
      <c r="Y600" s="3">
        <v>7</v>
      </c>
      <c r="Z600" s="3">
        <v>1</v>
      </c>
      <c r="AA600" s="3" t="s">
        <v>28</v>
      </c>
      <c r="AB600" s="3" t="s">
        <v>411</v>
      </c>
      <c r="AC600" s="3" t="s">
        <v>664</v>
      </c>
      <c r="AD600" s="3" t="s">
        <v>30</v>
      </c>
      <c r="AE600" s="3" t="s">
        <v>38</v>
      </c>
      <c r="AF600" s="3" t="s">
        <v>26</v>
      </c>
      <c r="AG600" s="3" t="s">
        <v>62</v>
      </c>
    </row>
    <row r="601" spans="1:33">
      <c r="A601" s="1">
        <v>45212.787411967598</v>
      </c>
      <c r="B601" s="3" t="s">
        <v>1024</v>
      </c>
      <c r="C601" s="2">
        <v>31387</v>
      </c>
      <c r="D601" s="3">
        <v>37</v>
      </c>
      <c r="E601" s="3" t="s">
        <v>510</v>
      </c>
      <c r="F601" s="3" t="s">
        <v>524</v>
      </c>
      <c r="G601" s="3" t="s">
        <v>540</v>
      </c>
      <c r="H601" s="2">
        <v>43901</v>
      </c>
      <c r="I601" s="3">
        <v>1</v>
      </c>
      <c r="J601" s="3" t="s">
        <v>541</v>
      </c>
      <c r="K601" s="3">
        <v>2979</v>
      </c>
      <c r="L601" s="3" t="s">
        <v>736</v>
      </c>
      <c r="M601" s="3">
        <v>72</v>
      </c>
      <c r="N601" s="3">
        <v>82</v>
      </c>
      <c r="O601" s="3">
        <v>165</v>
      </c>
      <c r="P601" s="3" t="s">
        <v>33</v>
      </c>
      <c r="Q601" s="3" t="s">
        <v>34</v>
      </c>
      <c r="R601" s="3" t="s">
        <v>412</v>
      </c>
      <c r="S601" s="3" t="s">
        <v>664</v>
      </c>
      <c r="T601" s="3" t="s">
        <v>79</v>
      </c>
      <c r="U601" s="3">
        <v>7</v>
      </c>
      <c r="V601" s="3">
        <v>1</v>
      </c>
      <c r="W601" s="3" t="s">
        <v>34</v>
      </c>
      <c r="X601" s="3" t="s">
        <v>245</v>
      </c>
      <c r="Y601" s="3">
        <v>1</v>
      </c>
      <c r="Z601" s="3">
        <v>1</v>
      </c>
      <c r="AA601" s="3" t="s">
        <v>28</v>
      </c>
      <c r="AB601" s="3" t="s">
        <v>29</v>
      </c>
      <c r="AC601" s="3" t="s">
        <v>664</v>
      </c>
      <c r="AD601" s="3" t="s">
        <v>30</v>
      </c>
      <c r="AE601" s="3" t="s">
        <v>31</v>
      </c>
      <c r="AF601" s="3" t="s">
        <v>664</v>
      </c>
      <c r="AG601" s="3" t="s">
        <v>39</v>
      </c>
    </row>
    <row r="602" spans="1:33">
      <c r="A602" s="1">
        <v>45212.817766168984</v>
      </c>
      <c r="B602" s="3" t="s">
        <v>1024</v>
      </c>
      <c r="C602" s="2">
        <v>33708</v>
      </c>
      <c r="D602" s="3">
        <v>31</v>
      </c>
      <c r="E602" s="3" t="s">
        <v>510</v>
      </c>
      <c r="F602" s="3" t="s">
        <v>533</v>
      </c>
      <c r="G602" s="3" t="s">
        <v>539</v>
      </c>
      <c r="H602" s="2">
        <v>43807</v>
      </c>
      <c r="I602" s="3">
        <v>1</v>
      </c>
      <c r="J602" s="3" t="s">
        <v>541</v>
      </c>
      <c r="K602" s="3" t="s">
        <v>1329</v>
      </c>
      <c r="L602" s="3" t="s">
        <v>800</v>
      </c>
      <c r="M602" s="3">
        <v>48</v>
      </c>
      <c r="N602" s="3">
        <v>64</v>
      </c>
      <c r="O602" s="3">
        <v>156</v>
      </c>
      <c r="P602" s="3" t="s">
        <v>33</v>
      </c>
      <c r="Q602" s="3" t="s">
        <v>26</v>
      </c>
      <c r="S602" s="3" t="s">
        <v>664</v>
      </c>
      <c r="T602" s="3" t="s">
        <v>79</v>
      </c>
      <c r="U602" s="3">
        <v>7</v>
      </c>
      <c r="V602" s="3">
        <v>1</v>
      </c>
      <c r="W602" s="3" t="s">
        <v>26</v>
      </c>
      <c r="AA602" s="3" t="s">
        <v>28</v>
      </c>
      <c r="AB602" s="3" t="s">
        <v>29</v>
      </c>
      <c r="AC602" s="3" t="s">
        <v>664</v>
      </c>
      <c r="AD602" s="3" t="s">
        <v>30</v>
      </c>
      <c r="AE602" s="3" t="s">
        <v>31</v>
      </c>
      <c r="AF602" s="3" t="s">
        <v>664</v>
      </c>
      <c r="AG602" s="3" t="s">
        <v>94</v>
      </c>
    </row>
    <row r="603" spans="1:33">
      <c r="A603" s="1">
        <v>45212.826452013891</v>
      </c>
      <c r="B603" s="3" t="s">
        <v>1024</v>
      </c>
      <c r="C603" s="2">
        <v>32129</v>
      </c>
      <c r="D603" s="3">
        <v>35</v>
      </c>
      <c r="E603" s="3" t="s">
        <v>510</v>
      </c>
      <c r="F603" s="3" t="s">
        <v>528</v>
      </c>
      <c r="G603" s="3" t="s">
        <v>537</v>
      </c>
      <c r="H603" s="2">
        <v>44834</v>
      </c>
      <c r="I603" s="3">
        <v>3</v>
      </c>
      <c r="J603" s="3" t="s">
        <v>542</v>
      </c>
      <c r="K603" s="3">
        <v>3.38</v>
      </c>
      <c r="L603" s="3" t="s">
        <v>661</v>
      </c>
      <c r="M603" s="3">
        <v>68</v>
      </c>
      <c r="N603" s="3">
        <v>75</v>
      </c>
      <c r="O603" s="3">
        <v>154</v>
      </c>
      <c r="P603" s="3" t="s">
        <v>33</v>
      </c>
      <c r="Q603" s="3" t="s">
        <v>26</v>
      </c>
      <c r="S603" s="3" t="s">
        <v>664</v>
      </c>
      <c r="T603" s="3" t="s">
        <v>57</v>
      </c>
      <c r="U603" s="3">
        <v>7</v>
      </c>
      <c r="V603" s="3">
        <v>1</v>
      </c>
      <c r="W603" s="3" t="s">
        <v>26</v>
      </c>
      <c r="AA603" s="3" t="s">
        <v>49</v>
      </c>
      <c r="AB603" s="3" t="s">
        <v>29</v>
      </c>
      <c r="AC603" s="3" t="s">
        <v>664</v>
      </c>
      <c r="AD603" s="3" t="s">
        <v>30</v>
      </c>
      <c r="AE603" s="3" t="s">
        <v>38</v>
      </c>
      <c r="AF603" s="3" t="s">
        <v>664</v>
      </c>
      <c r="AG603" s="3" t="s">
        <v>39</v>
      </c>
    </row>
    <row r="604" spans="1:33">
      <c r="A604" s="1">
        <v>45212.830445115746</v>
      </c>
      <c r="B604" s="3" t="s">
        <v>1024</v>
      </c>
      <c r="C604" s="2">
        <v>31631</v>
      </c>
      <c r="D604" s="3">
        <v>37</v>
      </c>
      <c r="E604" s="3" t="s">
        <v>510</v>
      </c>
      <c r="F604" s="3" t="s">
        <v>520</v>
      </c>
      <c r="G604" s="3" t="s">
        <v>539</v>
      </c>
      <c r="H604" s="2">
        <v>43188</v>
      </c>
      <c r="I604" s="3">
        <v>1</v>
      </c>
      <c r="J604" s="3" t="s">
        <v>542</v>
      </c>
      <c r="K604" s="3">
        <v>3310</v>
      </c>
      <c r="L604" s="3">
        <v>38</v>
      </c>
      <c r="M604" s="3">
        <v>72</v>
      </c>
      <c r="N604" s="3">
        <v>92</v>
      </c>
      <c r="O604" s="3">
        <v>163</v>
      </c>
      <c r="P604" s="3" t="s">
        <v>33</v>
      </c>
      <c r="Q604" s="3" t="s">
        <v>26</v>
      </c>
      <c r="S604" s="3" t="s">
        <v>664</v>
      </c>
      <c r="T604" s="3" t="s">
        <v>27</v>
      </c>
      <c r="U604" s="3">
        <v>7</v>
      </c>
      <c r="V604" s="3">
        <v>1</v>
      </c>
      <c r="W604" s="3" t="s">
        <v>26</v>
      </c>
      <c r="AA604" s="3" t="s">
        <v>42</v>
      </c>
      <c r="AB604" s="3" t="s">
        <v>29</v>
      </c>
      <c r="AC604" s="3" t="s">
        <v>664</v>
      </c>
      <c r="AD604" s="3" t="s">
        <v>30</v>
      </c>
      <c r="AE604" s="3" t="s">
        <v>31</v>
      </c>
      <c r="AF604" s="3" t="s">
        <v>664</v>
      </c>
      <c r="AG604" s="3" t="s">
        <v>39</v>
      </c>
    </row>
    <row r="605" spans="1:33">
      <c r="A605" s="1">
        <v>45212.830752037036</v>
      </c>
      <c r="B605" s="3" t="s">
        <v>1024</v>
      </c>
      <c r="C605" s="2">
        <v>45212</v>
      </c>
      <c r="D605" s="3">
        <v>32</v>
      </c>
      <c r="E605" s="3" t="s">
        <v>510</v>
      </c>
      <c r="F605" s="3" t="s">
        <v>521</v>
      </c>
      <c r="G605" s="3" t="s">
        <v>539</v>
      </c>
      <c r="H605" s="2">
        <v>44888</v>
      </c>
      <c r="I605" s="3">
        <v>2</v>
      </c>
      <c r="J605" s="3" t="s">
        <v>542</v>
      </c>
      <c r="K605" s="3">
        <v>3400</v>
      </c>
      <c r="L605" s="3" t="s">
        <v>627</v>
      </c>
      <c r="M605" s="3">
        <v>92</v>
      </c>
      <c r="N605" s="3">
        <v>95</v>
      </c>
      <c r="O605" s="3">
        <v>165</v>
      </c>
      <c r="P605" s="3" t="s">
        <v>33</v>
      </c>
      <c r="Q605" s="3" t="s">
        <v>26</v>
      </c>
      <c r="S605" s="3" t="s">
        <v>664</v>
      </c>
      <c r="T605" s="3" t="s">
        <v>27</v>
      </c>
      <c r="U605" s="3">
        <v>7</v>
      </c>
      <c r="V605" s="3">
        <v>1</v>
      </c>
      <c r="W605" s="3" t="s">
        <v>34</v>
      </c>
      <c r="X605" s="3" t="s">
        <v>413</v>
      </c>
      <c r="Y605" s="3">
        <v>7</v>
      </c>
      <c r="Z605" s="3">
        <v>1</v>
      </c>
      <c r="AA605" s="3" t="s">
        <v>49</v>
      </c>
      <c r="AB605" s="3" t="s">
        <v>29</v>
      </c>
      <c r="AC605" s="3" t="s">
        <v>664</v>
      </c>
      <c r="AD605" s="3" t="s">
        <v>55</v>
      </c>
      <c r="AE605" s="3" t="s">
        <v>38</v>
      </c>
      <c r="AF605" s="3" t="s">
        <v>664</v>
      </c>
      <c r="AG605" s="3" t="s">
        <v>39</v>
      </c>
    </row>
    <row r="606" spans="1:33">
      <c r="A606" s="1">
        <v>45212.835315173608</v>
      </c>
      <c r="B606" s="3" t="s">
        <v>1024</v>
      </c>
      <c r="C606" s="2">
        <v>31311</v>
      </c>
      <c r="D606" s="3">
        <v>38</v>
      </c>
      <c r="E606" s="3" t="s">
        <v>510</v>
      </c>
      <c r="F606" s="3" t="s">
        <v>520</v>
      </c>
      <c r="G606" s="3" t="s">
        <v>539</v>
      </c>
      <c r="H606" s="2">
        <v>43381</v>
      </c>
      <c r="I606" s="3">
        <v>2</v>
      </c>
      <c r="J606" s="3" t="s">
        <v>542</v>
      </c>
      <c r="K606" s="3">
        <v>3070</v>
      </c>
      <c r="L606" s="3" t="s">
        <v>805</v>
      </c>
      <c r="M606" s="3">
        <v>80</v>
      </c>
      <c r="N606" s="3">
        <v>70</v>
      </c>
      <c r="O606" s="3">
        <v>156</v>
      </c>
      <c r="P606" s="3" t="s">
        <v>44</v>
      </c>
      <c r="Q606" s="3" t="s">
        <v>26</v>
      </c>
      <c r="S606" s="3" t="s">
        <v>664</v>
      </c>
      <c r="T606" s="3" t="s">
        <v>632</v>
      </c>
      <c r="U606" s="3">
        <v>7</v>
      </c>
      <c r="V606" s="3">
        <v>1</v>
      </c>
      <c r="W606" s="3" t="s">
        <v>34</v>
      </c>
      <c r="X606" s="3" t="s">
        <v>316</v>
      </c>
      <c r="Y606" s="3">
        <v>7</v>
      </c>
      <c r="Z606" s="3">
        <v>1</v>
      </c>
      <c r="AA606" s="3" t="s">
        <v>49</v>
      </c>
      <c r="AB606" s="3" t="s">
        <v>29</v>
      </c>
      <c r="AC606" s="3" t="s">
        <v>664</v>
      </c>
      <c r="AD606" s="3" t="s">
        <v>55</v>
      </c>
      <c r="AE606" s="3" t="s">
        <v>31</v>
      </c>
      <c r="AF606" s="3" t="s">
        <v>664</v>
      </c>
      <c r="AG606" s="3" t="s">
        <v>39</v>
      </c>
    </row>
    <row r="607" spans="1:33">
      <c r="A607" s="1">
        <v>45212.838968703705</v>
      </c>
      <c r="B607" s="3" t="s">
        <v>1024</v>
      </c>
      <c r="C607" s="2">
        <v>31937</v>
      </c>
      <c r="D607" s="3">
        <v>36</v>
      </c>
      <c r="E607" s="3" t="s">
        <v>510</v>
      </c>
      <c r="F607" s="3" t="s">
        <v>526</v>
      </c>
      <c r="G607" s="3" t="s">
        <v>539</v>
      </c>
      <c r="H607" s="2">
        <v>43724</v>
      </c>
      <c r="I607" s="3">
        <v>1</v>
      </c>
      <c r="J607" s="3" t="s">
        <v>542</v>
      </c>
      <c r="K607" s="3" t="s">
        <v>1330</v>
      </c>
      <c r="L607" s="3" t="s">
        <v>616</v>
      </c>
      <c r="M607" s="3">
        <v>90</v>
      </c>
      <c r="N607" s="3">
        <v>98</v>
      </c>
      <c r="O607" s="3">
        <v>157</v>
      </c>
      <c r="P607" s="3" t="s">
        <v>33</v>
      </c>
      <c r="Q607" s="3" t="s">
        <v>26</v>
      </c>
      <c r="S607" s="3" t="s">
        <v>664</v>
      </c>
      <c r="T607" s="3" t="s">
        <v>43</v>
      </c>
      <c r="U607" s="3">
        <v>7</v>
      </c>
      <c r="V607" s="3">
        <v>1</v>
      </c>
      <c r="W607" s="3" t="s">
        <v>34</v>
      </c>
      <c r="X607" s="3" t="s">
        <v>128</v>
      </c>
      <c r="Y607" s="3">
        <v>7</v>
      </c>
      <c r="Z607" s="3">
        <v>1</v>
      </c>
      <c r="AA607" s="3" t="s">
        <v>42</v>
      </c>
      <c r="AB607" s="3" t="s">
        <v>414</v>
      </c>
      <c r="AC607" s="3" t="s">
        <v>664</v>
      </c>
      <c r="AD607" s="3" t="s">
        <v>30</v>
      </c>
      <c r="AE607" s="3" t="s">
        <v>31</v>
      </c>
      <c r="AF607" s="3" t="s">
        <v>664</v>
      </c>
      <c r="AG607" s="3" t="s">
        <v>39</v>
      </c>
    </row>
    <row r="608" spans="1:33">
      <c r="A608" s="1">
        <v>45212.844316168979</v>
      </c>
      <c r="B608" s="3" t="s">
        <v>1024</v>
      </c>
      <c r="C608" s="2">
        <v>31082</v>
      </c>
      <c r="D608" s="3">
        <v>38</v>
      </c>
      <c r="E608" s="3" t="s">
        <v>510</v>
      </c>
      <c r="F608" s="3" t="s">
        <v>528</v>
      </c>
      <c r="G608" s="3" t="s">
        <v>539</v>
      </c>
      <c r="H608" s="2">
        <v>44828</v>
      </c>
      <c r="I608" s="3">
        <v>1</v>
      </c>
      <c r="J608" s="3" t="s">
        <v>542</v>
      </c>
      <c r="K608" s="3">
        <v>2890</v>
      </c>
      <c r="L608" s="3">
        <v>38</v>
      </c>
      <c r="M608" s="3">
        <v>66</v>
      </c>
      <c r="N608" s="3">
        <v>73</v>
      </c>
      <c r="O608" s="3">
        <v>158</v>
      </c>
      <c r="P608" s="3" t="s">
        <v>33</v>
      </c>
      <c r="Q608" s="3" t="s">
        <v>26</v>
      </c>
      <c r="S608" s="3" t="s">
        <v>664</v>
      </c>
      <c r="T608" s="3" t="s">
        <v>27</v>
      </c>
      <c r="U608" s="3">
        <v>7</v>
      </c>
      <c r="V608" s="3">
        <v>1</v>
      </c>
      <c r="W608" s="3" t="s">
        <v>34</v>
      </c>
      <c r="X608" s="3" t="s">
        <v>415</v>
      </c>
      <c r="Y608" s="3">
        <v>7</v>
      </c>
      <c r="Z608" s="3">
        <v>1</v>
      </c>
      <c r="AA608" s="3" t="s">
        <v>228</v>
      </c>
      <c r="AB608" s="3" t="s">
        <v>416</v>
      </c>
      <c r="AC608" s="3" t="s">
        <v>664</v>
      </c>
      <c r="AD608" s="3" t="s">
        <v>417</v>
      </c>
      <c r="AE608" s="3" t="s">
        <v>38</v>
      </c>
      <c r="AF608" s="3" t="s">
        <v>664</v>
      </c>
      <c r="AG608" s="3" t="s">
        <v>32</v>
      </c>
    </row>
    <row r="609" spans="1:33">
      <c r="A609" s="1">
        <v>45212.84575143519</v>
      </c>
      <c r="B609" s="3" t="s">
        <v>1024</v>
      </c>
      <c r="C609" s="2">
        <v>30881</v>
      </c>
      <c r="D609" s="3">
        <v>39</v>
      </c>
      <c r="E609" s="3" t="s">
        <v>510</v>
      </c>
      <c r="F609" s="3" t="s">
        <v>529</v>
      </c>
      <c r="G609" s="3" t="s">
        <v>540</v>
      </c>
      <c r="H609" s="2">
        <v>44832</v>
      </c>
      <c r="I609" s="3">
        <v>2</v>
      </c>
      <c r="J609" s="3" t="s">
        <v>541</v>
      </c>
      <c r="K609" s="3">
        <v>3250</v>
      </c>
      <c r="L609" s="3">
        <v>36</v>
      </c>
      <c r="M609" s="3">
        <v>72</v>
      </c>
      <c r="N609" s="3">
        <v>82</v>
      </c>
      <c r="O609" s="3">
        <v>164</v>
      </c>
      <c r="P609" s="3" t="s">
        <v>173</v>
      </c>
      <c r="Q609" s="3" t="s">
        <v>26</v>
      </c>
      <c r="S609" s="3" t="s">
        <v>664</v>
      </c>
      <c r="T609" s="3" t="s">
        <v>27</v>
      </c>
      <c r="U609" s="3">
        <v>7</v>
      </c>
      <c r="V609" s="3">
        <v>1</v>
      </c>
      <c r="W609" s="3" t="s">
        <v>26</v>
      </c>
      <c r="AA609" s="3" t="s">
        <v>49</v>
      </c>
      <c r="AB609" s="3" t="s">
        <v>29</v>
      </c>
      <c r="AC609" s="3" t="s">
        <v>664</v>
      </c>
      <c r="AD609" s="3" t="s">
        <v>37</v>
      </c>
      <c r="AE609" s="3" t="s">
        <v>38</v>
      </c>
      <c r="AF609" s="3" t="s">
        <v>664</v>
      </c>
      <c r="AG609" s="3" t="s">
        <v>32</v>
      </c>
    </row>
    <row r="610" spans="1:33">
      <c r="A610" s="1">
        <v>45212.849754907409</v>
      </c>
      <c r="B610" s="3" t="s">
        <v>1024</v>
      </c>
      <c r="C610" s="2">
        <v>30857</v>
      </c>
      <c r="D610" s="3">
        <v>39</v>
      </c>
      <c r="E610" s="3" t="s">
        <v>510</v>
      </c>
      <c r="F610" s="3" t="s">
        <v>529</v>
      </c>
      <c r="G610" s="3" t="s">
        <v>540</v>
      </c>
      <c r="H610" s="2">
        <v>44872</v>
      </c>
      <c r="I610" s="3">
        <v>2</v>
      </c>
      <c r="J610" s="3" t="s">
        <v>541</v>
      </c>
      <c r="K610" s="3" t="s">
        <v>1331</v>
      </c>
      <c r="L610" s="3" t="s">
        <v>806</v>
      </c>
      <c r="M610" s="3">
        <v>74</v>
      </c>
      <c r="N610" s="3">
        <v>80</v>
      </c>
      <c r="O610" s="3">
        <v>160</v>
      </c>
      <c r="P610" s="3" t="s">
        <v>123</v>
      </c>
      <c r="Q610" s="3" t="s">
        <v>26</v>
      </c>
      <c r="S610" s="3" t="s">
        <v>664</v>
      </c>
      <c r="T610" s="3" t="s">
        <v>508</v>
      </c>
      <c r="U610" s="3">
        <v>7</v>
      </c>
      <c r="V610" s="3">
        <v>1</v>
      </c>
      <c r="W610" s="3" t="s">
        <v>26</v>
      </c>
      <c r="AA610" s="3" t="s">
        <v>28</v>
      </c>
      <c r="AB610" s="3" t="s">
        <v>567</v>
      </c>
      <c r="AC610" s="3" t="s">
        <v>664</v>
      </c>
      <c r="AD610" s="3" t="s">
        <v>37</v>
      </c>
      <c r="AE610" s="3" t="s">
        <v>31</v>
      </c>
      <c r="AF610" s="3" t="s">
        <v>664</v>
      </c>
      <c r="AG610" s="3" t="s">
        <v>39</v>
      </c>
    </row>
    <row r="611" spans="1:33">
      <c r="A611" s="1">
        <v>45212.850089120373</v>
      </c>
      <c r="B611" s="3" t="s">
        <v>1024</v>
      </c>
      <c r="C611" s="2">
        <v>31404</v>
      </c>
      <c r="D611" s="3">
        <v>37</v>
      </c>
      <c r="E611" s="3" t="s">
        <v>510</v>
      </c>
      <c r="F611" s="3" t="s">
        <v>531</v>
      </c>
      <c r="G611" s="3" t="s">
        <v>539</v>
      </c>
      <c r="H611" s="2">
        <v>44698</v>
      </c>
      <c r="I611" s="3">
        <v>4</v>
      </c>
      <c r="J611" s="3" t="s">
        <v>542</v>
      </c>
      <c r="K611" s="3">
        <v>3640</v>
      </c>
      <c r="L611" s="3" t="s">
        <v>618</v>
      </c>
      <c r="M611" s="3">
        <v>78</v>
      </c>
      <c r="N611" s="3">
        <v>81</v>
      </c>
      <c r="O611" s="3">
        <v>168</v>
      </c>
      <c r="P611" s="3" t="s">
        <v>44</v>
      </c>
      <c r="Q611" s="3" t="s">
        <v>26</v>
      </c>
      <c r="S611" s="3" t="s">
        <v>664</v>
      </c>
      <c r="T611" s="3" t="s">
        <v>56</v>
      </c>
      <c r="U611" s="3">
        <v>7</v>
      </c>
      <c r="V611" s="3">
        <v>1</v>
      </c>
      <c r="W611" s="3" t="s">
        <v>34</v>
      </c>
      <c r="X611" s="3" t="s">
        <v>245</v>
      </c>
      <c r="Y611" s="3">
        <v>7</v>
      </c>
      <c r="Z611" s="3">
        <v>1</v>
      </c>
      <c r="AA611" s="3" t="s">
        <v>114</v>
      </c>
      <c r="AB611" s="3" t="s">
        <v>29</v>
      </c>
      <c r="AC611" s="3" t="s">
        <v>664</v>
      </c>
      <c r="AD611" s="3" t="s">
        <v>30</v>
      </c>
      <c r="AE611" s="3" t="s">
        <v>38</v>
      </c>
      <c r="AF611" s="3" t="s">
        <v>664</v>
      </c>
      <c r="AG611" s="3" t="s">
        <v>32</v>
      </c>
    </row>
    <row r="612" spans="1:33">
      <c r="A612" s="1">
        <v>45212.851396192127</v>
      </c>
      <c r="B612" s="3" t="s">
        <v>1024</v>
      </c>
      <c r="C612" s="2">
        <v>31692</v>
      </c>
      <c r="D612" s="3">
        <v>37</v>
      </c>
      <c r="E612" s="3" t="s">
        <v>1157</v>
      </c>
      <c r="F612" s="3" t="s">
        <v>520</v>
      </c>
      <c r="G612" s="3" t="s">
        <v>540</v>
      </c>
      <c r="H612" s="2">
        <v>44468</v>
      </c>
      <c r="I612" s="3">
        <v>1</v>
      </c>
      <c r="J612" s="3" t="s">
        <v>541</v>
      </c>
      <c r="K612" s="3">
        <v>2950</v>
      </c>
      <c r="L612" s="3" t="s">
        <v>807</v>
      </c>
      <c r="M612" s="3">
        <v>57</v>
      </c>
      <c r="N612" s="3">
        <v>69</v>
      </c>
      <c r="O612" s="3">
        <v>161</v>
      </c>
      <c r="P612" s="3" t="s">
        <v>50</v>
      </c>
      <c r="Q612" s="3" t="s">
        <v>26</v>
      </c>
      <c r="S612" s="3" t="s">
        <v>664</v>
      </c>
      <c r="T612" s="3" t="s">
        <v>57</v>
      </c>
      <c r="U612" s="3">
        <v>7</v>
      </c>
      <c r="V612" s="3">
        <v>1</v>
      </c>
      <c r="W612" s="3" t="s">
        <v>34</v>
      </c>
      <c r="X612" s="3" t="s">
        <v>61</v>
      </c>
      <c r="Y612" s="3">
        <v>7</v>
      </c>
      <c r="Z612" s="3">
        <v>1</v>
      </c>
      <c r="AA612" s="3" t="s">
        <v>28</v>
      </c>
      <c r="AB612" s="3" t="s">
        <v>189</v>
      </c>
      <c r="AC612" s="3" t="s">
        <v>664</v>
      </c>
      <c r="AD612" s="3" t="s">
        <v>37</v>
      </c>
      <c r="AE612" s="3" t="s">
        <v>38</v>
      </c>
      <c r="AF612" s="3" t="s">
        <v>664</v>
      </c>
      <c r="AG612" s="3" t="s">
        <v>32</v>
      </c>
    </row>
    <row r="613" spans="1:33">
      <c r="A613" s="1">
        <v>45212.855804560182</v>
      </c>
      <c r="B613" s="3" t="s">
        <v>1024</v>
      </c>
      <c r="C613" s="2">
        <v>30423</v>
      </c>
      <c r="D613" s="3">
        <v>40</v>
      </c>
      <c r="E613" s="3" t="s">
        <v>510</v>
      </c>
      <c r="F613" s="3" t="s">
        <v>527</v>
      </c>
      <c r="G613" s="3" t="s">
        <v>540</v>
      </c>
      <c r="H613" s="2">
        <v>44730</v>
      </c>
      <c r="I613" s="3">
        <v>3</v>
      </c>
      <c r="J613" s="3" t="s">
        <v>541</v>
      </c>
      <c r="K613" s="3">
        <v>4050</v>
      </c>
      <c r="L613" s="3">
        <v>38</v>
      </c>
      <c r="M613" s="3">
        <v>80</v>
      </c>
      <c r="N613" s="3">
        <v>102</v>
      </c>
      <c r="O613" s="3">
        <v>167</v>
      </c>
      <c r="P613" s="3" t="s">
        <v>33</v>
      </c>
      <c r="Q613" s="3" t="s">
        <v>26</v>
      </c>
      <c r="S613" s="3" t="s">
        <v>664</v>
      </c>
      <c r="T613" s="3" t="s">
        <v>472</v>
      </c>
      <c r="U613" s="3">
        <v>7</v>
      </c>
      <c r="V613" s="3">
        <v>1</v>
      </c>
      <c r="W613" s="3" t="s">
        <v>34</v>
      </c>
      <c r="X613" s="3" t="s">
        <v>58</v>
      </c>
      <c r="Y613" s="3">
        <v>7</v>
      </c>
      <c r="Z613" s="3">
        <v>1</v>
      </c>
      <c r="AA613" s="3" t="s">
        <v>42</v>
      </c>
      <c r="AB613" s="3" t="s">
        <v>29</v>
      </c>
      <c r="AC613" s="3" t="s">
        <v>664</v>
      </c>
      <c r="AD613" s="3" t="s">
        <v>55</v>
      </c>
      <c r="AE613" s="3" t="s">
        <v>31</v>
      </c>
      <c r="AF613" s="3" t="s">
        <v>664</v>
      </c>
      <c r="AG613" s="3" t="s">
        <v>62</v>
      </c>
    </row>
    <row r="614" spans="1:33">
      <c r="A614" s="1">
        <v>45212.856353124997</v>
      </c>
      <c r="B614" s="3" t="s">
        <v>1024</v>
      </c>
      <c r="C614" s="2">
        <v>33633</v>
      </c>
      <c r="D614" s="3">
        <v>31</v>
      </c>
      <c r="E614" s="3" t="s">
        <v>510</v>
      </c>
      <c r="F614" s="3" t="s">
        <v>520</v>
      </c>
      <c r="G614" s="3" t="s">
        <v>539</v>
      </c>
      <c r="H614" s="2">
        <v>44852</v>
      </c>
      <c r="I614" s="3">
        <v>1</v>
      </c>
      <c r="J614" s="3" t="s">
        <v>541</v>
      </c>
      <c r="K614" s="3" t="s">
        <v>1332</v>
      </c>
      <c r="L614" s="3" t="s">
        <v>808</v>
      </c>
      <c r="M614" s="3">
        <v>69</v>
      </c>
      <c r="N614" s="3">
        <v>68</v>
      </c>
      <c r="O614" s="3">
        <v>165</v>
      </c>
      <c r="P614" s="3" t="s">
        <v>33</v>
      </c>
      <c r="Q614" s="3" t="s">
        <v>26</v>
      </c>
      <c r="S614" s="3" t="s">
        <v>664</v>
      </c>
      <c r="T614" s="3" t="s">
        <v>57</v>
      </c>
      <c r="U614" s="3">
        <v>7</v>
      </c>
      <c r="V614" s="3">
        <v>1</v>
      </c>
      <c r="W614" s="3" t="s">
        <v>34</v>
      </c>
      <c r="X614" s="3" t="s">
        <v>71</v>
      </c>
      <c r="Y614" s="3">
        <v>7</v>
      </c>
      <c r="Z614" s="3">
        <v>1</v>
      </c>
      <c r="AA614" s="3" t="s">
        <v>28</v>
      </c>
      <c r="AB614" s="3" t="s">
        <v>29</v>
      </c>
      <c r="AC614" s="3" t="s">
        <v>26</v>
      </c>
      <c r="AD614" s="3" t="s">
        <v>30</v>
      </c>
      <c r="AE614" s="3" t="s">
        <v>31</v>
      </c>
      <c r="AF614" s="3" t="s">
        <v>664</v>
      </c>
      <c r="AG614" s="3" t="s">
        <v>39</v>
      </c>
    </row>
    <row r="615" spans="1:33">
      <c r="A615" s="1">
        <v>45212.866990694441</v>
      </c>
      <c r="B615" s="3" t="s">
        <v>1024</v>
      </c>
      <c r="C615" s="2">
        <v>31495</v>
      </c>
      <c r="D615" s="3">
        <v>37</v>
      </c>
      <c r="E615" s="3" t="s">
        <v>510</v>
      </c>
      <c r="F615" s="3" t="s">
        <v>520</v>
      </c>
      <c r="G615" s="3" t="s">
        <v>539</v>
      </c>
      <c r="H615" s="2">
        <v>43494</v>
      </c>
      <c r="I615" s="3">
        <v>1</v>
      </c>
      <c r="J615" s="3" t="s">
        <v>542</v>
      </c>
      <c r="K615" s="3">
        <v>3750</v>
      </c>
      <c r="L615" s="3">
        <v>39</v>
      </c>
      <c r="M615" s="3">
        <v>80</v>
      </c>
      <c r="N615" s="3">
        <v>87</v>
      </c>
      <c r="O615" s="3">
        <v>163</v>
      </c>
      <c r="P615" s="3" t="s">
        <v>33</v>
      </c>
      <c r="Q615" s="3" t="s">
        <v>26</v>
      </c>
      <c r="S615" s="3" t="s">
        <v>664</v>
      </c>
      <c r="T615" s="3" t="s">
        <v>79</v>
      </c>
      <c r="U615" s="3">
        <v>7</v>
      </c>
      <c r="V615" s="3">
        <v>1</v>
      </c>
      <c r="W615" s="3" t="s">
        <v>34</v>
      </c>
      <c r="X615" s="3" t="s">
        <v>418</v>
      </c>
      <c r="Y615" s="3">
        <v>7</v>
      </c>
      <c r="Z615" s="3">
        <v>1</v>
      </c>
      <c r="AA615" s="3" t="s">
        <v>42</v>
      </c>
      <c r="AB615" s="3" t="s">
        <v>29</v>
      </c>
      <c r="AC615" s="3" t="s">
        <v>664</v>
      </c>
      <c r="AD615" s="3" t="s">
        <v>30</v>
      </c>
      <c r="AE615" s="3" t="s">
        <v>31</v>
      </c>
      <c r="AF615" s="3" t="s">
        <v>664</v>
      </c>
      <c r="AG615" s="3" t="s">
        <v>48</v>
      </c>
    </row>
    <row r="616" spans="1:33">
      <c r="A616" s="1">
        <v>45212.870306122684</v>
      </c>
      <c r="B616" s="3" t="s">
        <v>1024</v>
      </c>
      <c r="C616" s="2">
        <v>29748</v>
      </c>
      <c r="D616" s="3">
        <v>42</v>
      </c>
      <c r="E616" s="3" t="s">
        <v>510</v>
      </c>
      <c r="F616" s="3" t="s">
        <v>520</v>
      </c>
      <c r="G616" s="3" t="s">
        <v>540</v>
      </c>
      <c r="H616" s="2">
        <v>43807</v>
      </c>
      <c r="I616" s="3">
        <v>2</v>
      </c>
      <c r="J616" s="3" t="s">
        <v>541</v>
      </c>
      <c r="K616" s="3">
        <v>3160</v>
      </c>
      <c r="L616" s="3" t="s">
        <v>1039</v>
      </c>
      <c r="M616" s="3">
        <v>72</v>
      </c>
      <c r="N616" s="3">
        <v>85</v>
      </c>
      <c r="O616" s="3">
        <v>160</v>
      </c>
      <c r="P616" s="3" t="s">
        <v>33</v>
      </c>
      <c r="Q616" s="3" t="s">
        <v>26</v>
      </c>
      <c r="S616" s="3" t="s">
        <v>664</v>
      </c>
      <c r="T616" s="3" t="s">
        <v>56</v>
      </c>
      <c r="U616" s="3">
        <v>7</v>
      </c>
      <c r="V616" s="3">
        <v>1</v>
      </c>
      <c r="W616" s="3" t="s">
        <v>26</v>
      </c>
      <c r="AA616" s="3" t="s">
        <v>28</v>
      </c>
      <c r="AB616" s="3" t="s">
        <v>83</v>
      </c>
      <c r="AC616" s="3" t="s">
        <v>664</v>
      </c>
      <c r="AD616" s="3" t="s">
        <v>30</v>
      </c>
      <c r="AE616" s="3" t="s">
        <v>60</v>
      </c>
      <c r="AF616" s="3" t="s">
        <v>664</v>
      </c>
      <c r="AG616" s="3" t="s">
        <v>62</v>
      </c>
    </row>
    <row r="617" spans="1:33">
      <c r="A617" s="1">
        <v>45212.880030335647</v>
      </c>
      <c r="B617" s="3" t="s">
        <v>1024</v>
      </c>
      <c r="C617" s="2">
        <v>30971</v>
      </c>
      <c r="D617" s="3">
        <v>38</v>
      </c>
      <c r="E617" s="3" t="s">
        <v>510</v>
      </c>
      <c r="F617" s="3" t="s">
        <v>520</v>
      </c>
      <c r="G617" s="3" t="s">
        <v>539</v>
      </c>
      <c r="H617" s="2">
        <v>44826</v>
      </c>
      <c r="I617" s="3">
        <v>2</v>
      </c>
      <c r="J617" s="3" t="s">
        <v>541</v>
      </c>
      <c r="K617" s="3">
        <v>3950</v>
      </c>
      <c r="L617" s="3" t="s">
        <v>627</v>
      </c>
      <c r="M617" s="3">
        <v>75</v>
      </c>
      <c r="N617" s="3">
        <v>85</v>
      </c>
      <c r="O617" s="3">
        <v>165</v>
      </c>
      <c r="P617" s="3" t="s">
        <v>33</v>
      </c>
      <c r="Q617" s="3" t="s">
        <v>26</v>
      </c>
      <c r="S617" s="3" t="s">
        <v>664</v>
      </c>
      <c r="T617" s="3" t="s">
        <v>57</v>
      </c>
      <c r="U617" s="3">
        <v>7</v>
      </c>
      <c r="V617" s="3">
        <v>1</v>
      </c>
      <c r="W617" s="3" t="s">
        <v>34</v>
      </c>
      <c r="X617" s="3" t="s">
        <v>58</v>
      </c>
      <c r="Y617" s="3">
        <v>7</v>
      </c>
      <c r="Z617" s="3">
        <v>1</v>
      </c>
      <c r="AA617" s="3" t="s">
        <v>28</v>
      </c>
      <c r="AB617" s="3" t="s">
        <v>29</v>
      </c>
      <c r="AC617" s="3" t="s">
        <v>664</v>
      </c>
      <c r="AD617" s="3" t="s">
        <v>55</v>
      </c>
      <c r="AE617" s="3" t="s">
        <v>31</v>
      </c>
      <c r="AF617" s="3" t="s">
        <v>664</v>
      </c>
      <c r="AG617" s="3" t="s">
        <v>39</v>
      </c>
    </row>
    <row r="618" spans="1:33">
      <c r="A618" s="1">
        <v>45212.885429560185</v>
      </c>
      <c r="B618" s="3" t="s">
        <v>1024</v>
      </c>
      <c r="C618" s="2">
        <v>30666</v>
      </c>
      <c r="D618" s="3">
        <v>39</v>
      </c>
      <c r="E618" s="3" t="s">
        <v>510</v>
      </c>
      <c r="F618" s="3" t="s">
        <v>531</v>
      </c>
      <c r="G618" s="3" t="s">
        <v>540</v>
      </c>
      <c r="H618" s="2">
        <v>42889</v>
      </c>
      <c r="I618" s="3">
        <v>1</v>
      </c>
      <c r="J618" s="3" t="s">
        <v>542</v>
      </c>
      <c r="K618" s="3">
        <v>3250</v>
      </c>
      <c r="L618" s="3">
        <v>38</v>
      </c>
      <c r="M618" s="3">
        <v>78</v>
      </c>
      <c r="N618" s="3">
        <v>85</v>
      </c>
      <c r="O618" s="3">
        <v>172</v>
      </c>
      <c r="P618" s="3" t="s">
        <v>33</v>
      </c>
      <c r="Q618" s="3" t="s">
        <v>26</v>
      </c>
      <c r="S618" s="3" t="s">
        <v>664</v>
      </c>
      <c r="T618" s="3" t="s">
        <v>57</v>
      </c>
      <c r="U618" s="3">
        <v>7</v>
      </c>
      <c r="V618" s="3">
        <v>1</v>
      </c>
      <c r="W618" s="3" t="s">
        <v>26</v>
      </c>
      <c r="AA618" s="3" t="s">
        <v>49</v>
      </c>
      <c r="AB618" s="3" t="s">
        <v>29</v>
      </c>
      <c r="AC618" s="3" t="s">
        <v>664</v>
      </c>
      <c r="AD618" s="3" t="s">
        <v>37</v>
      </c>
      <c r="AE618" s="3" t="s">
        <v>31</v>
      </c>
      <c r="AF618" s="3" t="s">
        <v>664</v>
      </c>
      <c r="AG618" s="3" t="s">
        <v>39</v>
      </c>
    </row>
    <row r="619" spans="1:33">
      <c r="A619" s="1">
        <v>45212.885981319443</v>
      </c>
      <c r="B619" s="3" t="s">
        <v>1024</v>
      </c>
      <c r="C619" s="2">
        <v>33837</v>
      </c>
      <c r="D619" s="3">
        <v>31</v>
      </c>
      <c r="E619" s="3" t="s">
        <v>510</v>
      </c>
      <c r="F619" s="3" t="s">
        <v>531</v>
      </c>
      <c r="G619" s="3" t="s">
        <v>539</v>
      </c>
      <c r="H619" s="2">
        <v>44544</v>
      </c>
      <c r="I619" s="3">
        <v>1</v>
      </c>
      <c r="J619" s="3" t="s">
        <v>542</v>
      </c>
      <c r="K619" s="3">
        <v>2750</v>
      </c>
      <c r="L619" s="3">
        <v>36</v>
      </c>
      <c r="M619" s="3">
        <v>56</v>
      </c>
      <c r="N619" s="3">
        <v>66</v>
      </c>
      <c r="O619" s="3">
        <v>151</v>
      </c>
      <c r="P619" s="3" t="s">
        <v>44</v>
      </c>
      <c r="Q619" s="3" t="s">
        <v>26</v>
      </c>
      <c r="S619" s="3" t="s">
        <v>664</v>
      </c>
      <c r="T619" s="3" t="s">
        <v>43</v>
      </c>
      <c r="U619" s="3">
        <v>7</v>
      </c>
      <c r="V619" s="3">
        <v>1</v>
      </c>
      <c r="W619" s="3" t="s">
        <v>26</v>
      </c>
      <c r="AA619" s="3" t="s">
        <v>28</v>
      </c>
      <c r="AB619" s="3" t="s">
        <v>29</v>
      </c>
      <c r="AC619" s="3" t="s">
        <v>664</v>
      </c>
      <c r="AD619" s="3" t="s">
        <v>55</v>
      </c>
      <c r="AE619" s="3" t="s">
        <v>31</v>
      </c>
      <c r="AF619" s="3" t="s">
        <v>664</v>
      </c>
      <c r="AG619" s="3" t="s">
        <v>39</v>
      </c>
    </row>
    <row r="620" spans="1:33">
      <c r="A620" s="1">
        <v>45212.888017696758</v>
      </c>
      <c r="B620" s="3" t="s">
        <v>1024</v>
      </c>
      <c r="C620" s="2">
        <v>30242</v>
      </c>
      <c r="D620" s="3">
        <v>40</v>
      </c>
      <c r="E620" s="3" t="s">
        <v>510</v>
      </c>
      <c r="F620" s="3" t="s">
        <v>521</v>
      </c>
      <c r="G620" s="3" t="s">
        <v>539</v>
      </c>
      <c r="H620" s="2">
        <v>43839</v>
      </c>
      <c r="I620" s="3">
        <v>3</v>
      </c>
      <c r="J620" s="3" t="s">
        <v>541</v>
      </c>
      <c r="K620" s="3">
        <v>4005</v>
      </c>
      <c r="L620" s="3">
        <v>40</v>
      </c>
      <c r="M620" s="3">
        <v>72</v>
      </c>
      <c r="N620" s="3">
        <v>88</v>
      </c>
      <c r="O620" s="3">
        <v>158</v>
      </c>
      <c r="P620" s="3" t="s">
        <v>44</v>
      </c>
      <c r="Q620" s="3" t="s">
        <v>26</v>
      </c>
      <c r="S620" s="3" t="s">
        <v>664</v>
      </c>
      <c r="T620" s="3" t="s">
        <v>57</v>
      </c>
      <c r="U620" s="3">
        <v>7</v>
      </c>
      <c r="V620" s="3">
        <v>1</v>
      </c>
      <c r="W620" s="3" t="s">
        <v>26</v>
      </c>
      <c r="AA620" s="3" t="s">
        <v>49</v>
      </c>
      <c r="AB620" s="3" t="s">
        <v>29</v>
      </c>
      <c r="AC620" s="3" t="s">
        <v>664</v>
      </c>
      <c r="AD620" s="3" t="s">
        <v>55</v>
      </c>
      <c r="AE620" s="3" t="s">
        <v>72</v>
      </c>
      <c r="AF620" s="3" t="s">
        <v>664</v>
      </c>
      <c r="AG620" s="3" t="s">
        <v>32</v>
      </c>
    </row>
    <row r="621" spans="1:33">
      <c r="A621" s="1">
        <v>45212.88980261574</v>
      </c>
      <c r="B621" s="3" t="s">
        <v>1024</v>
      </c>
      <c r="C621" s="2">
        <v>30274</v>
      </c>
      <c r="D621" s="3">
        <v>40</v>
      </c>
      <c r="E621" s="3" t="s">
        <v>510</v>
      </c>
      <c r="F621" s="3" t="s">
        <v>521</v>
      </c>
      <c r="G621" s="3" t="s">
        <v>540</v>
      </c>
      <c r="H621" s="2">
        <v>44125</v>
      </c>
      <c r="I621" s="3">
        <v>2</v>
      </c>
      <c r="J621" s="3" t="s">
        <v>542</v>
      </c>
      <c r="K621" s="3">
        <v>3150</v>
      </c>
      <c r="L621" s="3">
        <v>35</v>
      </c>
      <c r="M621" s="3" t="s">
        <v>1155</v>
      </c>
      <c r="N621" s="3" t="s">
        <v>1333</v>
      </c>
      <c r="O621" s="3">
        <v>1.6</v>
      </c>
      <c r="P621" s="3" t="s">
        <v>33</v>
      </c>
      <c r="Q621" s="3" t="s">
        <v>26</v>
      </c>
      <c r="S621" s="3" t="s">
        <v>664</v>
      </c>
      <c r="T621" s="3" t="s">
        <v>79</v>
      </c>
      <c r="U621" s="3">
        <v>7</v>
      </c>
      <c r="V621" s="3">
        <v>1</v>
      </c>
      <c r="W621" s="3" t="s">
        <v>26</v>
      </c>
      <c r="AA621" s="3" t="s">
        <v>49</v>
      </c>
      <c r="AB621" s="3" t="s">
        <v>29</v>
      </c>
      <c r="AC621" s="3" t="s">
        <v>664</v>
      </c>
      <c r="AD621" s="3" t="s">
        <v>55</v>
      </c>
      <c r="AE621" s="3" t="s">
        <v>72</v>
      </c>
      <c r="AF621" s="3" t="s">
        <v>664</v>
      </c>
      <c r="AG621" s="3" t="s">
        <v>39</v>
      </c>
    </row>
    <row r="622" spans="1:33">
      <c r="A622" s="1">
        <v>45212.897577951386</v>
      </c>
      <c r="B622" s="3" t="s">
        <v>1024</v>
      </c>
      <c r="C622" s="2">
        <v>29463</v>
      </c>
      <c r="D622" s="3">
        <v>37</v>
      </c>
      <c r="E622" s="3" t="s">
        <v>510</v>
      </c>
      <c r="F622" s="3" t="s">
        <v>522</v>
      </c>
      <c r="G622" s="3" t="s">
        <v>540</v>
      </c>
      <c r="H622" s="2">
        <v>42908</v>
      </c>
      <c r="I622" s="3">
        <v>2</v>
      </c>
      <c r="J622" s="3" t="s">
        <v>542</v>
      </c>
      <c r="K622" s="3">
        <v>3480</v>
      </c>
      <c r="L622" s="3">
        <v>38</v>
      </c>
      <c r="M622" s="3">
        <v>54</v>
      </c>
      <c r="N622" s="3">
        <v>72</v>
      </c>
      <c r="O622" s="3">
        <v>158</v>
      </c>
      <c r="P622" s="3" t="s">
        <v>33</v>
      </c>
      <c r="Q622" s="3" t="s">
        <v>26</v>
      </c>
      <c r="S622" s="3" t="s">
        <v>664</v>
      </c>
      <c r="T622" s="3" t="s">
        <v>27</v>
      </c>
      <c r="U622" s="3">
        <v>7</v>
      </c>
      <c r="V622" s="3">
        <v>1</v>
      </c>
      <c r="W622" s="3" t="s">
        <v>26</v>
      </c>
      <c r="Y622" s="3">
        <v>6</v>
      </c>
      <c r="AA622" s="3" t="s">
        <v>49</v>
      </c>
      <c r="AB622" s="3" t="s">
        <v>29</v>
      </c>
      <c r="AC622" s="3" t="s">
        <v>664</v>
      </c>
      <c r="AD622" s="3" t="s">
        <v>55</v>
      </c>
      <c r="AE622" s="3" t="s">
        <v>72</v>
      </c>
      <c r="AF622" s="3" t="s">
        <v>664</v>
      </c>
      <c r="AG622" s="3" t="s">
        <v>32</v>
      </c>
    </row>
    <row r="623" spans="1:33">
      <c r="A623" s="1">
        <v>45212.90194181713</v>
      </c>
      <c r="B623" s="3" t="s">
        <v>1024</v>
      </c>
      <c r="C623" s="2">
        <v>33883</v>
      </c>
      <c r="D623" s="3">
        <v>31</v>
      </c>
      <c r="E623" s="3" t="s">
        <v>510</v>
      </c>
      <c r="F623" s="3" t="s">
        <v>521</v>
      </c>
      <c r="G623" s="3" t="s">
        <v>539</v>
      </c>
      <c r="H623" s="2">
        <v>44872</v>
      </c>
      <c r="I623" s="3">
        <v>1</v>
      </c>
      <c r="J623" s="3" t="s">
        <v>542</v>
      </c>
      <c r="K623" s="3" t="s">
        <v>1334</v>
      </c>
      <c r="L623" s="3" t="s">
        <v>791</v>
      </c>
      <c r="M623" s="3">
        <v>58</v>
      </c>
      <c r="N623" s="3">
        <v>68</v>
      </c>
      <c r="O623" s="3">
        <v>1.51</v>
      </c>
      <c r="P623" s="3" t="s">
        <v>33</v>
      </c>
      <c r="Q623" s="3" t="s">
        <v>26</v>
      </c>
      <c r="S623" s="3" t="s">
        <v>664</v>
      </c>
      <c r="T623" s="3" t="s">
        <v>57</v>
      </c>
      <c r="U623" s="3">
        <v>7</v>
      </c>
      <c r="V623" s="3">
        <v>1</v>
      </c>
      <c r="W623" s="3" t="s">
        <v>34</v>
      </c>
      <c r="X623" s="3" t="s">
        <v>192</v>
      </c>
      <c r="Y623" s="3">
        <v>7</v>
      </c>
      <c r="Z623" s="3">
        <v>1</v>
      </c>
      <c r="AA623" s="3" t="s">
        <v>114</v>
      </c>
      <c r="AB623" s="3" t="s">
        <v>29</v>
      </c>
      <c r="AC623" s="3" t="s">
        <v>664</v>
      </c>
      <c r="AD623" s="3" t="s">
        <v>37</v>
      </c>
      <c r="AE623" s="3" t="s">
        <v>38</v>
      </c>
      <c r="AF623" s="3" t="s">
        <v>664</v>
      </c>
      <c r="AG623" s="3" t="s">
        <v>32</v>
      </c>
    </row>
    <row r="624" spans="1:33">
      <c r="A624" s="1">
        <v>45212.918218333332</v>
      </c>
      <c r="B624" s="3" t="s">
        <v>1024</v>
      </c>
      <c r="C624" s="2">
        <v>29889</v>
      </c>
      <c r="D624" s="3">
        <v>41</v>
      </c>
      <c r="E624" s="3" t="s">
        <v>510</v>
      </c>
      <c r="F624" s="3" t="s">
        <v>529</v>
      </c>
      <c r="G624" s="3" t="s">
        <v>540</v>
      </c>
      <c r="H624" s="2">
        <v>44802</v>
      </c>
      <c r="I624" s="3">
        <v>1</v>
      </c>
      <c r="J624" s="3" t="s">
        <v>542</v>
      </c>
      <c r="K624" s="3" t="s">
        <v>1335</v>
      </c>
      <c r="L624" s="3" t="s">
        <v>1336</v>
      </c>
      <c r="M624" s="3" t="s">
        <v>1337</v>
      </c>
      <c r="N624" s="3">
        <v>71</v>
      </c>
      <c r="O624" s="3">
        <v>157</v>
      </c>
      <c r="P624" s="3" t="s">
        <v>33</v>
      </c>
      <c r="Q624" s="3" t="s">
        <v>26</v>
      </c>
      <c r="S624" s="3" t="s">
        <v>664</v>
      </c>
      <c r="T624" s="3" t="s">
        <v>27</v>
      </c>
      <c r="V624" s="3">
        <v>1</v>
      </c>
      <c r="W624" s="3" t="s">
        <v>34</v>
      </c>
      <c r="X624" s="3" t="s">
        <v>58</v>
      </c>
      <c r="Y624" s="3">
        <v>7</v>
      </c>
      <c r="Z624" s="3">
        <v>1</v>
      </c>
      <c r="AA624" s="3" t="s">
        <v>49</v>
      </c>
      <c r="AB624" s="3" t="s">
        <v>29</v>
      </c>
      <c r="AC624" s="3" t="s">
        <v>664</v>
      </c>
      <c r="AD624" s="3" t="s">
        <v>55</v>
      </c>
      <c r="AE624" s="3" t="s">
        <v>31</v>
      </c>
      <c r="AF624" s="3" t="s">
        <v>664</v>
      </c>
      <c r="AG624" s="3" t="s">
        <v>48</v>
      </c>
    </row>
    <row r="625" spans="1:33">
      <c r="A625" s="1">
        <v>45212.925100312495</v>
      </c>
      <c r="B625" s="3" t="s">
        <v>1024</v>
      </c>
      <c r="C625" s="2">
        <v>32989</v>
      </c>
      <c r="D625" s="3">
        <v>33</v>
      </c>
      <c r="E625" s="3" t="s">
        <v>510</v>
      </c>
      <c r="F625" s="3" t="s">
        <v>520</v>
      </c>
      <c r="G625" s="3" t="s">
        <v>539</v>
      </c>
      <c r="H625" s="2">
        <v>43882</v>
      </c>
      <c r="I625" s="3">
        <v>2</v>
      </c>
      <c r="J625" s="3" t="s">
        <v>541</v>
      </c>
      <c r="K625" s="3" t="s">
        <v>1216</v>
      </c>
      <c r="L625" s="3" t="s">
        <v>719</v>
      </c>
      <c r="M625" s="3" t="s">
        <v>1338</v>
      </c>
      <c r="N625" s="3" t="s">
        <v>1155</v>
      </c>
      <c r="O625" s="3">
        <v>157</v>
      </c>
      <c r="P625" s="3" t="s">
        <v>33</v>
      </c>
      <c r="Q625" s="3" t="s">
        <v>26</v>
      </c>
      <c r="S625" s="3" t="s">
        <v>664</v>
      </c>
      <c r="T625" s="3" t="s">
        <v>79</v>
      </c>
      <c r="U625" s="3">
        <v>7</v>
      </c>
      <c r="V625" s="3">
        <v>1</v>
      </c>
      <c r="W625" s="3" t="s">
        <v>26</v>
      </c>
      <c r="AA625" s="3" t="s">
        <v>49</v>
      </c>
      <c r="AB625" s="3" t="s">
        <v>29</v>
      </c>
      <c r="AC625" s="3" t="s">
        <v>664</v>
      </c>
      <c r="AD625" s="3" t="s">
        <v>55</v>
      </c>
      <c r="AE625" s="3" t="s">
        <v>31</v>
      </c>
      <c r="AF625" s="3" t="s">
        <v>664</v>
      </c>
      <c r="AG625" s="3" t="s">
        <v>94</v>
      </c>
    </row>
    <row r="626" spans="1:33">
      <c r="A626" s="1">
        <v>45212.926802442133</v>
      </c>
      <c r="B626" s="3" t="s">
        <v>1024</v>
      </c>
      <c r="C626" s="2">
        <v>28718</v>
      </c>
      <c r="D626" s="3">
        <v>45</v>
      </c>
      <c r="E626" s="3" t="s">
        <v>510</v>
      </c>
      <c r="F626" s="3" t="s">
        <v>520</v>
      </c>
      <c r="G626" s="3" t="s">
        <v>540</v>
      </c>
      <c r="H626" s="2">
        <v>43909</v>
      </c>
      <c r="I626" s="3">
        <v>2</v>
      </c>
      <c r="J626" s="3" t="s">
        <v>541</v>
      </c>
      <c r="K626" s="3">
        <v>4250</v>
      </c>
      <c r="L626" s="3" t="s">
        <v>704</v>
      </c>
      <c r="M626" s="3">
        <v>60</v>
      </c>
      <c r="N626" s="3">
        <v>70</v>
      </c>
      <c r="O626" s="3">
        <v>161</v>
      </c>
      <c r="P626" s="3" t="s">
        <v>33</v>
      </c>
      <c r="Q626" s="3" t="s">
        <v>26</v>
      </c>
      <c r="S626" s="3" t="s">
        <v>664</v>
      </c>
      <c r="T626" s="3" t="s">
        <v>27</v>
      </c>
      <c r="U626" s="3">
        <v>7</v>
      </c>
      <c r="V626" s="3">
        <v>1</v>
      </c>
      <c r="W626" s="3" t="s">
        <v>34</v>
      </c>
      <c r="X626" s="3" t="s">
        <v>809</v>
      </c>
      <c r="Y626" s="3">
        <v>5</v>
      </c>
      <c r="Z626" s="3">
        <v>1</v>
      </c>
      <c r="AA626" s="3" t="s">
        <v>42</v>
      </c>
      <c r="AB626" s="3" t="s">
        <v>29</v>
      </c>
      <c r="AC626" s="3" t="s">
        <v>664</v>
      </c>
      <c r="AD626" s="3" t="s">
        <v>37</v>
      </c>
      <c r="AE626" s="3" t="s">
        <v>60</v>
      </c>
      <c r="AF626" s="3" t="s">
        <v>664</v>
      </c>
      <c r="AG626" s="3" t="s">
        <v>62</v>
      </c>
    </row>
    <row r="627" spans="1:33">
      <c r="A627" s="1">
        <v>45212.952925763893</v>
      </c>
      <c r="B627" s="3" t="s">
        <v>1024</v>
      </c>
      <c r="C627" s="2">
        <v>30154</v>
      </c>
      <c r="D627" s="3" t="s">
        <v>1339</v>
      </c>
      <c r="E627" s="3" t="s">
        <v>510</v>
      </c>
      <c r="F627" s="3" t="s">
        <v>520</v>
      </c>
      <c r="G627" s="3" t="s">
        <v>539</v>
      </c>
      <c r="H627" s="2">
        <v>44774</v>
      </c>
      <c r="I627" s="3">
        <v>2</v>
      </c>
      <c r="J627" s="3" t="s">
        <v>542</v>
      </c>
      <c r="K627" s="3" t="s">
        <v>1340</v>
      </c>
      <c r="L627" s="3" t="s">
        <v>616</v>
      </c>
      <c r="M627" s="3" t="s">
        <v>1341</v>
      </c>
      <c r="N627" s="3" t="s">
        <v>1342</v>
      </c>
      <c r="O627" s="3">
        <v>171</v>
      </c>
      <c r="P627" s="3" t="s">
        <v>89</v>
      </c>
      <c r="Q627" s="3" t="s">
        <v>26</v>
      </c>
      <c r="S627" s="3" t="s">
        <v>664</v>
      </c>
      <c r="T627" s="3" t="s">
        <v>57</v>
      </c>
      <c r="U627" s="3">
        <v>7</v>
      </c>
      <c r="V627" s="3">
        <v>1</v>
      </c>
      <c r="W627" s="3" t="s">
        <v>34</v>
      </c>
      <c r="X627" s="3" t="s">
        <v>58</v>
      </c>
      <c r="Y627" s="3">
        <v>7</v>
      </c>
      <c r="Z627" s="3">
        <v>1</v>
      </c>
      <c r="AA627" s="3" t="s">
        <v>42</v>
      </c>
      <c r="AB627" s="3" t="s">
        <v>29</v>
      </c>
      <c r="AC627" s="3" t="s">
        <v>664</v>
      </c>
      <c r="AD627" s="3" t="s">
        <v>30</v>
      </c>
      <c r="AE627" s="3" t="s">
        <v>31</v>
      </c>
      <c r="AF627" s="3" t="s">
        <v>664</v>
      </c>
      <c r="AG627" s="3" t="s">
        <v>39</v>
      </c>
    </row>
    <row r="628" spans="1:33">
      <c r="A628" s="1">
        <v>45212.954793310186</v>
      </c>
      <c r="B628" s="3" t="s">
        <v>1024</v>
      </c>
      <c r="C628" s="2">
        <v>32979</v>
      </c>
      <c r="D628" s="3">
        <v>33</v>
      </c>
      <c r="E628" s="3" t="s">
        <v>510</v>
      </c>
      <c r="F628" s="3" t="s">
        <v>520</v>
      </c>
      <c r="G628" s="3" t="s">
        <v>539</v>
      </c>
      <c r="H628" s="2">
        <v>44081</v>
      </c>
      <c r="I628" s="3">
        <v>1</v>
      </c>
      <c r="J628" s="3" t="s">
        <v>542</v>
      </c>
      <c r="K628" s="3">
        <v>2450</v>
      </c>
      <c r="L628" s="3" t="s">
        <v>810</v>
      </c>
      <c r="M628" s="3">
        <v>80</v>
      </c>
      <c r="N628" s="3">
        <v>88</v>
      </c>
      <c r="O628" s="3">
        <v>168</v>
      </c>
      <c r="P628" s="3" t="s">
        <v>33</v>
      </c>
      <c r="Q628" s="3" t="s">
        <v>26</v>
      </c>
      <c r="S628" s="3" t="s">
        <v>664</v>
      </c>
      <c r="T628" s="3" t="s">
        <v>166</v>
      </c>
      <c r="U628" s="3">
        <v>7</v>
      </c>
      <c r="V628" s="3">
        <v>1</v>
      </c>
      <c r="W628" s="3" t="s">
        <v>34</v>
      </c>
      <c r="X628" s="3" t="s">
        <v>419</v>
      </c>
      <c r="Y628" s="3">
        <v>7</v>
      </c>
      <c r="Z628" s="3">
        <v>1</v>
      </c>
      <c r="AA628" s="3" t="s">
        <v>49</v>
      </c>
      <c r="AB628" s="3" t="s">
        <v>29</v>
      </c>
      <c r="AC628" s="3" t="s">
        <v>664</v>
      </c>
      <c r="AD628" s="3" t="s">
        <v>30</v>
      </c>
      <c r="AE628" s="3" t="s">
        <v>31</v>
      </c>
      <c r="AF628" s="3" t="s">
        <v>664</v>
      </c>
      <c r="AG628" s="3" t="s">
        <v>39</v>
      </c>
    </row>
    <row r="629" spans="1:33">
      <c r="A629" s="1">
        <v>45212.954920995369</v>
      </c>
      <c r="B629" s="3" t="s">
        <v>1024</v>
      </c>
      <c r="C629" s="2">
        <v>31356</v>
      </c>
      <c r="D629" s="3">
        <v>37</v>
      </c>
      <c r="E629" s="3" t="s">
        <v>510</v>
      </c>
      <c r="F629" s="3" t="s">
        <v>521</v>
      </c>
      <c r="G629" s="3" t="s">
        <v>540</v>
      </c>
      <c r="H629" s="2">
        <v>44650</v>
      </c>
      <c r="I629" s="3">
        <v>1</v>
      </c>
      <c r="J629" s="3" t="s">
        <v>542</v>
      </c>
      <c r="K629" s="7">
        <v>2440</v>
      </c>
      <c r="L629" s="3">
        <v>36</v>
      </c>
      <c r="M629" s="3">
        <v>62</v>
      </c>
      <c r="N629" s="3">
        <v>81</v>
      </c>
      <c r="O629" s="3">
        <v>169</v>
      </c>
      <c r="P629" s="3" t="s">
        <v>33</v>
      </c>
      <c r="Q629" s="3" t="s">
        <v>26</v>
      </c>
      <c r="S629" s="3" t="s">
        <v>664</v>
      </c>
      <c r="T629" s="3" t="s">
        <v>56</v>
      </c>
      <c r="U629" s="3">
        <v>7</v>
      </c>
      <c r="V629" s="3">
        <v>1</v>
      </c>
      <c r="W629" s="3" t="s">
        <v>34</v>
      </c>
      <c r="X629" s="3" t="s">
        <v>58</v>
      </c>
      <c r="Y629" s="3">
        <v>7</v>
      </c>
      <c r="Z629" s="3">
        <v>1</v>
      </c>
      <c r="AA629" s="3" t="s">
        <v>54</v>
      </c>
      <c r="AB629" s="3" t="s">
        <v>29</v>
      </c>
      <c r="AC629" s="3" t="s">
        <v>664</v>
      </c>
      <c r="AD629" s="3" t="s">
        <v>55</v>
      </c>
      <c r="AE629" s="3" t="s">
        <v>38</v>
      </c>
      <c r="AF629" s="3" t="s">
        <v>664</v>
      </c>
      <c r="AG629" s="3" t="s">
        <v>62</v>
      </c>
    </row>
    <row r="630" spans="1:33">
      <c r="A630" s="1">
        <v>45212.958240023145</v>
      </c>
      <c r="B630" s="3" t="s">
        <v>1024</v>
      </c>
      <c r="C630" s="2">
        <v>30237</v>
      </c>
      <c r="D630" s="3">
        <v>41</v>
      </c>
      <c r="E630" s="3" t="s">
        <v>510</v>
      </c>
      <c r="F630" s="3" t="s">
        <v>522</v>
      </c>
      <c r="G630" s="3" t="s">
        <v>539</v>
      </c>
      <c r="H630" s="2">
        <v>42900</v>
      </c>
      <c r="I630" s="3">
        <v>2</v>
      </c>
      <c r="J630" s="3" t="s">
        <v>542</v>
      </c>
      <c r="K630" s="3" t="s">
        <v>1343</v>
      </c>
      <c r="L630" s="3" t="s">
        <v>811</v>
      </c>
      <c r="M630" s="3" t="s">
        <v>1341</v>
      </c>
      <c r="N630" s="3" t="s">
        <v>1344</v>
      </c>
      <c r="O630" s="3">
        <v>163</v>
      </c>
      <c r="P630" s="3" t="s">
        <v>33</v>
      </c>
      <c r="Q630" s="3" t="s">
        <v>26</v>
      </c>
      <c r="S630" s="3" t="s">
        <v>664</v>
      </c>
      <c r="T630" s="3" t="s">
        <v>56</v>
      </c>
      <c r="U630" s="3">
        <v>7</v>
      </c>
      <c r="V630" s="3">
        <v>1</v>
      </c>
      <c r="W630" s="3" t="s">
        <v>26</v>
      </c>
      <c r="AA630" s="3" t="s">
        <v>49</v>
      </c>
      <c r="AB630" s="3" t="s">
        <v>420</v>
      </c>
      <c r="AC630" s="3" t="s">
        <v>664</v>
      </c>
      <c r="AD630" s="3" t="s">
        <v>55</v>
      </c>
      <c r="AE630" s="3" t="s">
        <v>31</v>
      </c>
      <c r="AF630" s="3" t="s">
        <v>664</v>
      </c>
      <c r="AG630" s="3" t="s">
        <v>32</v>
      </c>
    </row>
    <row r="631" spans="1:33">
      <c r="A631" s="1">
        <v>45212.979801967595</v>
      </c>
      <c r="B631" s="3" t="s">
        <v>1024</v>
      </c>
      <c r="C631" s="2">
        <v>31937</v>
      </c>
      <c r="D631" s="3">
        <v>36</v>
      </c>
      <c r="E631" s="3" t="s">
        <v>510</v>
      </c>
      <c r="F631" s="3" t="s">
        <v>529</v>
      </c>
      <c r="G631" s="3" t="s">
        <v>539</v>
      </c>
      <c r="H631" s="2">
        <v>44050</v>
      </c>
      <c r="I631" s="3">
        <v>2</v>
      </c>
      <c r="J631" s="3" t="s">
        <v>541</v>
      </c>
      <c r="K631" s="3">
        <v>38540</v>
      </c>
      <c r="L631" s="3">
        <v>39</v>
      </c>
      <c r="M631" s="3">
        <v>82</v>
      </c>
      <c r="N631" s="3">
        <v>86</v>
      </c>
      <c r="O631" s="3">
        <v>178</v>
      </c>
      <c r="P631" s="3" t="s">
        <v>33</v>
      </c>
      <c r="Q631" s="3" t="s">
        <v>26</v>
      </c>
      <c r="S631" s="3" t="s">
        <v>664</v>
      </c>
      <c r="T631" s="3" t="s">
        <v>27</v>
      </c>
      <c r="U631" s="3">
        <v>7</v>
      </c>
      <c r="V631" s="3">
        <v>1</v>
      </c>
      <c r="W631" s="3" t="s">
        <v>34</v>
      </c>
      <c r="X631" s="3" t="s">
        <v>58</v>
      </c>
      <c r="Y631" s="3">
        <v>7</v>
      </c>
      <c r="Z631" s="3">
        <v>1</v>
      </c>
      <c r="AA631" s="3" t="s">
        <v>42</v>
      </c>
      <c r="AB631" s="3" t="s">
        <v>421</v>
      </c>
      <c r="AC631" s="3" t="s">
        <v>664</v>
      </c>
      <c r="AD631" s="3" t="s">
        <v>30</v>
      </c>
      <c r="AE631" s="3" t="s">
        <v>31</v>
      </c>
      <c r="AF631" s="3" t="s">
        <v>664</v>
      </c>
      <c r="AG631" s="3" t="s">
        <v>32</v>
      </c>
    </row>
    <row r="632" spans="1:33">
      <c r="A632" s="1">
        <v>45212.993299942129</v>
      </c>
      <c r="B632" s="3" t="s">
        <v>1024</v>
      </c>
      <c r="C632" s="2">
        <v>31601</v>
      </c>
      <c r="D632" s="3">
        <v>37</v>
      </c>
      <c r="E632" s="3" t="s">
        <v>510</v>
      </c>
      <c r="F632" s="3" t="s">
        <v>521</v>
      </c>
      <c r="G632" s="3" t="s">
        <v>539</v>
      </c>
      <c r="H632" s="2">
        <v>44445</v>
      </c>
      <c r="I632" s="3">
        <v>3</v>
      </c>
      <c r="J632" s="3" t="s">
        <v>542</v>
      </c>
      <c r="K632" s="3">
        <v>4125</v>
      </c>
      <c r="L632" s="3">
        <v>40</v>
      </c>
      <c r="M632" s="3">
        <v>50</v>
      </c>
      <c r="N632" s="3" t="s">
        <v>1090</v>
      </c>
      <c r="O632" s="3">
        <v>153</v>
      </c>
      <c r="P632" s="3" t="s">
        <v>33</v>
      </c>
      <c r="Q632" s="3" t="s">
        <v>26</v>
      </c>
      <c r="S632" s="3" t="s">
        <v>664</v>
      </c>
      <c r="T632" s="3" t="s">
        <v>166</v>
      </c>
      <c r="U632" s="3">
        <v>7</v>
      </c>
      <c r="V632" s="3">
        <v>1</v>
      </c>
      <c r="W632" s="3" t="s">
        <v>26</v>
      </c>
      <c r="AA632" s="3" t="s">
        <v>49</v>
      </c>
      <c r="AB632" s="3" t="s">
        <v>154</v>
      </c>
      <c r="AC632" s="3" t="s">
        <v>664</v>
      </c>
      <c r="AD632" s="3" t="s">
        <v>30</v>
      </c>
      <c r="AE632" s="3" t="s">
        <v>38</v>
      </c>
      <c r="AF632" s="3" t="s">
        <v>664</v>
      </c>
      <c r="AG632" s="3" t="s">
        <v>62</v>
      </c>
    </row>
    <row r="633" spans="1:33">
      <c r="A633" s="1">
        <v>45213.006645706017</v>
      </c>
      <c r="B633" s="3" t="s">
        <v>1024</v>
      </c>
      <c r="C633" s="2">
        <v>30004</v>
      </c>
      <c r="D633" s="3">
        <v>41</v>
      </c>
      <c r="E633" s="3" t="s">
        <v>510</v>
      </c>
      <c r="F633" s="3" t="s">
        <v>520</v>
      </c>
      <c r="G633" s="3" t="s">
        <v>539</v>
      </c>
      <c r="H633" s="2">
        <v>43633</v>
      </c>
      <c r="I633" s="3">
        <v>1</v>
      </c>
      <c r="J633" s="3" t="s">
        <v>542</v>
      </c>
      <c r="K633" s="3">
        <v>1880</v>
      </c>
      <c r="L633" s="3">
        <v>35</v>
      </c>
      <c r="M633" s="3">
        <v>87</v>
      </c>
      <c r="N633" s="3">
        <v>80</v>
      </c>
      <c r="O633" s="3">
        <v>158</v>
      </c>
      <c r="P633" s="3" t="s">
        <v>173</v>
      </c>
      <c r="Q633" s="3" t="s">
        <v>26</v>
      </c>
      <c r="S633" s="3" t="s">
        <v>664</v>
      </c>
      <c r="T633" s="3" t="s">
        <v>27</v>
      </c>
      <c r="U633" s="3">
        <v>7</v>
      </c>
      <c r="V633" s="3">
        <v>1</v>
      </c>
      <c r="W633" s="3" t="s">
        <v>26</v>
      </c>
      <c r="AA633" s="3" t="s">
        <v>42</v>
      </c>
      <c r="AB633" s="3" t="s">
        <v>29</v>
      </c>
      <c r="AC633" s="3" t="s">
        <v>664</v>
      </c>
      <c r="AD633" s="3" t="s">
        <v>55</v>
      </c>
      <c r="AE633" s="3" t="s">
        <v>31</v>
      </c>
      <c r="AF633" s="3" t="s">
        <v>664</v>
      </c>
      <c r="AG633" s="3" t="s">
        <v>39</v>
      </c>
    </row>
    <row r="634" spans="1:33">
      <c r="A634" s="1">
        <v>45213.021708078704</v>
      </c>
      <c r="B634" s="3" t="s">
        <v>1024</v>
      </c>
      <c r="C634" s="2">
        <v>30301</v>
      </c>
      <c r="D634" s="3">
        <v>40</v>
      </c>
      <c r="E634" s="3" t="s">
        <v>510</v>
      </c>
      <c r="F634" s="3" t="s">
        <v>520</v>
      </c>
      <c r="G634" s="3" t="s">
        <v>539</v>
      </c>
      <c r="H634" s="2">
        <v>44938</v>
      </c>
      <c r="I634" s="3">
        <v>1</v>
      </c>
      <c r="J634" s="3" t="s">
        <v>541</v>
      </c>
      <c r="K634" s="3" t="s">
        <v>1345</v>
      </c>
      <c r="L634" s="3" t="s">
        <v>812</v>
      </c>
      <c r="M634" s="3">
        <v>72</v>
      </c>
      <c r="N634" s="3">
        <v>78</v>
      </c>
      <c r="O634" s="3">
        <v>160</v>
      </c>
      <c r="P634" s="3" t="s">
        <v>33</v>
      </c>
      <c r="Q634" s="3" t="s">
        <v>34</v>
      </c>
      <c r="R634" s="3" t="s">
        <v>422</v>
      </c>
      <c r="S634" s="3" t="s">
        <v>664</v>
      </c>
      <c r="T634" s="3" t="s">
        <v>57</v>
      </c>
      <c r="U634" s="3">
        <v>7</v>
      </c>
      <c r="V634" s="3">
        <v>1</v>
      </c>
      <c r="W634" s="3" t="s">
        <v>34</v>
      </c>
      <c r="X634" s="3" t="s">
        <v>423</v>
      </c>
      <c r="Y634" s="3">
        <v>7</v>
      </c>
      <c r="Z634" s="3">
        <v>1</v>
      </c>
      <c r="AA634" s="3" t="s">
        <v>36</v>
      </c>
      <c r="AB634" s="3" t="s">
        <v>424</v>
      </c>
      <c r="AC634" s="3" t="s">
        <v>664</v>
      </c>
      <c r="AD634" s="3" t="s">
        <v>37</v>
      </c>
      <c r="AE634" s="3" t="s">
        <v>31</v>
      </c>
      <c r="AF634" s="3" t="s">
        <v>664</v>
      </c>
      <c r="AG634" s="3" t="s">
        <v>39</v>
      </c>
    </row>
    <row r="635" spans="1:33">
      <c r="A635" s="1">
        <v>45213.098168703698</v>
      </c>
      <c r="B635" s="3" t="s">
        <v>1024</v>
      </c>
      <c r="C635" s="2">
        <v>33129</v>
      </c>
      <c r="D635" s="3">
        <v>33</v>
      </c>
      <c r="E635" s="3" t="s">
        <v>510</v>
      </c>
      <c r="F635" s="3" t="s">
        <v>525</v>
      </c>
      <c r="G635" s="3" t="s">
        <v>539</v>
      </c>
      <c r="H635" s="2">
        <v>44939</v>
      </c>
      <c r="I635" s="3">
        <v>2</v>
      </c>
      <c r="J635" s="3" t="s">
        <v>541</v>
      </c>
      <c r="K635" s="3">
        <v>2990</v>
      </c>
      <c r="L635" s="3" t="s">
        <v>661</v>
      </c>
      <c r="M635" s="3">
        <v>63</v>
      </c>
      <c r="N635" s="3">
        <v>74</v>
      </c>
      <c r="O635" s="3">
        <v>148</v>
      </c>
      <c r="P635" s="3" t="s">
        <v>33</v>
      </c>
      <c r="Q635" s="3" t="s">
        <v>26</v>
      </c>
      <c r="S635" s="3" t="s">
        <v>664</v>
      </c>
      <c r="T635" s="3" t="s">
        <v>79</v>
      </c>
      <c r="U635" s="3">
        <v>7</v>
      </c>
      <c r="V635" s="3">
        <v>1</v>
      </c>
      <c r="W635" s="3" t="s">
        <v>26</v>
      </c>
      <c r="AA635" s="3" t="s">
        <v>49</v>
      </c>
      <c r="AB635" s="3" t="s">
        <v>29</v>
      </c>
      <c r="AC635" s="3" t="s">
        <v>664</v>
      </c>
      <c r="AD635" s="3" t="s">
        <v>55</v>
      </c>
      <c r="AE635" s="3" t="s">
        <v>60</v>
      </c>
      <c r="AF635" s="3" t="s">
        <v>664</v>
      </c>
      <c r="AG635" s="3" t="s">
        <v>39</v>
      </c>
    </row>
    <row r="636" spans="1:33">
      <c r="A636" s="1">
        <v>45213.246683055557</v>
      </c>
      <c r="B636" s="3" t="s">
        <v>1024</v>
      </c>
      <c r="C636" s="2">
        <v>31540</v>
      </c>
      <c r="D636" s="3">
        <v>37</v>
      </c>
      <c r="E636" s="3" t="s">
        <v>510</v>
      </c>
      <c r="F636" s="3" t="s">
        <v>520</v>
      </c>
      <c r="G636" s="3" t="s">
        <v>539</v>
      </c>
      <c r="H636" s="2">
        <v>44991</v>
      </c>
      <c r="I636" s="3">
        <v>3</v>
      </c>
      <c r="J636" s="3" t="s">
        <v>542</v>
      </c>
      <c r="K636" s="3">
        <v>3570</v>
      </c>
      <c r="L636" s="3">
        <v>38</v>
      </c>
      <c r="M636" s="3">
        <v>114</v>
      </c>
      <c r="N636" s="3">
        <v>112</v>
      </c>
      <c r="O636" s="3">
        <v>165</v>
      </c>
      <c r="P636" s="3" t="s">
        <v>33</v>
      </c>
      <c r="Q636" s="3" t="s">
        <v>26</v>
      </c>
      <c r="S636" s="3" t="s">
        <v>664</v>
      </c>
      <c r="T636" s="3" t="s">
        <v>79</v>
      </c>
      <c r="U636" s="3">
        <v>7</v>
      </c>
      <c r="V636" s="3">
        <v>1</v>
      </c>
      <c r="W636" s="3" t="s">
        <v>26</v>
      </c>
      <c r="AA636" s="3" t="s">
        <v>49</v>
      </c>
      <c r="AB636" s="3" t="s">
        <v>29</v>
      </c>
      <c r="AC636" s="3" t="s">
        <v>664</v>
      </c>
      <c r="AD636" s="3" t="s">
        <v>55</v>
      </c>
      <c r="AE636" s="3" t="s">
        <v>31</v>
      </c>
      <c r="AF636" s="3" t="s">
        <v>664</v>
      </c>
      <c r="AG636" s="3" t="s">
        <v>32</v>
      </c>
    </row>
    <row r="637" spans="1:33">
      <c r="A637" s="1">
        <v>45213.289843194449</v>
      </c>
      <c r="B637" s="3" t="s">
        <v>1024</v>
      </c>
      <c r="C637" s="2">
        <v>33335</v>
      </c>
      <c r="D637" s="3">
        <v>32</v>
      </c>
      <c r="E637" s="3" t="s">
        <v>510</v>
      </c>
      <c r="F637" s="3" t="s">
        <v>520</v>
      </c>
      <c r="G637" s="3" t="s">
        <v>539</v>
      </c>
      <c r="H637" s="2">
        <v>44352</v>
      </c>
      <c r="I637" s="3">
        <v>2</v>
      </c>
      <c r="J637" s="3" t="s">
        <v>541</v>
      </c>
      <c r="K637" s="3" t="s">
        <v>1346</v>
      </c>
      <c r="L637" s="3" t="s">
        <v>622</v>
      </c>
      <c r="M637" s="3">
        <v>84</v>
      </c>
      <c r="N637" s="3">
        <v>93</v>
      </c>
      <c r="O637" s="3">
        <v>164</v>
      </c>
      <c r="P637" s="3" t="s">
        <v>50</v>
      </c>
      <c r="Q637" s="3" t="s">
        <v>26</v>
      </c>
      <c r="S637" s="3" t="s">
        <v>664</v>
      </c>
      <c r="T637" s="3" t="s">
        <v>43</v>
      </c>
      <c r="U637" s="3">
        <v>5</v>
      </c>
      <c r="V637" s="3">
        <v>1</v>
      </c>
      <c r="W637" s="3" t="s">
        <v>34</v>
      </c>
      <c r="X637" s="3" t="s">
        <v>98</v>
      </c>
      <c r="Y637" s="3">
        <v>6</v>
      </c>
      <c r="Z637" s="3">
        <v>2</v>
      </c>
      <c r="AA637" s="3" t="s">
        <v>28</v>
      </c>
      <c r="AB637" s="3" t="s">
        <v>29</v>
      </c>
      <c r="AC637" s="3" t="s">
        <v>664</v>
      </c>
      <c r="AD637" s="3" t="s">
        <v>55</v>
      </c>
      <c r="AE637" s="3" t="s">
        <v>72</v>
      </c>
      <c r="AF637" s="3" t="s">
        <v>664</v>
      </c>
      <c r="AG637" s="3" t="s">
        <v>32</v>
      </c>
    </row>
    <row r="638" spans="1:33">
      <c r="A638" s="1">
        <v>45213.322736550923</v>
      </c>
      <c r="B638" s="3" t="s">
        <v>1024</v>
      </c>
      <c r="C638" s="2">
        <v>31194</v>
      </c>
      <c r="D638" s="3">
        <v>38</v>
      </c>
      <c r="E638" s="3" t="s">
        <v>510</v>
      </c>
      <c r="F638" s="3" t="s">
        <v>520</v>
      </c>
      <c r="G638" s="3" t="s">
        <v>540</v>
      </c>
      <c r="H638" s="2">
        <v>44026</v>
      </c>
      <c r="I638" s="3">
        <v>2</v>
      </c>
      <c r="J638" s="3" t="s">
        <v>541</v>
      </c>
      <c r="K638" s="3" t="s">
        <v>1347</v>
      </c>
      <c r="L638" s="3">
        <v>40</v>
      </c>
      <c r="M638" s="3">
        <v>72</v>
      </c>
      <c r="N638" s="3">
        <v>81</v>
      </c>
      <c r="O638" s="3">
        <v>165</v>
      </c>
      <c r="P638" s="3" t="s">
        <v>33</v>
      </c>
      <c r="Q638" s="3" t="s">
        <v>26</v>
      </c>
      <c r="S638" s="3" t="s">
        <v>664</v>
      </c>
      <c r="T638" s="3" t="s">
        <v>79</v>
      </c>
      <c r="U638" s="3">
        <v>7</v>
      </c>
      <c r="V638" s="3">
        <v>1</v>
      </c>
      <c r="W638" s="3" t="s">
        <v>26</v>
      </c>
      <c r="AA638" s="3" t="s">
        <v>49</v>
      </c>
      <c r="AB638" s="3" t="s">
        <v>29</v>
      </c>
      <c r="AC638" s="3" t="s">
        <v>664</v>
      </c>
      <c r="AD638" s="3" t="s">
        <v>30</v>
      </c>
      <c r="AE638" s="3" t="s">
        <v>31</v>
      </c>
      <c r="AF638" s="3" t="s">
        <v>664</v>
      </c>
      <c r="AG638" s="3" t="s">
        <v>76</v>
      </c>
    </row>
    <row r="639" spans="1:33">
      <c r="A639" s="1">
        <v>45213.322837662039</v>
      </c>
      <c r="B639" s="3" t="s">
        <v>1024</v>
      </c>
      <c r="C639" s="2">
        <v>31654</v>
      </c>
      <c r="D639" s="3">
        <v>37</v>
      </c>
      <c r="E639" s="3" t="s">
        <v>510</v>
      </c>
      <c r="F639" s="3" t="s">
        <v>520</v>
      </c>
      <c r="G639" s="3" t="s">
        <v>538</v>
      </c>
      <c r="H639" s="2">
        <v>43842</v>
      </c>
      <c r="I639" s="3">
        <v>3</v>
      </c>
      <c r="J639" s="3" t="s">
        <v>541</v>
      </c>
      <c r="K639" s="3">
        <v>3680</v>
      </c>
      <c r="L639" s="3" t="s">
        <v>618</v>
      </c>
      <c r="M639" s="3">
        <v>50</v>
      </c>
      <c r="N639" s="3">
        <v>60</v>
      </c>
      <c r="O639" s="3">
        <v>152</v>
      </c>
      <c r="P639" s="3" t="s">
        <v>33</v>
      </c>
      <c r="Q639" s="3" t="s">
        <v>26</v>
      </c>
      <c r="S639" s="3" t="s">
        <v>26</v>
      </c>
      <c r="W639" s="3" t="s">
        <v>26</v>
      </c>
      <c r="AA639" s="3" t="s">
        <v>51</v>
      </c>
      <c r="AB639" s="3" t="s">
        <v>263</v>
      </c>
      <c r="AC639" s="3" t="s">
        <v>664</v>
      </c>
      <c r="AD639" s="3" t="s">
        <v>30</v>
      </c>
      <c r="AE639" s="3" t="s">
        <v>72</v>
      </c>
      <c r="AF639" s="3" t="s">
        <v>664</v>
      </c>
      <c r="AG639" s="3" t="s">
        <v>94</v>
      </c>
    </row>
    <row r="640" spans="1:33">
      <c r="A640" s="1">
        <v>45213.325512164352</v>
      </c>
      <c r="B640" s="3" t="s">
        <v>1024</v>
      </c>
      <c r="C640" s="2">
        <v>30823</v>
      </c>
      <c r="D640" s="3">
        <v>39</v>
      </c>
      <c r="E640" s="3" t="s">
        <v>510</v>
      </c>
      <c r="F640" s="3" t="s">
        <v>529</v>
      </c>
      <c r="G640" s="3" t="s">
        <v>540</v>
      </c>
      <c r="H640" s="2">
        <v>43378</v>
      </c>
      <c r="I640" s="3">
        <v>1</v>
      </c>
      <c r="J640" s="3" t="s">
        <v>542</v>
      </c>
      <c r="K640" s="3">
        <v>3150</v>
      </c>
      <c r="L640" s="3" t="s">
        <v>662</v>
      </c>
      <c r="M640" s="3">
        <v>70.3</v>
      </c>
      <c r="N640" s="3">
        <v>77.3</v>
      </c>
      <c r="O640" s="3">
        <v>170.4</v>
      </c>
      <c r="P640" s="3" t="s">
        <v>33</v>
      </c>
      <c r="Q640" s="3" t="s">
        <v>26</v>
      </c>
      <c r="S640" s="3" t="s">
        <v>664</v>
      </c>
      <c r="T640" s="3" t="s">
        <v>41</v>
      </c>
      <c r="U640" s="3">
        <v>7</v>
      </c>
      <c r="V640" s="3">
        <v>1</v>
      </c>
      <c r="W640" s="3" t="s">
        <v>34</v>
      </c>
      <c r="X640" s="3" t="s">
        <v>58</v>
      </c>
      <c r="Y640" s="3">
        <v>7</v>
      </c>
      <c r="Z640" s="3">
        <v>1</v>
      </c>
      <c r="AA640" s="3" t="s">
        <v>49</v>
      </c>
      <c r="AB640" s="3" t="s">
        <v>425</v>
      </c>
      <c r="AC640" s="3" t="s">
        <v>664</v>
      </c>
      <c r="AD640" s="3" t="s">
        <v>426</v>
      </c>
      <c r="AE640" s="3" t="s">
        <v>60</v>
      </c>
      <c r="AF640" s="3" t="s">
        <v>664</v>
      </c>
      <c r="AG640" s="3" t="s">
        <v>62</v>
      </c>
    </row>
    <row r="641" spans="1:33">
      <c r="A641" s="1">
        <v>45213.374921817129</v>
      </c>
      <c r="B641" s="3" t="s">
        <v>1024</v>
      </c>
      <c r="C641" s="2">
        <v>29909</v>
      </c>
      <c r="D641" s="3">
        <v>41</v>
      </c>
      <c r="E641" s="3" t="s">
        <v>510</v>
      </c>
      <c r="F641" s="3" t="s">
        <v>520</v>
      </c>
      <c r="G641" s="3" t="s">
        <v>539</v>
      </c>
      <c r="H641" s="2">
        <v>43919</v>
      </c>
      <c r="I641" s="3">
        <v>2</v>
      </c>
      <c r="J641" s="3" t="s">
        <v>542</v>
      </c>
      <c r="K641" s="3" t="s">
        <v>1092</v>
      </c>
      <c r="L641" s="3" t="s">
        <v>618</v>
      </c>
      <c r="M641" s="3" t="s">
        <v>316</v>
      </c>
      <c r="N641" s="3" t="s">
        <v>316</v>
      </c>
      <c r="O641" s="3">
        <v>158</v>
      </c>
      <c r="P641" s="3" t="s">
        <v>33</v>
      </c>
      <c r="Q641" s="3" t="s">
        <v>26</v>
      </c>
      <c r="S641" s="3" t="s">
        <v>664</v>
      </c>
      <c r="T641" s="3" t="s">
        <v>57</v>
      </c>
      <c r="U641" s="3">
        <v>7</v>
      </c>
      <c r="V641" s="3">
        <v>1</v>
      </c>
      <c r="W641" s="3" t="s">
        <v>34</v>
      </c>
      <c r="X641" s="3" t="s">
        <v>813</v>
      </c>
      <c r="Y641" s="3">
        <v>7</v>
      </c>
      <c r="Z641" s="3">
        <v>1</v>
      </c>
      <c r="AA641" s="3" t="s">
        <v>42</v>
      </c>
      <c r="AB641" s="3" t="s">
        <v>29</v>
      </c>
      <c r="AC641" s="3" t="s">
        <v>664</v>
      </c>
      <c r="AD641" s="3" t="s">
        <v>30</v>
      </c>
      <c r="AE641" s="3" t="s">
        <v>31</v>
      </c>
      <c r="AF641" s="3" t="s">
        <v>664</v>
      </c>
      <c r="AG641" s="3" t="s">
        <v>32</v>
      </c>
    </row>
    <row r="642" spans="1:33">
      <c r="A642" s="1">
        <v>45213.37592741898</v>
      </c>
      <c r="B642" s="3" t="s">
        <v>1024</v>
      </c>
      <c r="C642" s="2">
        <v>32322</v>
      </c>
      <c r="D642" s="3">
        <v>35</v>
      </c>
      <c r="E642" s="3" t="s">
        <v>510</v>
      </c>
      <c r="F642" s="3" t="s">
        <v>528</v>
      </c>
      <c r="G642" s="3" t="s">
        <v>540</v>
      </c>
      <c r="H642" s="2">
        <v>44726</v>
      </c>
      <c r="I642" s="3">
        <v>2</v>
      </c>
      <c r="J642" s="3" t="s">
        <v>541</v>
      </c>
      <c r="K642" s="3">
        <v>3570</v>
      </c>
      <c r="L642" s="3" t="s">
        <v>814</v>
      </c>
      <c r="M642" s="3">
        <v>56</v>
      </c>
      <c r="N642" s="3">
        <v>70</v>
      </c>
      <c r="O642" s="3">
        <v>156</v>
      </c>
      <c r="P642" s="3" t="s">
        <v>33</v>
      </c>
      <c r="Q642" s="3" t="s">
        <v>26</v>
      </c>
      <c r="S642" s="3" t="s">
        <v>26</v>
      </c>
      <c r="W642" s="3" t="s">
        <v>26</v>
      </c>
      <c r="AA642" s="3" t="s">
        <v>51</v>
      </c>
      <c r="AB642" s="3" t="s">
        <v>263</v>
      </c>
      <c r="AC642" s="3" t="s">
        <v>664</v>
      </c>
      <c r="AD642" s="3" t="s">
        <v>59</v>
      </c>
      <c r="AE642" s="3" t="s">
        <v>31</v>
      </c>
      <c r="AF642" s="3" t="s">
        <v>664</v>
      </c>
      <c r="AG642" s="3" t="s">
        <v>39</v>
      </c>
    </row>
    <row r="643" spans="1:33">
      <c r="A643" s="1">
        <v>45213.383809039355</v>
      </c>
      <c r="B643" s="3" t="s">
        <v>1024</v>
      </c>
      <c r="C643" s="2">
        <v>33821</v>
      </c>
      <c r="D643" s="3">
        <v>31</v>
      </c>
      <c r="E643" s="3" t="s">
        <v>510</v>
      </c>
      <c r="F643" s="3" t="s">
        <v>520</v>
      </c>
      <c r="G643" s="3" t="s">
        <v>538</v>
      </c>
      <c r="H643" s="2">
        <v>45088</v>
      </c>
      <c r="I643" s="3">
        <v>4</v>
      </c>
      <c r="J643" s="3" t="s">
        <v>541</v>
      </c>
      <c r="K643" s="3" t="s">
        <v>1348</v>
      </c>
      <c r="L643" s="3" t="s">
        <v>662</v>
      </c>
      <c r="M643" s="3">
        <v>74</v>
      </c>
      <c r="N643" s="3" t="s">
        <v>1349</v>
      </c>
      <c r="O643" s="3">
        <v>164</v>
      </c>
      <c r="P643" s="3" t="s">
        <v>50</v>
      </c>
      <c r="Q643" s="3" t="s">
        <v>26</v>
      </c>
      <c r="S643" s="3" t="s">
        <v>664</v>
      </c>
      <c r="T643" s="3" t="s">
        <v>27</v>
      </c>
      <c r="U643" s="3">
        <v>7</v>
      </c>
      <c r="V643" s="3">
        <v>1</v>
      </c>
      <c r="W643" s="3" t="s">
        <v>26</v>
      </c>
      <c r="AA643" s="3" t="s">
        <v>42</v>
      </c>
      <c r="AB643" s="3" t="s">
        <v>29</v>
      </c>
      <c r="AC643" s="3" t="s">
        <v>664</v>
      </c>
      <c r="AD643" s="3" t="s">
        <v>59</v>
      </c>
      <c r="AE643" s="3" t="s">
        <v>38</v>
      </c>
      <c r="AF643" s="3" t="s">
        <v>664</v>
      </c>
      <c r="AG643" s="3" t="s">
        <v>32</v>
      </c>
    </row>
    <row r="644" spans="1:33">
      <c r="A644" s="1">
        <v>45213.457081608794</v>
      </c>
      <c r="B644" s="3" t="s">
        <v>1024</v>
      </c>
      <c r="C644" s="2">
        <v>32974</v>
      </c>
      <c r="D644" s="3">
        <v>33</v>
      </c>
      <c r="E644" s="3" t="s">
        <v>815</v>
      </c>
      <c r="F644" s="3" t="s">
        <v>520</v>
      </c>
      <c r="G644" s="3" t="s">
        <v>539</v>
      </c>
      <c r="H644" s="2">
        <v>43572</v>
      </c>
      <c r="I644" s="3">
        <v>1</v>
      </c>
      <c r="J644" s="3" t="s">
        <v>541</v>
      </c>
      <c r="K644" s="3">
        <v>3705</v>
      </c>
      <c r="L644" s="3">
        <v>39</v>
      </c>
      <c r="M644" s="3">
        <v>74</v>
      </c>
      <c r="N644" s="3">
        <v>77</v>
      </c>
      <c r="O644" s="3">
        <v>160</v>
      </c>
      <c r="P644" s="3" t="s">
        <v>33</v>
      </c>
      <c r="Q644" s="3" t="s">
        <v>26</v>
      </c>
      <c r="S644" s="3" t="s">
        <v>664</v>
      </c>
      <c r="T644" s="3" t="s">
        <v>57</v>
      </c>
      <c r="U644" s="3">
        <v>7</v>
      </c>
      <c r="V644" s="3">
        <v>1</v>
      </c>
      <c r="W644" s="3" t="s">
        <v>34</v>
      </c>
      <c r="X644" s="3" t="s">
        <v>427</v>
      </c>
      <c r="Y644" s="3">
        <v>7</v>
      </c>
      <c r="Z644" s="3">
        <v>1</v>
      </c>
      <c r="AA644" s="3" t="s">
        <v>42</v>
      </c>
      <c r="AB644" s="3" t="s">
        <v>122</v>
      </c>
      <c r="AC644" s="3" t="s">
        <v>664</v>
      </c>
      <c r="AD644" s="3" t="s">
        <v>30</v>
      </c>
      <c r="AE644" s="3" t="s">
        <v>31</v>
      </c>
      <c r="AF644" s="3" t="s">
        <v>664</v>
      </c>
      <c r="AG644" s="3" t="s">
        <v>48</v>
      </c>
    </row>
    <row r="645" spans="1:33">
      <c r="A645" s="1">
        <v>45213.523334861107</v>
      </c>
      <c r="B645" s="3" t="s">
        <v>1024</v>
      </c>
      <c r="C645" s="2">
        <v>32917</v>
      </c>
      <c r="D645" s="3">
        <v>33</v>
      </c>
      <c r="E645" s="3" t="s">
        <v>510</v>
      </c>
      <c r="F645" s="3" t="s">
        <v>520</v>
      </c>
      <c r="G645" s="3" t="s">
        <v>539</v>
      </c>
      <c r="H645" s="2">
        <v>42788</v>
      </c>
      <c r="I645" s="3">
        <v>3</v>
      </c>
      <c r="J645" s="3" t="s">
        <v>542</v>
      </c>
      <c r="K645" s="3">
        <v>3.2549999999999999</v>
      </c>
      <c r="L645" s="3" t="s">
        <v>757</v>
      </c>
      <c r="M645" s="3">
        <v>55</v>
      </c>
      <c r="N645" s="3">
        <v>69</v>
      </c>
      <c r="O645" s="3">
        <v>1.65</v>
      </c>
      <c r="P645" s="3" t="s">
        <v>33</v>
      </c>
      <c r="Q645" s="3" t="s">
        <v>34</v>
      </c>
      <c r="R645" s="3" t="s">
        <v>428</v>
      </c>
      <c r="S645" s="3" t="s">
        <v>664</v>
      </c>
      <c r="T645" s="3" t="s">
        <v>79</v>
      </c>
      <c r="U645" s="3">
        <v>4</v>
      </c>
      <c r="V645" s="3">
        <v>1</v>
      </c>
      <c r="W645" s="3" t="s">
        <v>26</v>
      </c>
      <c r="AA645" s="3" t="s">
        <v>49</v>
      </c>
      <c r="AB645" s="3" t="s">
        <v>29</v>
      </c>
      <c r="AC645" s="3" t="s">
        <v>664</v>
      </c>
      <c r="AD645" s="3" t="s">
        <v>30</v>
      </c>
      <c r="AE645" s="3" t="s">
        <v>87</v>
      </c>
      <c r="AF645" s="3" t="s">
        <v>664</v>
      </c>
      <c r="AG645" s="3" t="s">
        <v>32</v>
      </c>
    </row>
    <row r="646" spans="1:33">
      <c r="A646" s="1">
        <v>45213.581742256945</v>
      </c>
      <c r="B646" s="3" t="s">
        <v>1024</v>
      </c>
      <c r="C646" s="2">
        <v>32062</v>
      </c>
      <c r="D646" s="3">
        <v>36</v>
      </c>
      <c r="E646" s="3" t="s">
        <v>510</v>
      </c>
      <c r="F646" s="3" t="s">
        <v>520</v>
      </c>
      <c r="G646" s="3" t="s">
        <v>539</v>
      </c>
      <c r="H646" s="2">
        <v>44513</v>
      </c>
      <c r="I646" s="3">
        <v>2</v>
      </c>
      <c r="J646" s="3" t="s">
        <v>542</v>
      </c>
      <c r="K646" s="3">
        <v>4200</v>
      </c>
      <c r="L646" s="3" t="s">
        <v>816</v>
      </c>
      <c r="M646" s="3">
        <v>95</v>
      </c>
      <c r="N646" s="3">
        <v>92</v>
      </c>
      <c r="O646" s="3">
        <v>170</v>
      </c>
      <c r="P646" s="3" t="s">
        <v>33</v>
      </c>
      <c r="Q646" s="3" t="s">
        <v>26</v>
      </c>
      <c r="S646" s="3" t="s">
        <v>664</v>
      </c>
      <c r="T646" s="3" t="s">
        <v>27</v>
      </c>
      <c r="U646" s="3">
        <v>7</v>
      </c>
      <c r="V646" s="3">
        <v>1</v>
      </c>
      <c r="W646" s="3" t="s">
        <v>34</v>
      </c>
      <c r="X646" s="3" t="s">
        <v>817</v>
      </c>
      <c r="Y646" s="3">
        <v>7</v>
      </c>
      <c r="Z646" s="3">
        <v>1</v>
      </c>
      <c r="AA646" s="3" t="s">
        <v>49</v>
      </c>
      <c r="AB646" s="3" t="s">
        <v>29</v>
      </c>
      <c r="AC646" s="3" t="s">
        <v>664</v>
      </c>
      <c r="AD646" s="3" t="s">
        <v>30</v>
      </c>
      <c r="AE646" s="3" t="s">
        <v>38</v>
      </c>
      <c r="AF646" s="3" t="s">
        <v>664</v>
      </c>
      <c r="AG646" s="3" t="s">
        <v>39</v>
      </c>
    </row>
    <row r="647" spans="1:33">
      <c r="A647" s="1">
        <v>45213.590793020834</v>
      </c>
      <c r="B647" s="3" t="s">
        <v>1024</v>
      </c>
      <c r="C647" s="2">
        <v>33553</v>
      </c>
      <c r="D647" s="3">
        <v>31</v>
      </c>
      <c r="E647" s="3" t="s">
        <v>510</v>
      </c>
      <c r="F647" s="3" t="s">
        <v>520</v>
      </c>
      <c r="G647" s="3" t="s">
        <v>539</v>
      </c>
      <c r="H647" s="2">
        <v>44571</v>
      </c>
      <c r="I647" s="3">
        <v>1</v>
      </c>
      <c r="J647" s="3" t="s">
        <v>541</v>
      </c>
      <c r="K647" s="3">
        <v>3295</v>
      </c>
      <c r="L647" s="3" t="s">
        <v>814</v>
      </c>
      <c r="M647" s="3">
        <v>65</v>
      </c>
      <c r="N647" s="3">
        <v>73</v>
      </c>
      <c r="O647" s="3">
        <v>161</v>
      </c>
      <c r="P647" s="3" t="s">
        <v>33</v>
      </c>
      <c r="Q647" s="3" t="s">
        <v>26</v>
      </c>
      <c r="S647" s="3" t="s">
        <v>664</v>
      </c>
      <c r="T647" s="3" t="s">
        <v>43</v>
      </c>
      <c r="U647" s="3">
        <v>7</v>
      </c>
      <c r="V647" s="3">
        <v>1</v>
      </c>
      <c r="W647" s="3" t="s">
        <v>34</v>
      </c>
      <c r="X647" s="3" t="s">
        <v>35</v>
      </c>
      <c r="Y647" s="3">
        <v>7</v>
      </c>
      <c r="Z647" s="3">
        <v>1</v>
      </c>
      <c r="AA647" s="3" t="s">
        <v>28</v>
      </c>
      <c r="AB647" s="3" t="s">
        <v>29</v>
      </c>
      <c r="AC647" s="3" t="s">
        <v>664</v>
      </c>
      <c r="AD647" s="3" t="s">
        <v>30</v>
      </c>
      <c r="AE647" s="3" t="s">
        <v>31</v>
      </c>
      <c r="AF647" s="3" t="s">
        <v>664</v>
      </c>
      <c r="AG647" s="3" t="s">
        <v>39</v>
      </c>
    </row>
    <row r="648" spans="1:33">
      <c r="A648" s="1">
        <v>45213.603871030093</v>
      </c>
      <c r="B648" s="3" t="s">
        <v>1024</v>
      </c>
      <c r="C648" s="2">
        <v>31976</v>
      </c>
      <c r="D648" s="3">
        <v>36</v>
      </c>
      <c r="E648" s="3" t="s">
        <v>510</v>
      </c>
      <c r="F648" s="3" t="s">
        <v>520</v>
      </c>
      <c r="G648" s="3" t="s">
        <v>538</v>
      </c>
      <c r="H648" s="2">
        <v>44636</v>
      </c>
      <c r="I648" s="3">
        <v>1</v>
      </c>
      <c r="J648" s="3" t="s">
        <v>541</v>
      </c>
      <c r="K648" s="3">
        <v>3480</v>
      </c>
      <c r="L648" s="3">
        <v>39</v>
      </c>
      <c r="M648" s="3">
        <v>57</v>
      </c>
      <c r="N648" s="3">
        <v>78</v>
      </c>
      <c r="O648" s="3">
        <v>169</v>
      </c>
      <c r="P648" s="3" t="s">
        <v>50</v>
      </c>
      <c r="Q648" s="3" t="s">
        <v>26</v>
      </c>
      <c r="S648" s="3" t="s">
        <v>664</v>
      </c>
      <c r="T648" s="3" t="s">
        <v>43</v>
      </c>
      <c r="U648" s="3">
        <v>7</v>
      </c>
      <c r="V648" s="3">
        <v>1</v>
      </c>
      <c r="W648" s="3" t="s">
        <v>34</v>
      </c>
      <c r="X648" s="3" t="s">
        <v>58</v>
      </c>
      <c r="Y648" s="3">
        <v>7</v>
      </c>
      <c r="Z648" s="3">
        <v>1</v>
      </c>
      <c r="AA648" s="3" t="s">
        <v>28</v>
      </c>
      <c r="AB648" s="3" t="s">
        <v>29</v>
      </c>
      <c r="AC648" s="3" t="s">
        <v>664</v>
      </c>
      <c r="AD648" s="3" t="s">
        <v>30</v>
      </c>
      <c r="AE648" s="3" t="s">
        <v>72</v>
      </c>
      <c r="AF648" s="3" t="s">
        <v>664</v>
      </c>
      <c r="AG648" s="3" t="s">
        <v>39</v>
      </c>
    </row>
    <row r="649" spans="1:33">
      <c r="A649" s="1">
        <v>45213.6055227662</v>
      </c>
      <c r="B649" s="3" t="s">
        <v>1024</v>
      </c>
      <c r="C649" s="2">
        <v>31496</v>
      </c>
      <c r="D649" s="3">
        <v>37</v>
      </c>
      <c r="E649" s="3" t="s">
        <v>510</v>
      </c>
      <c r="F649" s="3" t="s">
        <v>520</v>
      </c>
      <c r="G649" s="3" t="s">
        <v>539</v>
      </c>
      <c r="H649" s="2">
        <v>43210</v>
      </c>
      <c r="I649" s="3">
        <v>2</v>
      </c>
      <c r="J649" s="3" t="s">
        <v>541</v>
      </c>
      <c r="K649" s="3">
        <v>2457</v>
      </c>
      <c r="L649" s="3">
        <v>38</v>
      </c>
      <c r="M649" s="3">
        <v>71</v>
      </c>
      <c r="N649" s="3">
        <v>90</v>
      </c>
      <c r="O649" s="3">
        <v>171</v>
      </c>
      <c r="P649" s="3" t="s">
        <v>429</v>
      </c>
      <c r="Q649" s="3" t="s">
        <v>26</v>
      </c>
      <c r="S649" s="3" t="s">
        <v>664</v>
      </c>
      <c r="T649" s="3" t="s">
        <v>79</v>
      </c>
      <c r="U649" s="3">
        <v>7</v>
      </c>
      <c r="V649" s="3">
        <v>1</v>
      </c>
      <c r="W649" s="3" t="s">
        <v>26</v>
      </c>
      <c r="AA649" s="3" t="s">
        <v>49</v>
      </c>
      <c r="AB649" s="3" t="s">
        <v>430</v>
      </c>
      <c r="AC649" s="3" t="s">
        <v>664</v>
      </c>
      <c r="AD649" s="3" t="s">
        <v>55</v>
      </c>
      <c r="AE649" s="3" t="s">
        <v>38</v>
      </c>
      <c r="AF649" s="3" t="s">
        <v>664</v>
      </c>
      <c r="AG649" s="3" t="s">
        <v>32</v>
      </c>
    </row>
    <row r="650" spans="1:33">
      <c r="A650" s="1">
        <v>45213.616819178242</v>
      </c>
      <c r="B650" s="3" t="s">
        <v>1024</v>
      </c>
      <c r="C650" s="2">
        <v>34114</v>
      </c>
      <c r="D650" s="3">
        <v>30</v>
      </c>
      <c r="E650" s="3" t="s">
        <v>510</v>
      </c>
      <c r="F650" s="3" t="s">
        <v>530</v>
      </c>
      <c r="G650" s="3" t="s">
        <v>537</v>
      </c>
      <c r="H650" s="2">
        <v>44592</v>
      </c>
      <c r="I650" s="3">
        <v>3</v>
      </c>
      <c r="J650" s="3" t="s">
        <v>541</v>
      </c>
      <c r="K650" s="3">
        <v>3615</v>
      </c>
      <c r="L650" s="3">
        <v>38</v>
      </c>
      <c r="M650" s="3">
        <v>58</v>
      </c>
      <c r="N650" s="3">
        <v>69</v>
      </c>
      <c r="O650" s="3">
        <v>160</v>
      </c>
      <c r="P650" s="3" t="s">
        <v>33</v>
      </c>
      <c r="Q650" s="3" t="s">
        <v>26</v>
      </c>
      <c r="S650" s="3" t="s">
        <v>664</v>
      </c>
      <c r="T650" s="3" t="s">
        <v>27</v>
      </c>
      <c r="U650" s="3">
        <v>7</v>
      </c>
      <c r="V650" s="3">
        <v>1</v>
      </c>
      <c r="W650" s="3" t="s">
        <v>26</v>
      </c>
      <c r="AA650" s="3" t="s">
        <v>42</v>
      </c>
      <c r="AB650" s="3" t="s">
        <v>29</v>
      </c>
      <c r="AC650" s="3" t="s">
        <v>664</v>
      </c>
      <c r="AD650" s="3" t="s">
        <v>55</v>
      </c>
      <c r="AE650" s="3" t="s">
        <v>31</v>
      </c>
      <c r="AF650" s="3" t="s">
        <v>664</v>
      </c>
      <c r="AG650" s="3" t="s">
        <v>32</v>
      </c>
    </row>
    <row r="651" spans="1:33">
      <c r="A651" s="1">
        <v>45213.642693171292</v>
      </c>
      <c r="B651" s="3" t="s">
        <v>1024</v>
      </c>
      <c r="C651" s="2">
        <v>35410</v>
      </c>
      <c r="D651" s="3">
        <v>26</v>
      </c>
      <c r="E651" s="3" t="s">
        <v>510</v>
      </c>
      <c r="F651" s="3" t="s">
        <v>522</v>
      </c>
      <c r="G651" s="3" t="s">
        <v>539</v>
      </c>
      <c r="H651" s="2">
        <v>42985</v>
      </c>
      <c r="I651" s="3">
        <v>1</v>
      </c>
      <c r="J651" s="3" t="s">
        <v>542</v>
      </c>
      <c r="K651" s="3" t="s">
        <v>1350</v>
      </c>
      <c r="L651" s="3" t="s">
        <v>616</v>
      </c>
      <c r="M651" s="3">
        <v>62</v>
      </c>
      <c r="N651" s="3" t="s">
        <v>1351</v>
      </c>
      <c r="O651" s="3" t="s">
        <v>1352</v>
      </c>
      <c r="P651" s="3" t="s">
        <v>33</v>
      </c>
      <c r="Q651" s="3" t="s">
        <v>26</v>
      </c>
      <c r="S651" s="3" t="s">
        <v>664</v>
      </c>
      <c r="T651" s="3" t="s">
        <v>79</v>
      </c>
      <c r="U651" s="3">
        <v>7</v>
      </c>
      <c r="V651" s="3">
        <v>1</v>
      </c>
      <c r="W651" s="3" t="s">
        <v>26</v>
      </c>
      <c r="AA651" s="3" t="s">
        <v>49</v>
      </c>
      <c r="AB651" s="3" t="s">
        <v>29</v>
      </c>
      <c r="AC651" s="3" t="s">
        <v>664</v>
      </c>
      <c r="AD651" s="3" t="s">
        <v>55</v>
      </c>
      <c r="AE651" s="3" t="s">
        <v>72</v>
      </c>
      <c r="AF651" s="3" t="s">
        <v>664</v>
      </c>
      <c r="AG651" s="3" t="s">
        <v>32</v>
      </c>
    </row>
    <row r="652" spans="1:33">
      <c r="A652" s="1">
        <v>45213.643662708331</v>
      </c>
      <c r="B652" s="3" t="s">
        <v>1024</v>
      </c>
      <c r="C652" s="2">
        <v>34748</v>
      </c>
      <c r="D652" s="3">
        <v>28</v>
      </c>
      <c r="E652" s="3" t="s">
        <v>510</v>
      </c>
      <c r="F652" s="3" t="s">
        <v>520</v>
      </c>
      <c r="G652" s="3" t="s">
        <v>539</v>
      </c>
      <c r="H652" s="2">
        <v>44365</v>
      </c>
      <c r="I652" s="3">
        <v>1</v>
      </c>
      <c r="J652" s="3" t="s">
        <v>541</v>
      </c>
      <c r="K652" s="3">
        <v>3705</v>
      </c>
      <c r="L652" s="3">
        <v>38</v>
      </c>
      <c r="M652" s="3">
        <v>54</v>
      </c>
      <c r="N652" s="3">
        <v>71</v>
      </c>
      <c r="O652" s="3">
        <v>160</v>
      </c>
      <c r="P652" s="3" t="s">
        <v>33</v>
      </c>
      <c r="Q652" s="3" t="s">
        <v>26</v>
      </c>
      <c r="S652" s="3" t="s">
        <v>664</v>
      </c>
      <c r="T652" s="3" t="s">
        <v>41</v>
      </c>
      <c r="U652" s="3">
        <v>7</v>
      </c>
      <c r="V652" s="3">
        <v>1</v>
      </c>
      <c r="W652" s="3" t="s">
        <v>34</v>
      </c>
      <c r="X652" s="3" t="s">
        <v>431</v>
      </c>
      <c r="Y652" s="3">
        <v>7</v>
      </c>
      <c r="Z652" s="3">
        <v>1</v>
      </c>
      <c r="AA652" s="3" t="s">
        <v>49</v>
      </c>
      <c r="AB652" s="3" t="s">
        <v>432</v>
      </c>
      <c r="AC652" s="3" t="s">
        <v>664</v>
      </c>
      <c r="AD652" s="3" t="s">
        <v>37</v>
      </c>
      <c r="AE652" s="3" t="s">
        <v>31</v>
      </c>
      <c r="AF652" s="3" t="s">
        <v>26</v>
      </c>
    </row>
    <row r="653" spans="1:33">
      <c r="A653" s="1">
        <v>45213.644835405095</v>
      </c>
      <c r="B653" s="3" t="s">
        <v>1024</v>
      </c>
      <c r="C653" s="2">
        <v>31667</v>
      </c>
      <c r="D653" s="3">
        <v>37</v>
      </c>
      <c r="E653" s="3" t="s">
        <v>510</v>
      </c>
      <c r="F653" s="3" t="s">
        <v>520</v>
      </c>
      <c r="G653" s="3" t="s">
        <v>540</v>
      </c>
      <c r="H653" s="2">
        <v>42944</v>
      </c>
      <c r="I653" s="3">
        <v>1</v>
      </c>
      <c r="J653" s="3" t="s">
        <v>541</v>
      </c>
      <c r="K653" s="3">
        <v>2010</v>
      </c>
      <c r="L653" s="3">
        <v>36</v>
      </c>
      <c r="M653" s="3" t="s">
        <v>1353</v>
      </c>
      <c r="N653" s="3" t="s">
        <v>1198</v>
      </c>
      <c r="O653" s="3">
        <v>155</v>
      </c>
      <c r="P653" s="3" t="s">
        <v>50</v>
      </c>
      <c r="Q653" s="3" t="s">
        <v>26</v>
      </c>
      <c r="S653" s="3" t="s">
        <v>664</v>
      </c>
      <c r="T653" s="3" t="s">
        <v>433</v>
      </c>
      <c r="U653" s="3">
        <v>7</v>
      </c>
      <c r="V653" s="3">
        <v>1</v>
      </c>
      <c r="W653" s="3" t="s">
        <v>34</v>
      </c>
      <c r="X653" s="3" t="s">
        <v>217</v>
      </c>
      <c r="Y653" s="3">
        <v>7</v>
      </c>
      <c r="Z653" s="3">
        <v>1</v>
      </c>
      <c r="AA653" s="3" t="s">
        <v>228</v>
      </c>
      <c r="AB653" s="3" t="s">
        <v>29</v>
      </c>
      <c r="AC653" s="3" t="s">
        <v>664</v>
      </c>
      <c r="AD653" s="3" t="s">
        <v>59</v>
      </c>
      <c r="AE653" s="3" t="s">
        <v>87</v>
      </c>
      <c r="AF653" s="3" t="s">
        <v>664</v>
      </c>
      <c r="AG653" s="3" t="s">
        <v>48</v>
      </c>
    </row>
    <row r="654" spans="1:33">
      <c r="A654" s="1">
        <v>45213.652128576388</v>
      </c>
      <c r="B654" s="3" t="s">
        <v>1024</v>
      </c>
      <c r="C654" s="2">
        <v>31589</v>
      </c>
      <c r="D654" s="3">
        <v>37</v>
      </c>
      <c r="E654" s="3" t="s">
        <v>510</v>
      </c>
      <c r="F654" s="3" t="s">
        <v>533</v>
      </c>
      <c r="G654" s="3" t="s">
        <v>539</v>
      </c>
      <c r="H654" s="2">
        <v>43731</v>
      </c>
      <c r="I654" s="3">
        <v>2</v>
      </c>
      <c r="J654" s="3" t="s">
        <v>541</v>
      </c>
      <c r="K654" s="3">
        <v>3285</v>
      </c>
      <c r="L654" s="3">
        <v>38</v>
      </c>
      <c r="M654" s="3">
        <v>62.5</v>
      </c>
      <c r="N654" s="3">
        <v>75</v>
      </c>
      <c r="O654" s="3">
        <v>154</v>
      </c>
      <c r="P654" s="3" t="s">
        <v>33</v>
      </c>
      <c r="Q654" s="3" t="s">
        <v>26</v>
      </c>
      <c r="S654" s="3" t="s">
        <v>664</v>
      </c>
      <c r="T654" s="3" t="s">
        <v>27</v>
      </c>
      <c r="U654" s="3">
        <v>7</v>
      </c>
      <c r="V654" s="3">
        <v>1</v>
      </c>
      <c r="W654" s="3" t="s">
        <v>26</v>
      </c>
      <c r="AA654" s="3" t="s">
        <v>42</v>
      </c>
      <c r="AB654" s="3" t="s">
        <v>29</v>
      </c>
      <c r="AC654" s="3" t="s">
        <v>664</v>
      </c>
      <c r="AD654" s="3" t="s">
        <v>30</v>
      </c>
      <c r="AE654" s="3" t="s">
        <v>31</v>
      </c>
      <c r="AF654" s="3" t="s">
        <v>664</v>
      </c>
      <c r="AG654" s="3" t="s">
        <v>32</v>
      </c>
    </row>
    <row r="655" spans="1:33">
      <c r="A655" s="1">
        <v>45213.654959189815</v>
      </c>
      <c r="B655" s="3" t="s">
        <v>1024</v>
      </c>
      <c r="C655" s="2">
        <v>30611</v>
      </c>
      <c r="D655" s="3">
        <v>39</v>
      </c>
      <c r="E655" s="3" t="s">
        <v>510</v>
      </c>
      <c r="F655" s="3" t="s">
        <v>520</v>
      </c>
      <c r="G655" s="3" t="s">
        <v>538</v>
      </c>
      <c r="H655" s="2">
        <v>44846</v>
      </c>
      <c r="I655" s="3">
        <v>1</v>
      </c>
      <c r="J655" s="3" t="s">
        <v>542</v>
      </c>
      <c r="K655" s="3">
        <v>2345</v>
      </c>
      <c r="L655" s="3" t="s">
        <v>766</v>
      </c>
      <c r="M655" s="3">
        <v>70</v>
      </c>
      <c r="N655" s="3">
        <v>81</v>
      </c>
      <c r="O655" s="3">
        <v>168</v>
      </c>
      <c r="P655" s="3" t="s">
        <v>25</v>
      </c>
      <c r="Q655" s="3" t="s">
        <v>26</v>
      </c>
      <c r="S655" s="3" t="s">
        <v>664</v>
      </c>
      <c r="T655" s="3" t="s">
        <v>27</v>
      </c>
      <c r="U655" s="3">
        <v>7</v>
      </c>
      <c r="V655" s="3">
        <v>1</v>
      </c>
      <c r="W655" s="3" t="s">
        <v>26</v>
      </c>
      <c r="AA655" s="3" t="s">
        <v>42</v>
      </c>
      <c r="AB655" s="3" t="s">
        <v>434</v>
      </c>
      <c r="AC655" s="3" t="s">
        <v>664</v>
      </c>
      <c r="AD655" s="3" t="s">
        <v>55</v>
      </c>
      <c r="AE655" s="3" t="s">
        <v>31</v>
      </c>
      <c r="AF655" s="3" t="s">
        <v>664</v>
      </c>
      <c r="AG655" s="3" t="s">
        <v>32</v>
      </c>
    </row>
    <row r="656" spans="1:33">
      <c r="A656" s="1">
        <v>45213.659371539354</v>
      </c>
      <c r="B656" s="3" t="s">
        <v>1024</v>
      </c>
      <c r="C656" s="2">
        <v>33506</v>
      </c>
      <c r="D656" s="3">
        <v>32</v>
      </c>
      <c r="E656" s="3" t="s">
        <v>510</v>
      </c>
      <c r="F656" s="3" t="s">
        <v>520</v>
      </c>
      <c r="G656" s="3" t="s">
        <v>538</v>
      </c>
      <c r="H656" s="2">
        <v>43319</v>
      </c>
      <c r="I656" s="3">
        <v>1</v>
      </c>
      <c r="J656" s="3" t="s">
        <v>542</v>
      </c>
      <c r="K656" s="3">
        <v>3470</v>
      </c>
      <c r="L656" s="3" t="s">
        <v>719</v>
      </c>
      <c r="M656" s="3">
        <v>93</v>
      </c>
      <c r="N656" s="3">
        <v>104</v>
      </c>
      <c r="O656" s="3">
        <v>163</v>
      </c>
      <c r="P656" s="3" t="s">
        <v>106</v>
      </c>
      <c r="Q656" s="3" t="s">
        <v>26</v>
      </c>
      <c r="S656" s="3" t="s">
        <v>664</v>
      </c>
      <c r="T656" s="3" t="s">
        <v>79</v>
      </c>
      <c r="U656" s="3">
        <v>5</v>
      </c>
      <c r="V656" s="3">
        <v>1</v>
      </c>
      <c r="W656" s="3" t="s">
        <v>26</v>
      </c>
      <c r="AA656" s="3" t="s">
        <v>42</v>
      </c>
      <c r="AB656" s="3" t="s">
        <v>29</v>
      </c>
      <c r="AC656" s="3" t="s">
        <v>664</v>
      </c>
      <c r="AD656" s="3" t="s">
        <v>37</v>
      </c>
      <c r="AE656" s="3" t="s">
        <v>31</v>
      </c>
      <c r="AF656" s="3" t="s">
        <v>664</v>
      </c>
      <c r="AG656" s="3" t="s">
        <v>39</v>
      </c>
    </row>
    <row r="657" spans="1:33">
      <c r="A657" s="1">
        <v>45213.667704664353</v>
      </c>
      <c r="B657" s="3" t="s">
        <v>1024</v>
      </c>
      <c r="C657" s="2">
        <v>32918</v>
      </c>
      <c r="D657" s="3">
        <v>33</v>
      </c>
      <c r="E657" s="3" t="s">
        <v>510</v>
      </c>
      <c r="F657" s="3" t="s">
        <v>529</v>
      </c>
      <c r="G657" s="3" t="s">
        <v>539</v>
      </c>
      <c r="H657" s="2">
        <v>44583</v>
      </c>
      <c r="I657" s="3">
        <v>2</v>
      </c>
      <c r="J657" s="3" t="s">
        <v>541</v>
      </c>
      <c r="K657" s="3">
        <v>3590</v>
      </c>
      <c r="L657" s="3">
        <v>42</v>
      </c>
      <c r="M657" s="3">
        <v>83</v>
      </c>
      <c r="N657" s="3">
        <v>93</v>
      </c>
      <c r="O657" s="3">
        <v>165</v>
      </c>
      <c r="P657" s="3" t="s">
        <v>33</v>
      </c>
      <c r="Q657" s="3" t="s">
        <v>26</v>
      </c>
      <c r="S657" s="3" t="s">
        <v>664</v>
      </c>
      <c r="T657" s="3" t="s">
        <v>79</v>
      </c>
      <c r="U657" s="3">
        <v>7</v>
      </c>
      <c r="V657" s="3">
        <v>1</v>
      </c>
      <c r="W657" s="3" t="s">
        <v>34</v>
      </c>
      <c r="X657" s="3" t="s">
        <v>435</v>
      </c>
      <c r="Y657" s="3">
        <v>7</v>
      </c>
      <c r="Z657" s="3">
        <v>1</v>
      </c>
      <c r="AA657" s="3" t="s">
        <v>28</v>
      </c>
      <c r="AB657" s="3" t="s">
        <v>29</v>
      </c>
      <c r="AC657" s="3" t="s">
        <v>664</v>
      </c>
      <c r="AD657" s="3" t="s">
        <v>30</v>
      </c>
      <c r="AE657" s="3" t="s">
        <v>38</v>
      </c>
      <c r="AF657" s="3" t="s">
        <v>664</v>
      </c>
      <c r="AG657" s="3" t="s">
        <v>62</v>
      </c>
    </row>
    <row r="658" spans="1:33">
      <c r="A658" s="1">
        <v>45213.668522453707</v>
      </c>
      <c r="B658" s="3" t="s">
        <v>1024</v>
      </c>
      <c r="C658" s="2">
        <v>31947</v>
      </c>
      <c r="D658" s="3">
        <v>36</v>
      </c>
      <c r="E658" s="3" t="s">
        <v>510</v>
      </c>
      <c r="F658" s="3" t="s">
        <v>524</v>
      </c>
      <c r="G658" s="3" t="s">
        <v>539</v>
      </c>
      <c r="H658" s="2">
        <v>44795</v>
      </c>
      <c r="I658" s="3">
        <v>2</v>
      </c>
      <c r="J658" s="3" t="s">
        <v>541</v>
      </c>
      <c r="K658" s="3">
        <v>3550</v>
      </c>
      <c r="L658" s="3">
        <v>38</v>
      </c>
      <c r="M658" s="3">
        <v>67</v>
      </c>
      <c r="N658" s="3">
        <v>68</v>
      </c>
      <c r="O658" s="3">
        <v>156</v>
      </c>
      <c r="P658" s="3" t="s">
        <v>436</v>
      </c>
      <c r="Q658" s="3" t="s">
        <v>26</v>
      </c>
      <c r="S658" s="3" t="s">
        <v>664</v>
      </c>
      <c r="T658" s="3" t="s">
        <v>57</v>
      </c>
      <c r="U658" s="3">
        <v>3</v>
      </c>
      <c r="V658" s="3">
        <v>1</v>
      </c>
      <c r="W658" s="3" t="s">
        <v>34</v>
      </c>
      <c r="X658" s="3" t="s">
        <v>437</v>
      </c>
      <c r="Y658" s="3">
        <v>5</v>
      </c>
      <c r="Z658" s="3">
        <v>1</v>
      </c>
      <c r="AA658" s="3" t="s">
        <v>49</v>
      </c>
      <c r="AB658" s="3" t="s">
        <v>29</v>
      </c>
      <c r="AC658" s="3" t="s">
        <v>664</v>
      </c>
      <c r="AD658" s="3" t="s">
        <v>30</v>
      </c>
      <c r="AE658" s="3" t="s">
        <v>31</v>
      </c>
      <c r="AF658" s="3" t="s">
        <v>664</v>
      </c>
      <c r="AG658" s="3" t="s">
        <v>48</v>
      </c>
    </row>
    <row r="659" spans="1:33">
      <c r="A659" s="1">
        <v>45213.684377465281</v>
      </c>
      <c r="B659" s="3" t="s">
        <v>1024</v>
      </c>
      <c r="C659" s="2">
        <v>30161</v>
      </c>
      <c r="D659" s="3">
        <v>41</v>
      </c>
      <c r="E659" s="3" t="s">
        <v>510</v>
      </c>
      <c r="F659" s="3" t="s">
        <v>520</v>
      </c>
      <c r="G659" s="3" t="s">
        <v>539</v>
      </c>
      <c r="H659" s="2">
        <v>43124</v>
      </c>
      <c r="I659" s="3">
        <v>2</v>
      </c>
      <c r="J659" s="3" t="s">
        <v>542</v>
      </c>
      <c r="K659" s="3" t="s">
        <v>1354</v>
      </c>
      <c r="L659" s="3" t="s">
        <v>800</v>
      </c>
      <c r="M659" s="3">
        <v>74</v>
      </c>
      <c r="N659" s="3">
        <v>80</v>
      </c>
      <c r="O659" s="3">
        <v>169</v>
      </c>
      <c r="P659" s="3" t="s">
        <v>33</v>
      </c>
      <c r="Q659" s="3" t="s">
        <v>34</v>
      </c>
      <c r="R659" s="3" t="s">
        <v>438</v>
      </c>
      <c r="S659" s="3" t="s">
        <v>664</v>
      </c>
      <c r="T659" s="3" t="s">
        <v>41</v>
      </c>
      <c r="U659" s="3">
        <v>7</v>
      </c>
      <c r="V659" s="3">
        <v>1</v>
      </c>
      <c r="W659" s="3" t="s">
        <v>34</v>
      </c>
      <c r="X659" s="3" t="s">
        <v>61</v>
      </c>
      <c r="Y659" s="3">
        <v>7</v>
      </c>
      <c r="Z659" s="3">
        <v>1</v>
      </c>
      <c r="AA659" s="3" t="s">
        <v>36</v>
      </c>
      <c r="AB659" s="3" t="s">
        <v>29</v>
      </c>
      <c r="AC659" s="3" t="s">
        <v>664</v>
      </c>
      <c r="AD659" s="3" t="s">
        <v>30</v>
      </c>
      <c r="AE659" s="3" t="s">
        <v>60</v>
      </c>
      <c r="AF659" s="3" t="s">
        <v>664</v>
      </c>
      <c r="AG659" s="3" t="s">
        <v>62</v>
      </c>
    </row>
    <row r="660" spans="1:33">
      <c r="A660" s="1">
        <v>45213.691258101855</v>
      </c>
      <c r="B660" s="3" t="s">
        <v>1024</v>
      </c>
      <c r="C660" s="2">
        <v>35431</v>
      </c>
      <c r="D660" s="3">
        <v>26</v>
      </c>
      <c r="E660" s="3" t="s">
        <v>510</v>
      </c>
      <c r="F660" s="3" t="s">
        <v>528</v>
      </c>
      <c r="G660" s="3" t="s">
        <v>538</v>
      </c>
      <c r="H660" s="2">
        <v>44695</v>
      </c>
      <c r="I660" s="3">
        <v>2</v>
      </c>
      <c r="J660" s="3" t="s">
        <v>541</v>
      </c>
      <c r="K660" s="3">
        <v>3480</v>
      </c>
      <c r="L660" s="3" t="s">
        <v>629</v>
      </c>
      <c r="M660" s="3">
        <v>71</v>
      </c>
      <c r="N660" s="3">
        <v>85</v>
      </c>
      <c r="O660" s="3">
        <v>158</v>
      </c>
      <c r="P660" s="3" t="s">
        <v>33</v>
      </c>
      <c r="Q660" s="3" t="s">
        <v>26</v>
      </c>
      <c r="S660" s="3" t="s">
        <v>664</v>
      </c>
      <c r="T660" s="3" t="s">
        <v>79</v>
      </c>
      <c r="U660" s="3">
        <v>7</v>
      </c>
      <c r="V660" s="3">
        <v>1</v>
      </c>
      <c r="W660" s="3" t="s">
        <v>26</v>
      </c>
      <c r="AA660" s="3" t="s">
        <v>49</v>
      </c>
      <c r="AB660" s="3" t="s">
        <v>29</v>
      </c>
      <c r="AC660" s="3" t="s">
        <v>664</v>
      </c>
      <c r="AD660" s="3" t="s">
        <v>37</v>
      </c>
      <c r="AE660" s="3" t="s">
        <v>60</v>
      </c>
      <c r="AF660" s="3" t="s">
        <v>664</v>
      </c>
      <c r="AG660" s="3" t="s">
        <v>62</v>
      </c>
    </row>
    <row r="661" spans="1:33">
      <c r="A661" s="1">
        <v>45213.702466354167</v>
      </c>
      <c r="B661" s="3" t="s">
        <v>1024</v>
      </c>
      <c r="C661" s="2">
        <v>35122</v>
      </c>
      <c r="D661" s="3">
        <v>27</v>
      </c>
      <c r="E661" s="3" t="s">
        <v>510</v>
      </c>
      <c r="F661" s="3" t="s">
        <v>532</v>
      </c>
      <c r="G661" s="3" t="s">
        <v>539</v>
      </c>
      <c r="H661" s="2">
        <v>44950</v>
      </c>
      <c r="I661" s="3">
        <v>2</v>
      </c>
      <c r="J661" s="3" t="s">
        <v>542</v>
      </c>
      <c r="K661" s="3" t="s">
        <v>1355</v>
      </c>
      <c r="L661" s="3" t="s">
        <v>1356</v>
      </c>
      <c r="M661" s="3">
        <v>62</v>
      </c>
      <c r="N661" s="3">
        <v>68</v>
      </c>
      <c r="O661" s="3">
        <v>164</v>
      </c>
      <c r="P661" s="3" t="s">
        <v>33</v>
      </c>
      <c r="Q661" s="3" t="s">
        <v>26</v>
      </c>
      <c r="S661" s="3" t="s">
        <v>664</v>
      </c>
      <c r="T661" s="3" t="s">
        <v>79</v>
      </c>
      <c r="U661" s="3">
        <v>7</v>
      </c>
      <c r="V661" s="3">
        <v>1</v>
      </c>
      <c r="W661" s="3" t="s">
        <v>34</v>
      </c>
      <c r="X661" s="3" t="s">
        <v>71</v>
      </c>
      <c r="Y661" s="3">
        <v>7</v>
      </c>
      <c r="Z661" s="3">
        <v>1</v>
      </c>
      <c r="AA661" s="3" t="s">
        <v>42</v>
      </c>
      <c r="AB661" s="3" t="s">
        <v>29</v>
      </c>
      <c r="AC661" s="3" t="s">
        <v>664</v>
      </c>
      <c r="AD661" s="3" t="s">
        <v>55</v>
      </c>
      <c r="AE661" s="3" t="s">
        <v>31</v>
      </c>
      <c r="AF661" s="3" t="s">
        <v>664</v>
      </c>
      <c r="AG661" s="3" t="s">
        <v>48</v>
      </c>
    </row>
    <row r="662" spans="1:33">
      <c r="A662" s="1">
        <v>45213.719294537033</v>
      </c>
      <c r="B662" s="3" t="s">
        <v>1024</v>
      </c>
      <c r="C662" s="2">
        <v>32106</v>
      </c>
      <c r="D662" s="3">
        <v>35</v>
      </c>
      <c r="E662" s="3" t="s">
        <v>510</v>
      </c>
      <c r="F662" s="3" t="s">
        <v>530</v>
      </c>
      <c r="G662" s="3" t="s">
        <v>539</v>
      </c>
      <c r="H662" s="2">
        <v>43773</v>
      </c>
      <c r="I662" s="3">
        <v>2</v>
      </c>
      <c r="J662" s="3" t="s">
        <v>541</v>
      </c>
      <c r="K662" s="3">
        <v>2820</v>
      </c>
      <c r="L662" s="3" t="s">
        <v>818</v>
      </c>
      <c r="M662" s="3">
        <v>80</v>
      </c>
      <c r="N662" s="3">
        <v>91</v>
      </c>
      <c r="O662" s="3">
        <v>168</v>
      </c>
      <c r="P662" s="3" t="s">
        <v>33</v>
      </c>
      <c r="Q662" s="3" t="s">
        <v>34</v>
      </c>
      <c r="R662" s="3" t="s">
        <v>819</v>
      </c>
      <c r="S662" s="3" t="s">
        <v>664</v>
      </c>
      <c r="T662" s="3" t="s">
        <v>27</v>
      </c>
      <c r="U662" s="3">
        <v>7</v>
      </c>
      <c r="V662" s="3">
        <v>1</v>
      </c>
      <c r="W662" s="3" t="s">
        <v>34</v>
      </c>
      <c r="X662" s="3" t="s">
        <v>442</v>
      </c>
      <c r="Y662" s="3">
        <v>7</v>
      </c>
      <c r="Z662" s="3">
        <v>1</v>
      </c>
      <c r="AA662" s="3" t="s">
        <v>54</v>
      </c>
      <c r="AB662" s="3" t="s">
        <v>29</v>
      </c>
      <c r="AC662" s="3" t="s">
        <v>664</v>
      </c>
      <c r="AD662" s="3" t="s">
        <v>55</v>
      </c>
      <c r="AE662" s="3" t="s">
        <v>31</v>
      </c>
      <c r="AF662" s="3" t="s">
        <v>664</v>
      </c>
      <c r="AG662" s="3" t="s">
        <v>39</v>
      </c>
    </row>
    <row r="663" spans="1:33">
      <c r="A663" s="1">
        <v>45213.756500127318</v>
      </c>
      <c r="B663" s="3" t="s">
        <v>1024</v>
      </c>
      <c r="C663" s="2">
        <v>33035</v>
      </c>
      <c r="D663" s="3">
        <v>33</v>
      </c>
      <c r="E663" s="3" t="s">
        <v>510</v>
      </c>
      <c r="F663" s="3" t="s">
        <v>520</v>
      </c>
      <c r="G663" s="3" t="s">
        <v>537</v>
      </c>
      <c r="H663" s="2">
        <v>43395</v>
      </c>
      <c r="I663" s="3">
        <v>1</v>
      </c>
      <c r="J663" s="3" t="s">
        <v>542</v>
      </c>
      <c r="K663" s="3" t="s">
        <v>1347</v>
      </c>
      <c r="L663" s="3" t="s">
        <v>661</v>
      </c>
      <c r="M663" s="3">
        <v>52</v>
      </c>
      <c r="N663" s="3">
        <v>62</v>
      </c>
      <c r="O663" s="3">
        <v>154</v>
      </c>
      <c r="P663" s="3" t="s">
        <v>33</v>
      </c>
      <c r="Q663" s="3" t="s">
        <v>26</v>
      </c>
      <c r="S663" s="3" t="s">
        <v>664</v>
      </c>
      <c r="T663" s="3" t="s">
        <v>57</v>
      </c>
      <c r="U663" s="3">
        <v>7</v>
      </c>
      <c r="V663" s="3">
        <v>1</v>
      </c>
      <c r="W663" s="3" t="s">
        <v>26</v>
      </c>
      <c r="AA663" s="3" t="s">
        <v>42</v>
      </c>
      <c r="AB663" s="3" t="s">
        <v>185</v>
      </c>
      <c r="AC663" s="3" t="s">
        <v>664</v>
      </c>
      <c r="AD663" s="3" t="s">
        <v>59</v>
      </c>
      <c r="AE663" s="3" t="s">
        <v>38</v>
      </c>
      <c r="AF663" s="3" t="s">
        <v>664</v>
      </c>
      <c r="AG663" s="3" t="s">
        <v>39</v>
      </c>
    </row>
    <row r="664" spans="1:33">
      <c r="A664" s="1">
        <v>45213.756844618052</v>
      </c>
      <c r="B664" s="3" t="s">
        <v>1024</v>
      </c>
      <c r="C664" s="2">
        <v>31017</v>
      </c>
      <c r="D664" s="3">
        <v>38</v>
      </c>
      <c r="E664" s="3" t="s">
        <v>510</v>
      </c>
      <c r="F664" s="3" t="s">
        <v>531</v>
      </c>
      <c r="G664" s="3" t="s">
        <v>540</v>
      </c>
      <c r="H664" s="2">
        <v>43229</v>
      </c>
      <c r="I664" s="3">
        <v>1</v>
      </c>
      <c r="J664" s="3" t="s">
        <v>541</v>
      </c>
      <c r="K664" s="3">
        <v>3520</v>
      </c>
      <c r="L664" s="3" t="s">
        <v>618</v>
      </c>
      <c r="M664" s="3">
        <v>86</v>
      </c>
      <c r="N664" s="3">
        <v>97</v>
      </c>
      <c r="O664" s="3">
        <v>175</v>
      </c>
      <c r="P664" s="3" t="s">
        <v>123</v>
      </c>
      <c r="Q664" s="3" t="s">
        <v>26</v>
      </c>
      <c r="S664" s="3" t="s">
        <v>664</v>
      </c>
      <c r="T664" s="3" t="s">
        <v>57</v>
      </c>
      <c r="U664" s="3">
        <v>7</v>
      </c>
      <c r="V664" s="3">
        <v>1</v>
      </c>
      <c r="W664" s="3" t="s">
        <v>26</v>
      </c>
      <c r="AA664" s="3" t="s">
        <v>49</v>
      </c>
      <c r="AB664" s="3" t="s">
        <v>29</v>
      </c>
      <c r="AC664" s="3" t="s">
        <v>664</v>
      </c>
      <c r="AD664" s="3" t="s">
        <v>30</v>
      </c>
      <c r="AE664" s="3" t="s">
        <v>60</v>
      </c>
      <c r="AF664" s="3" t="s">
        <v>664</v>
      </c>
      <c r="AG664" s="3" t="s">
        <v>62</v>
      </c>
    </row>
    <row r="665" spans="1:33">
      <c r="A665" s="1">
        <v>45213.765797928238</v>
      </c>
      <c r="B665" s="3" t="s">
        <v>1024</v>
      </c>
      <c r="C665" s="2">
        <v>31786</v>
      </c>
      <c r="D665" s="3">
        <v>36</v>
      </c>
      <c r="E665" s="3" t="s">
        <v>510</v>
      </c>
      <c r="F665" s="3" t="s">
        <v>522</v>
      </c>
      <c r="G665" s="3" t="s">
        <v>540</v>
      </c>
      <c r="H665" s="2">
        <v>44970</v>
      </c>
      <c r="I665" s="3">
        <v>1</v>
      </c>
      <c r="J665" s="3" t="s">
        <v>541</v>
      </c>
      <c r="K665" s="3">
        <v>3680</v>
      </c>
      <c r="L665" s="3" t="s">
        <v>820</v>
      </c>
      <c r="M665" s="3">
        <v>58.5</v>
      </c>
      <c r="N665" s="3">
        <v>70</v>
      </c>
      <c r="O665" s="3">
        <v>160</v>
      </c>
      <c r="P665" s="3" t="s">
        <v>33</v>
      </c>
      <c r="Q665" s="3" t="s">
        <v>26</v>
      </c>
      <c r="S665" s="3" t="s">
        <v>664</v>
      </c>
      <c r="T665" s="3" t="s">
        <v>43</v>
      </c>
      <c r="U665" s="3">
        <v>7</v>
      </c>
      <c r="V665" s="3">
        <v>1</v>
      </c>
      <c r="W665" s="3" t="s">
        <v>26</v>
      </c>
      <c r="AA665" s="3" t="s">
        <v>28</v>
      </c>
      <c r="AB665" s="3" t="s">
        <v>29</v>
      </c>
      <c r="AC665" s="3" t="s">
        <v>26</v>
      </c>
      <c r="AE665" s="3" t="s">
        <v>159</v>
      </c>
      <c r="AF665" s="3" t="s">
        <v>26</v>
      </c>
    </row>
    <row r="666" spans="1:33">
      <c r="A666" s="1">
        <v>45213.775447685184</v>
      </c>
      <c r="B666" s="3" t="s">
        <v>1024</v>
      </c>
      <c r="C666" s="2">
        <v>32535</v>
      </c>
      <c r="D666" s="3">
        <v>34</v>
      </c>
      <c r="E666" s="3" t="s">
        <v>510</v>
      </c>
      <c r="F666" s="3" t="s">
        <v>520</v>
      </c>
      <c r="G666" s="3" t="s">
        <v>539</v>
      </c>
      <c r="H666" s="2">
        <v>43344</v>
      </c>
      <c r="I666" s="3">
        <v>3</v>
      </c>
      <c r="J666" s="3" t="s">
        <v>542</v>
      </c>
      <c r="K666" s="3" t="s">
        <v>1357</v>
      </c>
      <c r="L666" s="3">
        <v>38</v>
      </c>
      <c r="M666" s="3">
        <v>64</v>
      </c>
      <c r="N666" s="3">
        <v>72</v>
      </c>
      <c r="O666" s="3">
        <v>154</v>
      </c>
      <c r="P666" s="3" t="s">
        <v>33</v>
      </c>
      <c r="Q666" s="3" t="s">
        <v>34</v>
      </c>
      <c r="R666" s="3" t="s">
        <v>439</v>
      </c>
      <c r="S666" s="3" t="s">
        <v>664</v>
      </c>
      <c r="T666" s="3" t="s">
        <v>79</v>
      </c>
      <c r="U666" s="3">
        <v>7</v>
      </c>
      <c r="V666" s="3">
        <v>1</v>
      </c>
      <c r="W666" s="3" t="s">
        <v>34</v>
      </c>
      <c r="X666" s="3" t="s">
        <v>128</v>
      </c>
      <c r="Y666" s="3">
        <v>7</v>
      </c>
      <c r="Z666" s="3">
        <v>1</v>
      </c>
      <c r="AA666" s="3" t="s">
        <v>49</v>
      </c>
      <c r="AB666" s="3" t="s">
        <v>83</v>
      </c>
      <c r="AC666" s="3" t="s">
        <v>664</v>
      </c>
      <c r="AD666" s="3" t="s">
        <v>37</v>
      </c>
      <c r="AE666" s="3" t="s">
        <v>31</v>
      </c>
      <c r="AF666" s="3" t="s">
        <v>664</v>
      </c>
      <c r="AG666" s="3" t="s">
        <v>32</v>
      </c>
    </row>
    <row r="667" spans="1:33">
      <c r="A667" s="1">
        <v>45213.821214953699</v>
      </c>
      <c r="B667" s="3" t="s">
        <v>1024</v>
      </c>
      <c r="C667" s="2">
        <v>31360</v>
      </c>
      <c r="D667" s="3">
        <v>37</v>
      </c>
      <c r="E667" s="3" t="s">
        <v>510</v>
      </c>
      <c r="F667" s="3" t="s">
        <v>520</v>
      </c>
      <c r="G667" s="3" t="s">
        <v>539</v>
      </c>
      <c r="H667" s="2">
        <v>43692</v>
      </c>
      <c r="I667" s="3">
        <v>1</v>
      </c>
      <c r="J667" s="3" t="s">
        <v>542</v>
      </c>
      <c r="K667" s="3">
        <v>2413</v>
      </c>
      <c r="L667" s="3" t="s">
        <v>818</v>
      </c>
      <c r="M667" s="3">
        <v>82</v>
      </c>
      <c r="N667" s="3" t="s">
        <v>1358</v>
      </c>
      <c r="O667" s="3">
        <v>170</v>
      </c>
      <c r="P667" s="3" t="s">
        <v>44</v>
      </c>
      <c r="Q667" s="3" t="s">
        <v>26</v>
      </c>
      <c r="S667" s="3" t="s">
        <v>664</v>
      </c>
      <c r="T667" s="3" t="s">
        <v>79</v>
      </c>
      <c r="U667" s="3">
        <v>7</v>
      </c>
      <c r="V667" s="3">
        <v>1</v>
      </c>
      <c r="W667" s="3" t="s">
        <v>26</v>
      </c>
      <c r="AA667" s="3" t="s">
        <v>28</v>
      </c>
      <c r="AB667" s="3" t="s">
        <v>29</v>
      </c>
      <c r="AC667" s="3" t="s">
        <v>664</v>
      </c>
      <c r="AD667" s="3" t="s">
        <v>30</v>
      </c>
      <c r="AE667" s="3" t="s">
        <v>31</v>
      </c>
      <c r="AF667" s="3" t="s">
        <v>664</v>
      </c>
      <c r="AG667" s="3" t="s">
        <v>39</v>
      </c>
    </row>
    <row r="668" spans="1:33">
      <c r="A668" s="1">
        <v>45213.82146644676</v>
      </c>
      <c r="B668" s="3" t="s">
        <v>1024</v>
      </c>
      <c r="C668" s="2">
        <v>31713</v>
      </c>
      <c r="D668" s="3">
        <v>36</v>
      </c>
      <c r="E668" s="3" t="s">
        <v>510</v>
      </c>
      <c r="F668" s="3" t="s">
        <v>520</v>
      </c>
      <c r="G668" s="3" t="s">
        <v>539</v>
      </c>
      <c r="H668" s="2">
        <v>43690</v>
      </c>
      <c r="I668" s="3">
        <v>1</v>
      </c>
      <c r="J668" s="3" t="s">
        <v>541</v>
      </c>
      <c r="K668" s="3">
        <v>3925</v>
      </c>
      <c r="L668" s="3">
        <v>40</v>
      </c>
      <c r="M668" s="3">
        <v>62</v>
      </c>
      <c r="N668" s="3">
        <v>72</v>
      </c>
      <c r="O668" s="3">
        <v>157</v>
      </c>
      <c r="P668" s="3" t="s">
        <v>50</v>
      </c>
      <c r="Q668" s="3" t="s">
        <v>34</v>
      </c>
      <c r="R668" s="3" t="s">
        <v>476</v>
      </c>
      <c r="S668" s="3" t="s">
        <v>664</v>
      </c>
      <c r="T668" s="3" t="s">
        <v>507</v>
      </c>
      <c r="U668" s="3">
        <v>7</v>
      </c>
      <c r="V668" s="3">
        <v>1</v>
      </c>
      <c r="W668" s="3" t="s">
        <v>34</v>
      </c>
      <c r="X668" s="3" t="s">
        <v>821</v>
      </c>
      <c r="Y668" s="3">
        <v>7</v>
      </c>
      <c r="Z668" s="3">
        <v>1</v>
      </c>
      <c r="AA668" s="3" t="s">
        <v>49</v>
      </c>
      <c r="AB668" s="3" t="s">
        <v>29</v>
      </c>
      <c r="AC668" s="3" t="s">
        <v>664</v>
      </c>
      <c r="AD668" s="3" t="s">
        <v>30</v>
      </c>
      <c r="AE668" s="3" t="s">
        <v>60</v>
      </c>
      <c r="AF668" s="3" t="s">
        <v>664</v>
      </c>
      <c r="AG668" s="3" t="s">
        <v>32</v>
      </c>
    </row>
    <row r="669" spans="1:33">
      <c r="A669" s="1">
        <v>45213.832028067132</v>
      </c>
      <c r="B669" s="3" t="s">
        <v>1024</v>
      </c>
      <c r="C669" s="2">
        <v>35572</v>
      </c>
      <c r="D669" s="3">
        <v>26</v>
      </c>
      <c r="E669" s="3" t="s">
        <v>510</v>
      </c>
      <c r="F669" s="3" t="s">
        <v>532</v>
      </c>
      <c r="G669" s="3" t="s">
        <v>538</v>
      </c>
      <c r="H669" s="2">
        <v>44923</v>
      </c>
      <c r="I669" s="3">
        <v>2</v>
      </c>
      <c r="J669" s="3" t="s">
        <v>542</v>
      </c>
      <c r="K669" s="3">
        <v>3200</v>
      </c>
      <c r="L669" s="3" t="s">
        <v>643</v>
      </c>
      <c r="M669" s="3">
        <v>88</v>
      </c>
      <c r="N669" s="3">
        <v>86</v>
      </c>
      <c r="O669" s="3">
        <v>152</v>
      </c>
      <c r="P669" s="3" t="s">
        <v>50</v>
      </c>
      <c r="Q669" s="3" t="s">
        <v>26</v>
      </c>
      <c r="S669" s="3" t="s">
        <v>664</v>
      </c>
      <c r="T669" s="3" t="s">
        <v>121</v>
      </c>
      <c r="W669" s="3" t="s">
        <v>34</v>
      </c>
      <c r="X669" s="3" t="s">
        <v>231</v>
      </c>
      <c r="Y669" s="3">
        <v>4</v>
      </c>
      <c r="Z669" s="3">
        <v>1</v>
      </c>
      <c r="AA669" s="3" t="s">
        <v>51</v>
      </c>
      <c r="AB669" s="3" t="s">
        <v>29</v>
      </c>
      <c r="AC669" s="3" t="s">
        <v>664</v>
      </c>
      <c r="AD669" s="3" t="s">
        <v>55</v>
      </c>
      <c r="AE669" s="3" t="s">
        <v>38</v>
      </c>
      <c r="AF669" s="3" t="s">
        <v>664</v>
      </c>
      <c r="AG669" s="3" t="s">
        <v>32</v>
      </c>
    </row>
    <row r="670" spans="1:33">
      <c r="A670" s="1">
        <v>45213.873635185184</v>
      </c>
      <c r="B670" s="3" t="s">
        <v>1024</v>
      </c>
      <c r="C670" s="2">
        <v>31420</v>
      </c>
      <c r="D670" s="3">
        <v>37</v>
      </c>
      <c r="E670" s="3" t="s">
        <v>510</v>
      </c>
      <c r="F670" s="3" t="s">
        <v>520</v>
      </c>
      <c r="G670" s="3" t="s">
        <v>539</v>
      </c>
      <c r="H670" s="2">
        <v>44639</v>
      </c>
      <c r="I670" s="3">
        <v>2</v>
      </c>
      <c r="J670" s="3" t="s">
        <v>542</v>
      </c>
      <c r="K670" s="3">
        <v>1690</v>
      </c>
      <c r="L670" s="3" t="s">
        <v>822</v>
      </c>
      <c r="M670" s="3">
        <v>90</v>
      </c>
      <c r="N670" s="3">
        <v>96</v>
      </c>
      <c r="O670" s="3">
        <v>168</v>
      </c>
      <c r="P670" s="3" t="s">
        <v>127</v>
      </c>
      <c r="Q670" s="3" t="s">
        <v>26</v>
      </c>
      <c r="S670" s="3" t="s">
        <v>664</v>
      </c>
      <c r="T670" s="3" t="s">
        <v>79</v>
      </c>
      <c r="U670" s="3">
        <v>7</v>
      </c>
      <c r="V670" s="3">
        <v>1</v>
      </c>
      <c r="W670" s="3" t="s">
        <v>26</v>
      </c>
      <c r="AA670" s="3" t="s">
        <v>114</v>
      </c>
      <c r="AB670" s="3" t="s">
        <v>29</v>
      </c>
      <c r="AC670" s="3" t="s">
        <v>664</v>
      </c>
      <c r="AD670" s="3" t="s">
        <v>37</v>
      </c>
      <c r="AE670" s="3" t="s">
        <v>31</v>
      </c>
      <c r="AF670" s="3" t="s">
        <v>664</v>
      </c>
      <c r="AG670" s="3" t="s">
        <v>39</v>
      </c>
    </row>
    <row r="671" spans="1:33">
      <c r="A671" s="1">
        <v>45213.886674398149</v>
      </c>
      <c r="B671" s="3" t="s">
        <v>1024</v>
      </c>
      <c r="C671" s="2">
        <v>32326</v>
      </c>
      <c r="D671" s="3">
        <v>35</v>
      </c>
      <c r="E671" s="3" t="s">
        <v>510</v>
      </c>
      <c r="F671" s="3" t="s">
        <v>520</v>
      </c>
      <c r="G671" s="3" t="s">
        <v>540</v>
      </c>
      <c r="H671" s="2">
        <v>43382</v>
      </c>
      <c r="I671" s="3">
        <v>1</v>
      </c>
      <c r="J671" s="3" t="s">
        <v>541</v>
      </c>
      <c r="K671" s="3">
        <v>2850</v>
      </c>
      <c r="L671" s="3">
        <v>37</v>
      </c>
      <c r="M671" s="3">
        <v>53</v>
      </c>
      <c r="N671" s="3">
        <v>63</v>
      </c>
      <c r="O671" s="3">
        <v>160</v>
      </c>
      <c r="P671" s="3" t="s">
        <v>33</v>
      </c>
      <c r="Q671" s="3" t="s">
        <v>26</v>
      </c>
      <c r="S671" s="3" t="s">
        <v>664</v>
      </c>
      <c r="T671" s="3" t="s">
        <v>43</v>
      </c>
      <c r="U671" s="3">
        <v>6</v>
      </c>
      <c r="V671" s="3">
        <v>1</v>
      </c>
      <c r="W671" s="3" t="s">
        <v>34</v>
      </c>
      <c r="X671" s="3" t="s">
        <v>58</v>
      </c>
      <c r="Y671" s="3">
        <v>7</v>
      </c>
      <c r="Z671" s="3">
        <v>1</v>
      </c>
      <c r="AA671" s="3" t="s">
        <v>49</v>
      </c>
      <c r="AB671" s="3" t="s">
        <v>29</v>
      </c>
      <c r="AC671" s="3" t="s">
        <v>664</v>
      </c>
      <c r="AD671" s="3" t="s">
        <v>59</v>
      </c>
      <c r="AE671" s="3" t="s">
        <v>60</v>
      </c>
      <c r="AF671" s="3" t="s">
        <v>664</v>
      </c>
      <c r="AG671" s="3" t="s">
        <v>39</v>
      </c>
    </row>
    <row r="672" spans="1:33">
      <c r="A672" s="1">
        <v>45213.887511701389</v>
      </c>
      <c r="B672" s="3" t="s">
        <v>1024</v>
      </c>
      <c r="C672" s="2">
        <v>30435</v>
      </c>
      <c r="D672" s="3">
        <v>40</v>
      </c>
      <c r="E672" s="3" t="s">
        <v>510</v>
      </c>
      <c r="F672" s="3" t="s">
        <v>520</v>
      </c>
      <c r="G672" s="3" t="s">
        <v>539</v>
      </c>
      <c r="H672" s="2">
        <v>43101</v>
      </c>
      <c r="I672" s="3">
        <v>1</v>
      </c>
      <c r="J672" s="3" t="s">
        <v>541</v>
      </c>
      <c r="K672" s="3">
        <v>2750</v>
      </c>
      <c r="L672" s="3">
        <v>38</v>
      </c>
      <c r="M672" s="3">
        <v>62</v>
      </c>
      <c r="N672" s="3">
        <v>67</v>
      </c>
      <c r="O672" s="3">
        <v>158</v>
      </c>
      <c r="P672" s="3" t="s">
        <v>44</v>
      </c>
      <c r="Q672" s="3" t="s">
        <v>26</v>
      </c>
      <c r="S672" s="3" t="s">
        <v>664</v>
      </c>
      <c r="T672" s="3" t="s">
        <v>79</v>
      </c>
      <c r="U672" s="3">
        <v>7</v>
      </c>
      <c r="V672" s="3">
        <v>1</v>
      </c>
      <c r="W672" s="3" t="s">
        <v>34</v>
      </c>
      <c r="X672" s="3" t="s">
        <v>632</v>
      </c>
      <c r="Y672" s="3">
        <v>7</v>
      </c>
      <c r="Z672" s="3">
        <v>1</v>
      </c>
      <c r="AA672" s="3" t="s">
        <v>42</v>
      </c>
      <c r="AB672" s="3" t="s">
        <v>568</v>
      </c>
      <c r="AC672" s="3" t="s">
        <v>664</v>
      </c>
      <c r="AD672" s="3" t="s">
        <v>59</v>
      </c>
      <c r="AE672" s="3" t="s">
        <v>31</v>
      </c>
      <c r="AF672" s="3" t="s">
        <v>664</v>
      </c>
      <c r="AG672" s="3" t="s">
        <v>62</v>
      </c>
    </row>
    <row r="673" spans="1:33">
      <c r="A673" s="1">
        <v>45213.901934583337</v>
      </c>
      <c r="B673" s="3" t="s">
        <v>1024</v>
      </c>
      <c r="C673" s="2">
        <v>34334</v>
      </c>
      <c r="D673" s="3">
        <v>29</v>
      </c>
      <c r="E673" s="3" t="s">
        <v>510</v>
      </c>
      <c r="F673" s="3" t="s">
        <v>521</v>
      </c>
      <c r="G673" s="3" t="s">
        <v>539</v>
      </c>
      <c r="H673" s="2">
        <v>44616</v>
      </c>
      <c r="I673" s="3">
        <v>1</v>
      </c>
      <c r="J673" s="3" t="s">
        <v>542</v>
      </c>
      <c r="K673" s="3">
        <v>3390</v>
      </c>
      <c r="L673" s="3">
        <v>41</v>
      </c>
      <c r="M673" s="3">
        <v>56</v>
      </c>
      <c r="N673" s="3">
        <v>62</v>
      </c>
      <c r="O673" s="3">
        <v>150</v>
      </c>
      <c r="P673" s="3" t="s">
        <v>33</v>
      </c>
      <c r="Q673" s="3" t="s">
        <v>26</v>
      </c>
      <c r="S673" s="3" t="s">
        <v>664</v>
      </c>
      <c r="T673" s="3" t="s">
        <v>79</v>
      </c>
      <c r="U673" s="3">
        <v>7</v>
      </c>
      <c r="V673" s="3">
        <v>1</v>
      </c>
      <c r="W673" s="3" t="s">
        <v>34</v>
      </c>
      <c r="X673" s="3" t="s">
        <v>440</v>
      </c>
      <c r="Y673" s="3">
        <v>4</v>
      </c>
      <c r="Z673" s="3" t="s">
        <v>39</v>
      </c>
      <c r="AA673" s="3" t="s">
        <v>49</v>
      </c>
      <c r="AB673" s="3" t="s">
        <v>441</v>
      </c>
      <c r="AC673" s="3" t="s">
        <v>664</v>
      </c>
      <c r="AD673" s="3" t="s">
        <v>30</v>
      </c>
      <c r="AE673" s="3" t="s">
        <v>38</v>
      </c>
      <c r="AF673" s="3" t="s">
        <v>664</v>
      </c>
      <c r="AG673" s="3" t="s">
        <v>39</v>
      </c>
    </row>
    <row r="674" spans="1:33">
      <c r="A674" s="1">
        <v>45213.909841180561</v>
      </c>
      <c r="B674" s="3" t="s">
        <v>1024</v>
      </c>
      <c r="C674" s="2">
        <v>31968</v>
      </c>
      <c r="D674" s="3">
        <v>36</v>
      </c>
      <c r="E674" s="3" t="s">
        <v>510</v>
      </c>
      <c r="F674" s="3" t="s">
        <v>520</v>
      </c>
      <c r="G674" s="3" t="s">
        <v>538</v>
      </c>
      <c r="H674" s="2">
        <v>44487</v>
      </c>
      <c r="I674" s="3">
        <v>2</v>
      </c>
      <c r="J674" s="3" t="s">
        <v>542</v>
      </c>
      <c r="K674" s="3">
        <v>3.68</v>
      </c>
      <c r="L674" s="3" t="s">
        <v>649</v>
      </c>
      <c r="M674" s="3">
        <v>72</v>
      </c>
      <c r="N674" s="3">
        <v>85</v>
      </c>
      <c r="O674" s="3">
        <v>1.54</v>
      </c>
      <c r="P674" s="3" t="s">
        <v>33</v>
      </c>
      <c r="Q674" s="3" t="s">
        <v>26</v>
      </c>
      <c r="S674" s="3" t="s">
        <v>664</v>
      </c>
      <c r="T674" s="3" t="s">
        <v>56</v>
      </c>
      <c r="U674" s="3">
        <v>7</v>
      </c>
      <c r="V674" s="3">
        <v>1</v>
      </c>
      <c r="W674" s="3" t="s">
        <v>26</v>
      </c>
      <c r="AA674" s="3" t="s">
        <v>49</v>
      </c>
      <c r="AB674" s="3" t="s">
        <v>83</v>
      </c>
      <c r="AC674" s="3" t="s">
        <v>664</v>
      </c>
      <c r="AD674" s="3" t="s">
        <v>30</v>
      </c>
      <c r="AE674" s="3" t="s">
        <v>38</v>
      </c>
      <c r="AF674" s="3" t="s">
        <v>664</v>
      </c>
      <c r="AG674" s="3" t="s">
        <v>32</v>
      </c>
    </row>
    <row r="675" spans="1:33">
      <c r="A675" s="1">
        <v>45213.913427129628</v>
      </c>
      <c r="B675" s="3" t="s">
        <v>1024</v>
      </c>
      <c r="C675" s="2">
        <v>31947</v>
      </c>
      <c r="D675" s="3">
        <v>36</v>
      </c>
      <c r="E675" s="3" t="s">
        <v>510</v>
      </c>
      <c r="F675" s="3" t="s">
        <v>533</v>
      </c>
      <c r="G675" s="3" t="s">
        <v>539</v>
      </c>
      <c r="H675" s="2">
        <v>43579</v>
      </c>
      <c r="I675" s="3">
        <v>2</v>
      </c>
      <c r="J675" s="3" t="s">
        <v>541</v>
      </c>
      <c r="K675" s="3" t="s">
        <v>1197</v>
      </c>
      <c r="L675" s="3" t="s">
        <v>616</v>
      </c>
      <c r="M675" s="3" t="s">
        <v>1359</v>
      </c>
      <c r="N675" s="3">
        <v>71</v>
      </c>
      <c r="O675" s="3">
        <v>157</v>
      </c>
      <c r="P675" s="3" t="s">
        <v>33</v>
      </c>
      <c r="Q675" s="3" t="s">
        <v>26</v>
      </c>
      <c r="S675" s="3" t="s">
        <v>664</v>
      </c>
      <c r="T675" s="3" t="s">
        <v>27</v>
      </c>
      <c r="U675" s="3">
        <v>7</v>
      </c>
      <c r="V675" s="3">
        <v>1</v>
      </c>
      <c r="W675" s="3" t="s">
        <v>26</v>
      </c>
      <c r="AA675" s="3" t="s">
        <v>49</v>
      </c>
      <c r="AB675" s="3" t="s">
        <v>29</v>
      </c>
      <c r="AC675" s="3" t="s">
        <v>664</v>
      </c>
      <c r="AD675" s="3" t="s">
        <v>55</v>
      </c>
      <c r="AE675" s="3" t="s">
        <v>31</v>
      </c>
      <c r="AF675" s="3" t="s">
        <v>664</v>
      </c>
      <c r="AG675" s="3" t="s">
        <v>32</v>
      </c>
    </row>
    <row r="676" spans="1:33">
      <c r="A676" s="1">
        <v>45213.915782581018</v>
      </c>
      <c r="B676" s="3" t="s">
        <v>1024</v>
      </c>
      <c r="C676" s="2">
        <v>28587</v>
      </c>
      <c r="D676" s="3">
        <v>45</v>
      </c>
      <c r="E676" s="3" t="s">
        <v>510</v>
      </c>
      <c r="F676" s="3" t="s">
        <v>535</v>
      </c>
      <c r="G676" s="3" t="s">
        <v>539</v>
      </c>
      <c r="H676" s="2">
        <v>43282</v>
      </c>
      <c r="I676" s="3">
        <v>3</v>
      </c>
      <c r="J676" s="3" t="s">
        <v>541</v>
      </c>
      <c r="K676" s="3">
        <v>2440</v>
      </c>
      <c r="L676" s="3" t="s">
        <v>800</v>
      </c>
      <c r="M676" s="3">
        <v>70</v>
      </c>
      <c r="N676" s="3">
        <v>78</v>
      </c>
      <c r="O676" s="3">
        <v>165</v>
      </c>
      <c r="P676" s="3" t="s">
        <v>33</v>
      </c>
      <c r="Q676" s="3" t="s">
        <v>26</v>
      </c>
      <c r="S676" s="3" t="s">
        <v>664</v>
      </c>
      <c r="T676" s="3" t="s">
        <v>43</v>
      </c>
      <c r="U676" s="3">
        <v>7</v>
      </c>
      <c r="V676" s="3">
        <v>1</v>
      </c>
      <c r="W676" s="3" t="s">
        <v>34</v>
      </c>
      <c r="X676" s="3" t="s">
        <v>58</v>
      </c>
      <c r="Y676" s="3">
        <v>5</v>
      </c>
      <c r="Z676" s="3">
        <v>1</v>
      </c>
      <c r="AA676" s="3" t="s">
        <v>28</v>
      </c>
      <c r="AB676" s="3" t="s">
        <v>29</v>
      </c>
      <c r="AC676" s="3" t="s">
        <v>664</v>
      </c>
      <c r="AD676" s="3" t="s">
        <v>63</v>
      </c>
      <c r="AE676" s="3" t="s">
        <v>72</v>
      </c>
      <c r="AF676" s="3" t="s">
        <v>664</v>
      </c>
      <c r="AG676" s="3" t="s">
        <v>39</v>
      </c>
    </row>
    <row r="677" spans="1:33">
      <c r="A677" s="1">
        <v>45213.917948877315</v>
      </c>
      <c r="B677" s="3" t="s">
        <v>1024</v>
      </c>
      <c r="C677" s="2">
        <v>31570</v>
      </c>
      <c r="D677" s="3">
        <v>37</v>
      </c>
      <c r="E677" s="3" t="s">
        <v>510</v>
      </c>
      <c r="F677" s="3" t="s">
        <v>520</v>
      </c>
      <c r="G677" s="3" t="s">
        <v>539</v>
      </c>
      <c r="H677" s="2">
        <v>43158</v>
      </c>
      <c r="I677" s="3">
        <v>1</v>
      </c>
      <c r="J677" s="3" t="s">
        <v>541</v>
      </c>
      <c r="K677" s="3">
        <v>4000</v>
      </c>
      <c r="L677" s="3" t="s">
        <v>683</v>
      </c>
      <c r="M677" s="3">
        <v>65</v>
      </c>
      <c r="N677" s="3">
        <v>70</v>
      </c>
      <c r="O677" s="3">
        <v>165</v>
      </c>
      <c r="P677" s="3" t="s">
        <v>33</v>
      </c>
      <c r="Q677" s="3" t="s">
        <v>26</v>
      </c>
      <c r="S677" s="3" t="s">
        <v>664</v>
      </c>
      <c r="T677" s="3" t="s">
        <v>56</v>
      </c>
      <c r="U677" s="3">
        <v>1</v>
      </c>
      <c r="V677" s="3">
        <v>1</v>
      </c>
      <c r="W677" s="3" t="s">
        <v>34</v>
      </c>
      <c r="X677" s="3" t="s">
        <v>442</v>
      </c>
      <c r="Y677" s="3">
        <v>7</v>
      </c>
      <c r="Z677" s="3">
        <v>1</v>
      </c>
      <c r="AA677" s="3" t="s">
        <v>49</v>
      </c>
      <c r="AB677" s="3" t="s">
        <v>29</v>
      </c>
      <c r="AC677" s="3" t="s">
        <v>664</v>
      </c>
      <c r="AD677" s="3" t="s">
        <v>55</v>
      </c>
      <c r="AE677" s="3" t="s">
        <v>31</v>
      </c>
      <c r="AF677" s="3" t="s">
        <v>664</v>
      </c>
      <c r="AG677" s="3" t="s">
        <v>39</v>
      </c>
    </row>
    <row r="678" spans="1:33">
      <c r="A678" s="1">
        <v>45213.938769641201</v>
      </c>
      <c r="B678" s="3" t="s">
        <v>1024</v>
      </c>
      <c r="C678" s="2">
        <v>32204</v>
      </c>
      <c r="D678" s="3">
        <v>35</v>
      </c>
      <c r="E678" s="3" t="s">
        <v>510</v>
      </c>
      <c r="F678" s="3" t="s">
        <v>522</v>
      </c>
      <c r="G678" s="3" t="s">
        <v>539</v>
      </c>
      <c r="H678" s="2">
        <v>43639</v>
      </c>
      <c r="I678" s="3">
        <v>1</v>
      </c>
      <c r="J678" s="3" t="s">
        <v>542</v>
      </c>
      <c r="K678" s="3">
        <v>2980</v>
      </c>
      <c r="L678" s="3" t="s">
        <v>823</v>
      </c>
      <c r="M678" s="3">
        <v>50</v>
      </c>
      <c r="N678" s="3">
        <v>60</v>
      </c>
      <c r="O678" s="3">
        <v>153</v>
      </c>
      <c r="P678" s="3" t="s">
        <v>44</v>
      </c>
      <c r="Q678" s="3" t="s">
        <v>26</v>
      </c>
      <c r="S678" s="3" t="s">
        <v>664</v>
      </c>
      <c r="T678" s="3" t="s">
        <v>316</v>
      </c>
      <c r="U678" s="3">
        <v>7</v>
      </c>
      <c r="V678" s="3">
        <v>1</v>
      </c>
      <c r="W678" s="3" t="s">
        <v>26</v>
      </c>
      <c r="AA678" s="3" t="s">
        <v>49</v>
      </c>
      <c r="AB678" s="3" t="s">
        <v>561</v>
      </c>
      <c r="AC678" s="3" t="s">
        <v>26</v>
      </c>
      <c r="AE678" s="3" t="s">
        <v>159</v>
      </c>
      <c r="AF678" s="3" t="s">
        <v>26</v>
      </c>
      <c r="AG678" s="3" t="s">
        <v>62</v>
      </c>
    </row>
    <row r="679" spans="1:33">
      <c r="A679" s="1">
        <v>45213.944679953704</v>
      </c>
      <c r="B679" s="3" t="s">
        <v>1024</v>
      </c>
      <c r="C679" s="2">
        <v>31924</v>
      </c>
      <c r="D679" s="3">
        <v>36</v>
      </c>
      <c r="E679" s="3" t="s">
        <v>510</v>
      </c>
      <c r="F679" s="3" t="s">
        <v>534</v>
      </c>
      <c r="G679" s="3" t="s">
        <v>539</v>
      </c>
      <c r="H679" s="2">
        <v>45041</v>
      </c>
      <c r="I679" s="3">
        <v>2</v>
      </c>
      <c r="J679" s="3" t="s">
        <v>541</v>
      </c>
      <c r="K679" s="3">
        <v>3240</v>
      </c>
      <c r="L679" s="3" t="s">
        <v>661</v>
      </c>
      <c r="M679" s="3">
        <v>58</v>
      </c>
      <c r="N679" s="3">
        <v>73</v>
      </c>
      <c r="O679" s="3">
        <v>165</v>
      </c>
      <c r="P679" s="3" t="s">
        <v>33</v>
      </c>
      <c r="Q679" s="3" t="s">
        <v>26</v>
      </c>
      <c r="S679" s="3" t="s">
        <v>664</v>
      </c>
      <c r="T679" s="3" t="s">
        <v>43</v>
      </c>
      <c r="U679" s="3">
        <v>7</v>
      </c>
      <c r="V679" s="3">
        <v>1</v>
      </c>
      <c r="W679" s="3" t="s">
        <v>34</v>
      </c>
      <c r="X679" s="3" t="s">
        <v>35</v>
      </c>
      <c r="Y679" s="3">
        <v>7</v>
      </c>
      <c r="Z679" s="3">
        <v>1</v>
      </c>
      <c r="AA679" s="3" t="s">
        <v>49</v>
      </c>
      <c r="AB679" s="3" t="s">
        <v>29</v>
      </c>
      <c r="AC679" s="3" t="s">
        <v>664</v>
      </c>
      <c r="AD679" s="3" t="s">
        <v>59</v>
      </c>
      <c r="AE679" s="3" t="s">
        <v>87</v>
      </c>
      <c r="AF679" s="3" t="s">
        <v>664</v>
      </c>
      <c r="AG679" s="3" t="s">
        <v>76</v>
      </c>
    </row>
    <row r="680" spans="1:33">
      <c r="A680" s="1">
        <v>45213.950454618054</v>
      </c>
      <c r="B680" s="3" t="s">
        <v>1024</v>
      </c>
      <c r="C680" s="2">
        <v>31052</v>
      </c>
      <c r="D680" s="3">
        <v>38</v>
      </c>
      <c r="E680" s="3" t="s">
        <v>510</v>
      </c>
      <c r="F680" s="3" t="s">
        <v>520</v>
      </c>
      <c r="G680" s="3" t="s">
        <v>539</v>
      </c>
      <c r="H680" s="2">
        <v>44497</v>
      </c>
      <c r="I680" s="3">
        <v>2</v>
      </c>
      <c r="J680" s="3" t="s">
        <v>542</v>
      </c>
      <c r="K680" s="3">
        <v>1010</v>
      </c>
      <c r="L680" s="3" t="s">
        <v>824</v>
      </c>
      <c r="M680" s="3">
        <v>57</v>
      </c>
      <c r="N680" s="3">
        <v>72</v>
      </c>
      <c r="O680" s="3">
        <v>169</v>
      </c>
      <c r="P680" s="3" t="s">
        <v>25</v>
      </c>
      <c r="Q680" s="3" t="s">
        <v>34</v>
      </c>
      <c r="R680" s="3" t="s">
        <v>549</v>
      </c>
      <c r="S680" s="3" t="s">
        <v>664</v>
      </c>
      <c r="T680" s="3" t="s">
        <v>43</v>
      </c>
      <c r="U680" s="3">
        <v>7</v>
      </c>
      <c r="V680" s="3">
        <v>1</v>
      </c>
      <c r="W680" s="3" t="s">
        <v>26</v>
      </c>
      <c r="AA680" s="3" t="s">
        <v>49</v>
      </c>
      <c r="AB680" s="3" t="s">
        <v>566</v>
      </c>
      <c r="AC680" s="3" t="s">
        <v>664</v>
      </c>
      <c r="AD680" s="3" t="s">
        <v>55</v>
      </c>
      <c r="AE680" s="3" t="s">
        <v>31</v>
      </c>
      <c r="AF680" s="3" t="s">
        <v>26</v>
      </c>
    </row>
    <row r="681" spans="1:33">
      <c r="A681" s="1">
        <v>45213.95695850694</v>
      </c>
      <c r="B681" s="3" t="s">
        <v>1024</v>
      </c>
      <c r="C681" s="2">
        <v>28620</v>
      </c>
      <c r="D681" s="3">
        <v>45</v>
      </c>
      <c r="E681" s="3" t="s">
        <v>510</v>
      </c>
      <c r="F681" s="3" t="s">
        <v>520</v>
      </c>
      <c r="G681" s="3" t="s">
        <v>539</v>
      </c>
      <c r="H681" s="2">
        <v>44177</v>
      </c>
      <c r="I681" s="3">
        <v>1</v>
      </c>
      <c r="J681" s="3" t="s">
        <v>542</v>
      </c>
      <c r="K681" s="3" t="s">
        <v>1360</v>
      </c>
      <c r="L681" s="3">
        <v>38</v>
      </c>
      <c r="M681" s="3">
        <v>67</v>
      </c>
      <c r="N681" s="3">
        <v>69</v>
      </c>
      <c r="O681" s="3">
        <v>150</v>
      </c>
      <c r="P681" s="3" t="s">
        <v>33</v>
      </c>
      <c r="Q681" s="3" t="s">
        <v>26</v>
      </c>
      <c r="S681" s="3" t="s">
        <v>664</v>
      </c>
      <c r="T681" s="3" t="s">
        <v>57</v>
      </c>
      <c r="U681" s="3">
        <v>7</v>
      </c>
      <c r="V681" s="3">
        <v>1</v>
      </c>
      <c r="W681" s="3" t="s">
        <v>26</v>
      </c>
      <c r="AA681" s="3" t="s">
        <v>49</v>
      </c>
      <c r="AB681" s="3" t="s">
        <v>29</v>
      </c>
      <c r="AC681" s="3" t="s">
        <v>664</v>
      </c>
      <c r="AD681" s="3" t="s">
        <v>30</v>
      </c>
      <c r="AE681" s="3" t="s">
        <v>31</v>
      </c>
      <c r="AF681" s="3" t="s">
        <v>664</v>
      </c>
      <c r="AG681" s="3" t="s">
        <v>39</v>
      </c>
    </row>
    <row r="682" spans="1:33">
      <c r="A682" s="1">
        <v>45213.962294259254</v>
      </c>
      <c r="B682" s="3" t="s">
        <v>1024</v>
      </c>
      <c r="C682" s="2">
        <v>31498</v>
      </c>
      <c r="D682" s="3">
        <v>37</v>
      </c>
      <c r="E682" s="3" t="s">
        <v>510</v>
      </c>
      <c r="F682" s="3" t="s">
        <v>529</v>
      </c>
      <c r="G682" s="3" t="s">
        <v>539</v>
      </c>
      <c r="H682" s="2">
        <v>44708</v>
      </c>
      <c r="I682" s="3">
        <v>1</v>
      </c>
      <c r="J682" s="3" t="s">
        <v>541</v>
      </c>
      <c r="K682" s="3">
        <v>3470</v>
      </c>
      <c r="L682" s="3">
        <v>37</v>
      </c>
      <c r="M682" s="3">
        <v>98</v>
      </c>
      <c r="N682" s="3">
        <v>96</v>
      </c>
      <c r="O682" s="3">
        <v>160</v>
      </c>
      <c r="P682" s="3" t="s">
        <v>25</v>
      </c>
      <c r="Q682" s="3" t="s">
        <v>26</v>
      </c>
      <c r="S682" s="3" t="s">
        <v>664</v>
      </c>
      <c r="T682" s="3" t="s">
        <v>206</v>
      </c>
      <c r="U682" s="3">
        <v>7</v>
      </c>
      <c r="V682" s="3">
        <v>1</v>
      </c>
      <c r="W682" s="3" t="s">
        <v>26</v>
      </c>
      <c r="AA682" s="3" t="s">
        <v>54</v>
      </c>
      <c r="AB682" s="3" t="s">
        <v>443</v>
      </c>
      <c r="AC682" s="3" t="s">
        <v>664</v>
      </c>
      <c r="AD682" s="3" t="s">
        <v>30</v>
      </c>
      <c r="AE682" s="3" t="s">
        <v>38</v>
      </c>
      <c r="AF682" s="3" t="s">
        <v>26</v>
      </c>
      <c r="AG682" s="3" t="s">
        <v>62</v>
      </c>
    </row>
    <row r="683" spans="1:33">
      <c r="A683" s="1">
        <v>45213.962419710646</v>
      </c>
      <c r="B683" s="3" t="s">
        <v>1024</v>
      </c>
      <c r="C683" s="2">
        <v>33740</v>
      </c>
      <c r="D683" s="3">
        <v>31</v>
      </c>
      <c r="E683" s="3" t="s">
        <v>510</v>
      </c>
      <c r="F683" s="3" t="s">
        <v>520</v>
      </c>
      <c r="G683" s="3" t="s">
        <v>539</v>
      </c>
      <c r="H683" s="2">
        <v>44369</v>
      </c>
      <c r="I683" s="3">
        <v>2</v>
      </c>
      <c r="J683" s="3" t="s">
        <v>542</v>
      </c>
      <c r="K683" s="3">
        <v>3575</v>
      </c>
      <c r="L683" s="3">
        <v>41</v>
      </c>
      <c r="M683" s="3">
        <v>68</v>
      </c>
      <c r="N683" s="3">
        <v>84</v>
      </c>
      <c r="O683" s="3">
        <v>162</v>
      </c>
      <c r="P683" s="3" t="s">
        <v>33</v>
      </c>
      <c r="Q683" s="3" t="s">
        <v>26</v>
      </c>
      <c r="S683" s="3" t="s">
        <v>664</v>
      </c>
      <c r="T683" s="3" t="s">
        <v>27</v>
      </c>
      <c r="U683" s="3">
        <v>7</v>
      </c>
      <c r="V683" s="3">
        <v>1</v>
      </c>
      <c r="W683" s="3" t="s">
        <v>34</v>
      </c>
      <c r="AA683" s="3" t="s">
        <v>49</v>
      </c>
      <c r="AB683" s="3" t="s">
        <v>29</v>
      </c>
      <c r="AC683" s="3" t="s">
        <v>664</v>
      </c>
      <c r="AD683" s="3" t="s">
        <v>59</v>
      </c>
      <c r="AE683" s="3" t="s">
        <v>31</v>
      </c>
      <c r="AF683" s="3" t="s">
        <v>664</v>
      </c>
      <c r="AG683" s="3" t="s">
        <v>32</v>
      </c>
    </row>
    <row r="684" spans="1:33">
      <c r="A684" s="1">
        <v>45213.962762291667</v>
      </c>
      <c r="B684" s="3" t="s">
        <v>1024</v>
      </c>
      <c r="C684" s="2">
        <v>31601</v>
      </c>
      <c r="D684" s="3">
        <v>38</v>
      </c>
      <c r="E684" s="3" t="s">
        <v>510</v>
      </c>
      <c r="F684" s="3" t="s">
        <v>529</v>
      </c>
      <c r="G684" s="3" t="s">
        <v>540</v>
      </c>
      <c r="H684" s="2">
        <v>44385</v>
      </c>
      <c r="I684" s="3">
        <v>1</v>
      </c>
      <c r="J684" s="3" t="s">
        <v>542</v>
      </c>
      <c r="K684" s="3" t="s">
        <v>1361</v>
      </c>
      <c r="L684" s="3" t="s">
        <v>616</v>
      </c>
      <c r="M684" s="3">
        <v>63</v>
      </c>
      <c r="N684" s="3">
        <v>69</v>
      </c>
      <c r="O684" s="3">
        <v>170</v>
      </c>
      <c r="P684" s="3" t="s">
        <v>33</v>
      </c>
      <c r="Q684" s="3" t="s">
        <v>26</v>
      </c>
      <c r="S684" s="3" t="s">
        <v>664</v>
      </c>
      <c r="T684" s="3" t="s">
        <v>27</v>
      </c>
      <c r="U684" s="3">
        <v>7</v>
      </c>
      <c r="V684" s="3">
        <v>1</v>
      </c>
      <c r="W684" s="3" t="s">
        <v>34</v>
      </c>
      <c r="X684" s="3" t="s">
        <v>444</v>
      </c>
      <c r="Y684" s="3">
        <v>7</v>
      </c>
      <c r="Z684" s="3">
        <v>1</v>
      </c>
      <c r="AA684" s="3" t="s">
        <v>42</v>
      </c>
      <c r="AB684" s="3" t="s">
        <v>29</v>
      </c>
      <c r="AC684" s="3" t="s">
        <v>664</v>
      </c>
      <c r="AD684" s="3" t="s">
        <v>30</v>
      </c>
      <c r="AE684" s="3" t="s">
        <v>38</v>
      </c>
      <c r="AF684" s="3" t="s">
        <v>664</v>
      </c>
      <c r="AG684" s="3" t="s">
        <v>32</v>
      </c>
    </row>
    <row r="685" spans="1:33">
      <c r="A685" s="1">
        <v>45213.965992488425</v>
      </c>
      <c r="B685" s="3" t="s">
        <v>1024</v>
      </c>
      <c r="C685" s="2">
        <v>29406</v>
      </c>
      <c r="D685" s="3">
        <v>43</v>
      </c>
      <c r="E685" s="3" t="s">
        <v>510</v>
      </c>
      <c r="F685" s="3" t="s">
        <v>520</v>
      </c>
      <c r="G685" s="3" t="s">
        <v>539</v>
      </c>
      <c r="H685" s="2">
        <v>43371</v>
      </c>
      <c r="I685" s="3">
        <v>1</v>
      </c>
      <c r="J685" s="3" t="s">
        <v>541</v>
      </c>
      <c r="K685" s="3">
        <v>4350</v>
      </c>
      <c r="L685" s="3">
        <v>39</v>
      </c>
      <c r="M685" s="3">
        <v>110</v>
      </c>
      <c r="N685" s="3">
        <v>105</v>
      </c>
      <c r="O685" s="3">
        <v>158</v>
      </c>
      <c r="P685" s="3" t="s">
        <v>40</v>
      </c>
      <c r="Q685" s="3" t="s">
        <v>26</v>
      </c>
      <c r="S685" s="3" t="s">
        <v>664</v>
      </c>
      <c r="T685" s="3" t="s">
        <v>217</v>
      </c>
      <c r="U685" s="3">
        <v>7</v>
      </c>
      <c r="V685" s="3">
        <v>1</v>
      </c>
      <c r="W685" s="3" t="s">
        <v>26</v>
      </c>
      <c r="AA685" s="3" t="s">
        <v>42</v>
      </c>
      <c r="AB685" s="3" t="s">
        <v>29</v>
      </c>
      <c r="AC685" s="3" t="s">
        <v>664</v>
      </c>
      <c r="AD685" s="3" t="s">
        <v>30</v>
      </c>
      <c r="AE685" s="3" t="s">
        <v>31</v>
      </c>
      <c r="AF685" s="3" t="s">
        <v>664</v>
      </c>
      <c r="AG685" s="3" t="s">
        <v>48</v>
      </c>
    </row>
    <row r="686" spans="1:33">
      <c r="A686" s="1">
        <v>45213.971352499997</v>
      </c>
      <c r="B686" s="3" t="s">
        <v>1024</v>
      </c>
      <c r="C686" s="2">
        <v>31355</v>
      </c>
      <c r="D686" s="3">
        <v>37</v>
      </c>
      <c r="E686" s="3" t="s">
        <v>510</v>
      </c>
      <c r="F686" s="3" t="s">
        <v>520</v>
      </c>
      <c r="G686" s="3" t="s">
        <v>538</v>
      </c>
      <c r="H686" s="2">
        <v>42838</v>
      </c>
      <c r="I686" s="3">
        <v>1</v>
      </c>
      <c r="J686" s="3" t="s">
        <v>542</v>
      </c>
      <c r="K686" s="3" t="s">
        <v>1334</v>
      </c>
      <c r="L686" s="3" t="s">
        <v>616</v>
      </c>
      <c r="M686" s="3">
        <v>72</v>
      </c>
      <c r="N686" s="3">
        <v>81</v>
      </c>
      <c r="O686" s="3">
        <v>173</v>
      </c>
      <c r="P686" s="3" t="s">
        <v>33</v>
      </c>
      <c r="Q686" s="3" t="s">
        <v>26</v>
      </c>
      <c r="S686" s="3" t="s">
        <v>26</v>
      </c>
      <c r="T686" s="3" t="s">
        <v>43</v>
      </c>
      <c r="U686" s="3">
        <v>7</v>
      </c>
      <c r="V686" s="3">
        <v>1</v>
      </c>
      <c r="W686" s="3" t="s">
        <v>26</v>
      </c>
      <c r="AA686" s="3" t="s">
        <v>49</v>
      </c>
      <c r="AB686" s="3" t="s">
        <v>29</v>
      </c>
      <c r="AC686" s="3" t="s">
        <v>664</v>
      </c>
      <c r="AD686" s="3" t="s">
        <v>30</v>
      </c>
      <c r="AE686" s="3" t="s">
        <v>31</v>
      </c>
      <c r="AF686" s="3" t="s">
        <v>664</v>
      </c>
      <c r="AG686" s="3" t="s">
        <v>39</v>
      </c>
    </row>
    <row r="687" spans="1:33">
      <c r="A687" s="1">
        <v>45213.973969710649</v>
      </c>
      <c r="B687" s="3" t="s">
        <v>1024</v>
      </c>
      <c r="C687" s="2">
        <v>30363</v>
      </c>
      <c r="D687" s="3">
        <v>40</v>
      </c>
      <c r="E687" s="3" t="s">
        <v>510</v>
      </c>
      <c r="F687" s="3" t="s">
        <v>520</v>
      </c>
      <c r="G687" s="3" t="s">
        <v>539</v>
      </c>
      <c r="H687" s="2">
        <v>43941</v>
      </c>
      <c r="I687" s="3">
        <v>1</v>
      </c>
      <c r="J687" s="3" t="s">
        <v>541</v>
      </c>
      <c r="K687" s="3" t="s">
        <v>1094</v>
      </c>
      <c r="L687" s="3" t="s">
        <v>616</v>
      </c>
      <c r="M687" s="3">
        <v>49</v>
      </c>
      <c r="N687" s="3" t="s">
        <v>1198</v>
      </c>
      <c r="O687" s="3">
        <v>153</v>
      </c>
      <c r="P687" s="3" t="s">
        <v>33</v>
      </c>
      <c r="Q687" s="3" t="s">
        <v>26</v>
      </c>
      <c r="S687" s="3" t="s">
        <v>664</v>
      </c>
      <c r="T687" s="3" t="s">
        <v>43</v>
      </c>
      <c r="U687" s="3">
        <v>7</v>
      </c>
      <c r="V687" s="3">
        <v>1</v>
      </c>
      <c r="W687" s="3" t="s">
        <v>34</v>
      </c>
      <c r="X687" s="3" t="s">
        <v>58</v>
      </c>
      <c r="Y687" s="3">
        <v>5</v>
      </c>
      <c r="Z687" s="3">
        <v>1</v>
      </c>
      <c r="AA687" s="3" t="s">
        <v>49</v>
      </c>
      <c r="AB687" s="3" t="s">
        <v>29</v>
      </c>
      <c r="AC687" s="3" t="s">
        <v>664</v>
      </c>
      <c r="AD687" s="3" t="s">
        <v>30</v>
      </c>
      <c r="AE687" s="3" t="s">
        <v>38</v>
      </c>
      <c r="AF687" s="3" t="s">
        <v>664</v>
      </c>
      <c r="AG687" s="3" t="s">
        <v>32</v>
      </c>
    </row>
    <row r="688" spans="1:33">
      <c r="A688" s="1">
        <v>45213.992700381947</v>
      </c>
      <c r="B688" s="3" t="s">
        <v>1024</v>
      </c>
      <c r="C688" s="2">
        <v>29661</v>
      </c>
      <c r="D688" s="3">
        <v>42</v>
      </c>
      <c r="E688" s="3" t="s">
        <v>510</v>
      </c>
      <c r="F688" s="3" t="s">
        <v>524</v>
      </c>
      <c r="G688" s="3" t="s">
        <v>539</v>
      </c>
      <c r="H688" s="2">
        <v>43725</v>
      </c>
      <c r="I688" s="3">
        <v>1</v>
      </c>
      <c r="J688" s="3" t="s">
        <v>542</v>
      </c>
      <c r="K688" s="3" t="s">
        <v>1182</v>
      </c>
      <c r="L688" s="3" t="s">
        <v>650</v>
      </c>
      <c r="M688" s="3" t="s">
        <v>1362</v>
      </c>
      <c r="N688" s="3">
        <v>62</v>
      </c>
      <c r="O688" s="3">
        <v>160</v>
      </c>
      <c r="P688" s="3" t="s">
        <v>33</v>
      </c>
      <c r="Q688" s="3" t="s">
        <v>26</v>
      </c>
      <c r="S688" s="3" t="s">
        <v>664</v>
      </c>
      <c r="T688" s="3" t="s">
        <v>655</v>
      </c>
      <c r="U688" s="3">
        <v>7</v>
      </c>
      <c r="V688" s="3">
        <v>1</v>
      </c>
      <c r="W688" s="3" t="s">
        <v>34</v>
      </c>
      <c r="X688" s="3" t="s">
        <v>721</v>
      </c>
      <c r="Y688" s="3">
        <v>7</v>
      </c>
      <c r="Z688" s="3">
        <v>1</v>
      </c>
      <c r="AA688" s="3" t="s">
        <v>49</v>
      </c>
      <c r="AB688" s="3" t="s">
        <v>29</v>
      </c>
      <c r="AC688" s="3" t="s">
        <v>664</v>
      </c>
      <c r="AD688" s="3" t="s">
        <v>55</v>
      </c>
      <c r="AE688" s="3" t="s">
        <v>38</v>
      </c>
      <c r="AF688" s="3" t="s">
        <v>664</v>
      </c>
      <c r="AG688" s="3" t="s">
        <v>32</v>
      </c>
    </row>
    <row r="689" spans="1:33">
      <c r="A689" s="1">
        <v>45214.029515497685</v>
      </c>
      <c r="B689" s="3" t="s">
        <v>1024</v>
      </c>
      <c r="C689" s="2">
        <v>33410</v>
      </c>
      <c r="D689" s="3">
        <v>32</v>
      </c>
      <c r="E689" s="3" t="s">
        <v>510</v>
      </c>
      <c r="F689" s="3" t="s">
        <v>521</v>
      </c>
      <c r="G689" s="3" t="s">
        <v>539</v>
      </c>
      <c r="H689" s="2">
        <v>44550</v>
      </c>
      <c r="I689" s="3">
        <v>2</v>
      </c>
      <c r="J689" s="3" t="s">
        <v>542</v>
      </c>
      <c r="K689" s="3">
        <v>3250</v>
      </c>
      <c r="L689" s="3" t="s">
        <v>697</v>
      </c>
      <c r="M689" s="3">
        <v>80</v>
      </c>
      <c r="N689" s="3">
        <v>83</v>
      </c>
      <c r="O689" s="3" t="s">
        <v>1080</v>
      </c>
      <c r="P689" s="3" t="s">
        <v>33</v>
      </c>
      <c r="Q689" s="3" t="s">
        <v>26</v>
      </c>
      <c r="S689" s="3" t="s">
        <v>664</v>
      </c>
      <c r="T689" s="3" t="s">
        <v>41</v>
      </c>
      <c r="U689" s="3">
        <v>7</v>
      </c>
      <c r="V689" s="3">
        <v>1</v>
      </c>
      <c r="W689" s="3" t="s">
        <v>34</v>
      </c>
      <c r="X689" s="3" t="s">
        <v>58</v>
      </c>
      <c r="Y689" s="3">
        <v>7</v>
      </c>
      <c r="Z689" s="3">
        <v>1</v>
      </c>
      <c r="AA689" s="3" t="s">
        <v>54</v>
      </c>
      <c r="AB689" s="3" t="s">
        <v>29</v>
      </c>
      <c r="AC689" s="3" t="s">
        <v>664</v>
      </c>
      <c r="AD689" s="3" t="s">
        <v>55</v>
      </c>
      <c r="AE689" s="3" t="s">
        <v>31</v>
      </c>
      <c r="AF689" s="3" t="s">
        <v>664</v>
      </c>
      <c r="AG689" s="3" t="s">
        <v>32</v>
      </c>
    </row>
    <row r="690" spans="1:33">
      <c r="A690" s="1">
        <v>45214.106520925925</v>
      </c>
      <c r="B690" s="3" t="s">
        <v>1024</v>
      </c>
      <c r="C690" s="2">
        <v>29729</v>
      </c>
      <c r="D690" s="3">
        <v>42</v>
      </c>
      <c r="E690" s="3" t="s">
        <v>510</v>
      </c>
      <c r="F690" s="3" t="s">
        <v>523</v>
      </c>
      <c r="G690" s="3" t="s">
        <v>539</v>
      </c>
      <c r="H690" s="2">
        <v>43973</v>
      </c>
      <c r="I690" s="3">
        <v>1</v>
      </c>
      <c r="J690" s="3" t="s">
        <v>541</v>
      </c>
      <c r="K690" s="3">
        <v>3800</v>
      </c>
      <c r="L690" s="3">
        <v>38</v>
      </c>
      <c r="M690" s="3">
        <v>81</v>
      </c>
      <c r="N690" s="3">
        <v>91</v>
      </c>
      <c r="O690" s="3">
        <v>159</v>
      </c>
      <c r="P690" s="3" t="s">
        <v>33</v>
      </c>
      <c r="Q690" s="3" t="s">
        <v>26</v>
      </c>
      <c r="S690" s="3" t="s">
        <v>664</v>
      </c>
      <c r="T690" s="3" t="s">
        <v>79</v>
      </c>
      <c r="U690" s="3">
        <v>7</v>
      </c>
      <c r="V690" s="3">
        <v>1</v>
      </c>
      <c r="W690" s="3" t="s">
        <v>26</v>
      </c>
      <c r="AA690" s="3" t="s">
        <v>42</v>
      </c>
      <c r="AB690" s="3" t="s">
        <v>29</v>
      </c>
      <c r="AC690" s="3" t="s">
        <v>664</v>
      </c>
      <c r="AD690" s="3" t="s">
        <v>30</v>
      </c>
      <c r="AE690" s="3" t="s">
        <v>31</v>
      </c>
      <c r="AF690" s="3" t="s">
        <v>664</v>
      </c>
      <c r="AG690" s="3" t="s">
        <v>94</v>
      </c>
    </row>
    <row r="691" spans="1:33">
      <c r="A691" s="1">
        <v>45214.113029085653</v>
      </c>
      <c r="B691" s="3" t="s">
        <v>1024</v>
      </c>
      <c r="C691" s="2">
        <v>31327</v>
      </c>
      <c r="D691" s="3">
        <v>38</v>
      </c>
      <c r="E691" s="3" t="s">
        <v>510</v>
      </c>
      <c r="F691" s="3" t="s">
        <v>522</v>
      </c>
      <c r="G691" s="3" t="s">
        <v>539</v>
      </c>
      <c r="H691" s="2">
        <v>42842</v>
      </c>
      <c r="I691" s="3">
        <v>1</v>
      </c>
      <c r="J691" s="3" t="s">
        <v>542</v>
      </c>
      <c r="K691" s="3">
        <v>3420</v>
      </c>
      <c r="L691" s="3">
        <v>38</v>
      </c>
      <c r="M691" s="3">
        <v>65</v>
      </c>
      <c r="N691" s="3">
        <v>82</v>
      </c>
      <c r="O691" s="3">
        <v>166</v>
      </c>
      <c r="P691" s="3" t="s">
        <v>44</v>
      </c>
      <c r="Q691" s="3" t="s">
        <v>26</v>
      </c>
      <c r="S691" s="3" t="s">
        <v>664</v>
      </c>
      <c r="T691" s="3" t="s">
        <v>81</v>
      </c>
      <c r="U691" s="3">
        <v>7</v>
      </c>
      <c r="V691" s="3">
        <v>1</v>
      </c>
      <c r="W691" s="3" t="s">
        <v>26</v>
      </c>
      <c r="AA691" s="3" t="s">
        <v>54</v>
      </c>
      <c r="AB691" s="3" t="s">
        <v>29</v>
      </c>
      <c r="AC691" s="3" t="s">
        <v>664</v>
      </c>
      <c r="AD691" s="3" t="s">
        <v>55</v>
      </c>
      <c r="AE691" s="3" t="s">
        <v>31</v>
      </c>
      <c r="AF691" s="3" t="s">
        <v>664</v>
      </c>
      <c r="AG691" s="3" t="s">
        <v>39</v>
      </c>
    </row>
    <row r="692" spans="1:33">
      <c r="A692" s="1">
        <v>45214.113247083333</v>
      </c>
      <c r="B692" s="3" t="s">
        <v>1024</v>
      </c>
      <c r="C692" s="2">
        <v>33369</v>
      </c>
      <c r="D692" s="3">
        <v>32</v>
      </c>
      <c r="E692" s="3" t="s">
        <v>510</v>
      </c>
      <c r="F692" s="3" t="s">
        <v>520</v>
      </c>
      <c r="G692" s="3" t="s">
        <v>539</v>
      </c>
      <c r="H692" s="2">
        <v>44638</v>
      </c>
      <c r="I692" s="3">
        <v>2</v>
      </c>
      <c r="J692" s="3" t="s">
        <v>542</v>
      </c>
      <c r="K692" s="3" t="s">
        <v>1363</v>
      </c>
      <c r="L692" s="3" t="s">
        <v>825</v>
      </c>
      <c r="M692" s="3">
        <v>59</v>
      </c>
      <c r="N692" s="3">
        <v>66</v>
      </c>
      <c r="O692" s="3">
        <v>157</v>
      </c>
      <c r="P692" s="3" t="s">
        <v>33</v>
      </c>
      <c r="Q692" s="3" t="s">
        <v>26</v>
      </c>
      <c r="S692" s="3" t="s">
        <v>664</v>
      </c>
      <c r="T692" s="3" t="s">
        <v>121</v>
      </c>
      <c r="W692" s="3" t="s">
        <v>34</v>
      </c>
      <c r="X692" s="3" t="s">
        <v>71</v>
      </c>
      <c r="Y692" s="3">
        <v>7</v>
      </c>
      <c r="Z692" s="3">
        <v>1</v>
      </c>
      <c r="AA692" s="3" t="s">
        <v>51</v>
      </c>
      <c r="AB692" s="3" t="s">
        <v>29</v>
      </c>
      <c r="AC692" s="3" t="s">
        <v>664</v>
      </c>
      <c r="AD692" s="3" t="s">
        <v>30</v>
      </c>
      <c r="AE692" s="3" t="s">
        <v>38</v>
      </c>
      <c r="AF692" s="3" t="s">
        <v>664</v>
      </c>
      <c r="AG692" s="3" t="s">
        <v>39</v>
      </c>
    </row>
    <row r="693" spans="1:33">
      <c r="A693" s="1">
        <v>45214.165495590278</v>
      </c>
      <c r="B693" s="3" t="s">
        <v>1024</v>
      </c>
      <c r="C693" s="2">
        <v>30525</v>
      </c>
      <c r="D693" s="3" t="s">
        <v>1364</v>
      </c>
      <c r="E693" s="3" t="s">
        <v>510</v>
      </c>
      <c r="F693" s="3" t="s">
        <v>520</v>
      </c>
      <c r="G693" s="3" t="s">
        <v>540</v>
      </c>
      <c r="H693" s="2">
        <v>44534</v>
      </c>
      <c r="I693" s="3">
        <v>4</v>
      </c>
      <c r="J693" s="3" t="s">
        <v>541</v>
      </c>
      <c r="K693" s="3">
        <v>3620</v>
      </c>
      <c r="L693" s="3" t="s">
        <v>616</v>
      </c>
      <c r="M693" s="3">
        <v>76.8</v>
      </c>
      <c r="N693" s="3">
        <v>85</v>
      </c>
      <c r="O693" s="3">
        <v>172</v>
      </c>
      <c r="P693" s="3" t="s">
        <v>33</v>
      </c>
      <c r="Q693" s="3" t="s">
        <v>34</v>
      </c>
      <c r="R693" s="3" t="s">
        <v>445</v>
      </c>
      <c r="S693" s="3" t="s">
        <v>664</v>
      </c>
      <c r="T693" s="3" t="s">
        <v>43</v>
      </c>
      <c r="U693" s="3">
        <v>7</v>
      </c>
      <c r="V693" s="3">
        <v>1</v>
      </c>
      <c r="W693" s="3" t="s">
        <v>26</v>
      </c>
      <c r="AA693" s="3" t="s">
        <v>28</v>
      </c>
      <c r="AB693" s="3" t="s">
        <v>29</v>
      </c>
      <c r="AC693" s="3" t="s">
        <v>664</v>
      </c>
      <c r="AD693" s="3" t="s">
        <v>55</v>
      </c>
      <c r="AE693" s="3" t="s">
        <v>31</v>
      </c>
      <c r="AF693" s="3" t="s">
        <v>664</v>
      </c>
      <c r="AG693" s="3" t="s">
        <v>32</v>
      </c>
    </row>
    <row r="694" spans="1:33">
      <c r="A694" s="1">
        <v>45214.22782112268</v>
      </c>
      <c r="B694" s="3" t="s">
        <v>1024</v>
      </c>
      <c r="C694" s="2">
        <v>35083</v>
      </c>
      <c r="D694" s="3">
        <v>27</v>
      </c>
      <c r="E694" s="3" t="s">
        <v>510</v>
      </c>
      <c r="F694" s="3" t="s">
        <v>526</v>
      </c>
      <c r="G694" s="3" t="s">
        <v>538</v>
      </c>
      <c r="H694" s="2">
        <v>44401</v>
      </c>
      <c r="I694" s="3">
        <v>1</v>
      </c>
      <c r="J694" s="3" t="s">
        <v>541</v>
      </c>
      <c r="K694" s="3" t="s">
        <v>1365</v>
      </c>
      <c r="L694" s="3">
        <v>39</v>
      </c>
      <c r="M694" s="3">
        <v>69</v>
      </c>
      <c r="N694" s="3">
        <v>78</v>
      </c>
      <c r="O694" s="3">
        <v>155</v>
      </c>
      <c r="P694" s="3" t="s">
        <v>44</v>
      </c>
      <c r="Q694" s="3" t="s">
        <v>26</v>
      </c>
      <c r="S694" s="3" t="s">
        <v>664</v>
      </c>
      <c r="T694" s="3" t="s">
        <v>446</v>
      </c>
      <c r="U694" s="3">
        <v>7</v>
      </c>
      <c r="V694" s="3">
        <v>1</v>
      </c>
      <c r="W694" s="3" t="s">
        <v>26</v>
      </c>
      <c r="AA694" s="3" t="s">
        <v>54</v>
      </c>
      <c r="AB694" s="3" t="s">
        <v>29</v>
      </c>
      <c r="AC694" s="3" t="s">
        <v>664</v>
      </c>
      <c r="AD694" s="3" t="s">
        <v>30</v>
      </c>
      <c r="AE694" s="3" t="s">
        <v>60</v>
      </c>
      <c r="AF694" s="3" t="s">
        <v>664</v>
      </c>
      <c r="AG694" s="3" t="s">
        <v>39</v>
      </c>
    </row>
    <row r="695" spans="1:33">
      <c r="A695" s="1">
        <v>45214.284735150461</v>
      </c>
      <c r="B695" s="3" t="s">
        <v>1024</v>
      </c>
      <c r="C695" s="2">
        <v>43340</v>
      </c>
      <c r="D695" s="3">
        <v>34</v>
      </c>
      <c r="E695" s="3" t="s">
        <v>510</v>
      </c>
      <c r="F695" s="3" t="s">
        <v>528</v>
      </c>
      <c r="G695" s="3" t="s">
        <v>539</v>
      </c>
      <c r="H695" s="2">
        <v>45114</v>
      </c>
      <c r="I695" s="3">
        <v>2</v>
      </c>
      <c r="J695" s="3" t="s">
        <v>541</v>
      </c>
      <c r="K695" s="3">
        <v>2760</v>
      </c>
      <c r="L695" s="3">
        <v>37</v>
      </c>
      <c r="M695" s="3">
        <v>60</v>
      </c>
      <c r="N695" s="3">
        <v>80</v>
      </c>
      <c r="O695" s="3">
        <v>160</v>
      </c>
      <c r="P695" s="3" t="s">
        <v>33</v>
      </c>
      <c r="Q695" s="3" t="s">
        <v>34</v>
      </c>
      <c r="S695" s="3" t="s">
        <v>664</v>
      </c>
      <c r="T695" s="3" t="s">
        <v>43</v>
      </c>
      <c r="U695" s="3">
        <v>7</v>
      </c>
      <c r="V695" s="3">
        <v>1</v>
      </c>
      <c r="W695" s="3" t="s">
        <v>34</v>
      </c>
      <c r="X695" s="3" t="s">
        <v>887</v>
      </c>
      <c r="Y695" s="3">
        <v>7</v>
      </c>
      <c r="Z695" s="3">
        <v>1</v>
      </c>
      <c r="AA695" s="3" t="s">
        <v>228</v>
      </c>
      <c r="AB695" s="3" t="s">
        <v>29</v>
      </c>
      <c r="AC695" s="3" t="s">
        <v>664</v>
      </c>
      <c r="AD695" s="3" t="s">
        <v>55</v>
      </c>
      <c r="AE695" s="3" t="s">
        <v>38</v>
      </c>
      <c r="AF695" s="3" t="s">
        <v>664</v>
      </c>
      <c r="AG695" s="3" t="s">
        <v>32</v>
      </c>
    </row>
    <row r="696" spans="1:33">
      <c r="A696" s="1">
        <v>45214.291238761572</v>
      </c>
      <c r="B696" s="3" t="s">
        <v>1024</v>
      </c>
      <c r="C696" s="2">
        <v>30617</v>
      </c>
      <c r="D696" s="3">
        <v>39</v>
      </c>
      <c r="E696" s="3" t="s">
        <v>510</v>
      </c>
      <c r="F696" s="3" t="s">
        <v>520</v>
      </c>
      <c r="G696" s="3" t="s">
        <v>539</v>
      </c>
      <c r="H696" s="2">
        <v>44902</v>
      </c>
      <c r="I696" s="3">
        <v>3</v>
      </c>
      <c r="J696" s="3" t="s">
        <v>542</v>
      </c>
      <c r="K696" s="3">
        <v>3323</v>
      </c>
      <c r="L696" s="3">
        <v>38</v>
      </c>
      <c r="M696" s="3">
        <v>72</v>
      </c>
      <c r="N696" s="3">
        <v>82</v>
      </c>
      <c r="O696" s="3">
        <v>155</v>
      </c>
      <c r="P696" s="3" t="s">
        <v>33</v>
      </c>
      <c r="Q696" s="3" t="s">
        <v>26</v>
      </c>
      <c r="S696" s="3" t="s">
        <v>664</v>
      </c>
      <c r="T696" s="3" t="s">
        <v>57</v>
      </c>
      <c r="U696" s="3">
        <v>7</v>
      </c>
      <c r="V696" s="3">
        <v>1</v>
      </c>
      <c r="W696" s="3" t="s">
        <v>34</v>
      </c>
      <c r="X696" s="3" t="s">
        <v>314</v>
      </c>
      <c r="Y696" s="3">
        <v>7</v>
      </c>
      <c r="Z696" s="3">
        <v>1</v>
      </c>
      <c r="AA696" s="3" t="s">
        <v>49</v>
      </c>
      <c r="AB696" s="3" t="s">
        <v>29</v>
      </c>
      <c r="AC696" s="3" t="s">
        <v>664</v>
      </c>
      <c r="AD696" s="3" t="s">
        <v>30</v>
      </c>
      <c r="AE696" s="3" t="s">
        <v>38</v>
      </c>
      <c r="AF696" s="3" t="s">
        <v>664</v>
      </c>
      <c r="AG696" s="3" t="s">
        <v>39</v>
      </c>
    </row>
    <row r="697" spans="1:33">
      <c r="A697" s="1">
        <v>45214.312558831021</v>
      </c>
      <c r="B697" s="3" t="s">
        <v>1024</v>
      </c>
      <c r="C697" s="2">
        <v>30969</v>
      </c>
      <c r="D697" s="3">
        <v>39</v>
      </c>
      <c r="E697" s="3" t="s">
        <v>510</v>
      </c>
      <c r="F697" s="3" t="s">
        <v>529</v>
      </c>
      <c r="G697" s="3" t="s">
        <v>539</v>
      </c>
      <c r="H697" s="2">
        <v>43965</v>
      </c>
      <c r="I697" s="3">
        <v>2</v>
      </c>
      <c r="J697" s="3" t="s">
        <v>542</v>
      </c>
      <c r="K697" s="3">
        <v>3350</v>
      </c>
      <c r="L697" s="3" t="s">
        <v>675</v>
      </c>
      <c r="M697" s="3">
        <v>82</v>
      </c>
      <c r="N697" s="3">
        <v>96</v>
      </c>
      <c r="O697" s="3">
        <v>1.69</v>
      </c>
      <c r="P697" s="3" t="s">
        <v>33</v>
      </c>
      <c r="Q697" s="3" t="s">
        <v>26</v>
      </c>
      <c r="S697" s="3" t="s">
        <v>664</v>
      </c>
      <c r="T697" s="3" t="s">
        <v>57</v>
      </c>
      <c r="U697" s="3">
        <v>7</v>
      </c>
      <c r="V697" s="3">
        <v>1</v>
      </c>
      <c r="W697" s="3" t="s">
        <v>34</v>
      </c>
      <c r="X697" s="3" t="s">
        <v>58</v>
      </c>
      <c r="Y697" s="3">
        <v>7</v>
      </c>
      <c r="Z697" s="3">
        <v>1</v>
      </c>
      <c r="AA697" s="3" t="s">
        <v>36</v>
      </c>
      <c r="AB697" s="3" t="s">
        <v>447</v>
      </c>
      <c r="AC697" s="3" t="s">
        <v>664</v>
      </c>
      <c r="AD697" s="3" t="s">
        <v>30</v>
      </c>
      <c r="AE697" s="3" t="s">
        <v>38</v>
      </c>
      <c r="AF697" s="3" t="s">
        <v>664</v>
      </c>
      <c r="AG697" s="3" t="s">
        <v>39</v>
      </c>
    </row>
    <row r="698" spans="1:33">
      <c r="A698" s="1">
        <v>45214.327409513891</v>
      </c>
      <c r="B698" s="3" t="s">
        <v>1024</v>
      </c>
      <c r="C698" s="2">
        <v>31834</v>
      </c>
      <c r="D698" s="3">
        <v>36</v>
      </c>
      <c r="E698" s="3" t="s">
        <v>510</v>
      </c>
      <c r="F698" s="3" t="s">
        <v>527</v>
      </c>
      <c r="G698" s="3" t="s">
        <v>538</v>
      </c>
      <c r="H698" s="2">
        <v>43306</v>
      </c>
      <c r="I698" s="3">
        <v>2</v>
      </c>
      <c r="J698" s="3" t="s">
        <v>541</v>
      </c>
      <c r="K698" s="3">
        <v>3385</v>
      </c>
      <c r="L698" s="3" t="s">
        <v>826</v>
      </c>
      <c r="M698" s="3">
        <v>80</v>
      </c>
      <c r="N698" s="3">
        <v>80</v>
      </c>
      <c r="O698" s="3">
        <v>168</v>
      </c>
      <c r="P698" s="3" t="s">
        <v>33</v>
      </c>
      <c r="Q698" s="3" t="s">
        <v>26</v>
      </c>
      <c r="S698" s="3" t="s">
        <v>26</v>
      </c>
      <c r="W698" s="3" t="s">
        <v>26</v>
      </c>
      <c r="AA698" s="3" t="s">
        <v>51</v>
      </c>
      <c r="AB698" s="3" t="s">
        <v>29</v>
      </c>
      <c r="AC698" s="3" t="s">
        <v>664</v>
      </c>
      <c r="AD698" s="3" t="s">
        <v>30</v>
      </c>
      <c r="AE698" s="3" t="s">
        <v>31</v>
      </c>
      <c r="AF698" s="3" t="s">
        <v>664</v>
      </c>
      <c r="AG698" s="3" t="s">
        <v>39</v>
      </c>
    </row>
    <row r="699" spans="1:33">
      <c r="A699" s="1">
        <v>45214.380556377313</v>
      </c>
      <c r="B699" s="3" t="s">
        <v>1024</v>
      </c>
      <c r="C699" s="2">
        <v>32908</v>
      </c>
      <c r="D699" s="3">
        <v>33</v>
      </c>
      <c r="E699" s="3" t="s">
        <v>510</v>
      </c>
      <c r="F699" s="3" t="s">
        <v>520</v>
      </c>
      <c r="G699" s="3" t="s">
        <v>539</v>
      </c>
      <c r="H699" s="2">
        <v>43280</v>
      </c>
      <c r="I699" s="3">
        <v>1</v>
      </c>
      <c r="J699" s="3" t="s">
        <v>541</v>
      </c>
      <c r="K699" s="3">
        <v>3210</v>
      </c>
      <c r="L699" s="3">
        <v>41</v>
      </c>
      <c r="M699" s="3">
        <v>69</v>
      </c>
      <c r="N699" s="3">
        <v>79</v>
      </c>
      <c r="O699" s="3">
        <v>153</v>
      </c>
      <c r="P699" s="3" t="s">
        <v>33</v>
      </c>
      <c r="Q699" s="3" t="s">
        <v>26</v>
      </c>
      <c r="S699" s="3" t="s">
        <v>664</v>
      </c>
      <c r="T699" s="3" t="s">
        <v>27</v>
      </c>
      <c r="U699" s="3">
        <v>3</v>
      </c>
      <c r="V699" s="3">
        <v>1</v>
      </c>
      <c r="W699" s="3" t="s">
        <v>26</v>
      </c>
      <c r="AA699" s="3" t="s">
        <v>49</v>
      </c>
      <c r="AB699" s="3" t="s">
        <v>29</v>
      </c>
      <c r="AC699" s="3" t="s">
        <v>664</v>
      </c>
      <c r="AD699" s="3" t="s">
        <v>30</v>
      </c>
      <c r="AE699" s="3" t="s">
        <v>38</v>
      </c>
      <c r="AF699" s="3" t="s">
        <v>664</v>
      </c>
      <c r="AG699" s="3" t="s">
        <v>32</v>
      </c>
    </row>
    <row r="700" spans="1:33">
      <c r="A700" s="1">
        <v>45214.384644618054</v>
      </c>
      <c r="B700" s="3" t="s">
        <v>1024</v>
      </c>
      <c r="C700" s="2">
        <v>30313</v>
      </c>
      <c r="D700" s="3">
        <v>40</v>
      </c>
      <c r="E700" s="3" t="s">
        <v>510</v>
      </c>
      <c r="F700" s="3" t="s">
        <v>520</v>
      </c>
      <c r="G700" s="3" t="s">
        <v>540</v>
      </c>
      <c r="H700" s="2">
        <v>43914</v>
      </c>
      <c r="I700" s="3">
        <v>1</v>
      </c>
      <c r="J700" s="3" t="s">
        <v>542</v>
      </c>
      <c r="K700" s="3">
        <v>2760</v>
      </c>
      <c r="L700" s="3" t="s">
        <v>827</v>
      </c>
      <c r="M700" s="3">
        <v>73</v>
      </c>
      <c r="N700" s="3" t="s">
        <v>1366</v>
      </c>
      <c r="O700" s="3">
        <v>169</v>
      </c>
      <c r="P700" s="3" t="s">
        <v>33</v>
      </c>
      <c r="Q700" s="3" t="s">
        <v>26</v>
      </c>
      <c r="S700" s="3" t="s">
        <v>664</v>
      </c>
      <c r="T700" s="3" t="s">
        <v>57</v>
      </c>
      <c r="U700" s="3">
        <v>7</v>
      </c>
      <c r="V700" s="3">
        <v>1</v>
      </c>
      <c r="W700" s="3" t="s">
        <v>26</v>
      </c>
      <c r="AA700" s="3" t="s">
        <v>42</v>
      </c>
      <c r="AB700" s="3" t="s">
        <v>185</v>
      </c>
      <c r="AC700" s="3" t="s">
        <v>664</v>
      </c>
      <c r="AD700" s="3" t="s">
        <v>448</v>
      </c>
      <c r="AE700" s="3" t="s">
        <v>38</v>
      </c>
      <c r="AF700" s="3" t="s">
        <v>664</v>
      </c>
      <c r="AG700" s="3" t="s">
        <v>62</v>
      </c>
    </row>
    <row r="701" spans="1:33">
      <c r="A701" s="1">
        <v>45214.463233541668</v>
      </c>
      <c r="B701" s="3" t="s">
        <v>1024</v>
      </c>
      <c r="C701" s="2">
        <v>33026</v>
      </c>
      <c r="D701" s="3">
        <v>33</v>
      </c>
      <c r="E701" s="3" t="s">
        <v>510</v>
      </c>
      <c r="F701" s="3" t="s">
        <v>520</v>
      </c>
      <c r="G701" s="3" t="s">
        <v>540</v>
      </c>
      <c r="H701" s="2">
        <v>43313</v>
      </c>
      <c r="I701" s="3">
        <v>1</v>
      </c>
      <c r="J701" s="3" t="s">
        <v>541</v>
      </c>
      <c r="K701" s="3">
        <v>3100</v>
      </c>
      <c r="L701" s="3">
        <v>39</v>
      </c>
      <c r="M701" s="3">
        <v>80</v>
      </c>
      <c r="N701" s="3">
        <v>90</v>
      </c>
      <c r="O701" s="3">
        <v>165</v>
      </c>
      <c r="P701" s="3" t="s">
        <v>25</v>
      </c>
      <c r="Q701" s="3" t="s">
        <v>26</v>
      </c>
      <c r="S701" s="3" t="s">
        <v>664</v>
      </c>
      <c r="T701" s="3" t="s">
        <v>27</v>
      </c>
      <c r="U701" s="3">
        <v>7</v>
      </c>
      <c r="V701" s="3">
        <v>1</v>
      </c>
      <c r="W701" s="3" t="s">
        <v>34</v>
      </c>
      <c r="X701" s="3" t="s">
        <v>58</v>
      </c>
      <c r="Y701" s="3">
        <v>7</v>
      </c>
      <c r="Z701" s="3">
        <v>1</v>
      </c>
      <c r="AA701" s="3" t="s">
        <v>49</v>
      </c>
      <c r="AB701" s="3" t="s">
        <v>449</v>
      </c>
      <c r="AC701" s="3" t="s">
        <v>664</v>
      </c>
      <c r="AD701" s="3" t="s">
        <v>30</v>
      </c>
      <c r="AE701" s="3" t="s">
        <v>31</v>
      </c>
      <c r="AF701" s="3" t="s">
        <v>664</v>
      </c>
      <c r="AG701" s="3" t="s">
        <v>39</v>
      </c>
    </row>
    <row r="702" spans="1:33">
      <c r="A702" s="1">
        <v>45214.498548275464</v>
      </c>
      <c r="B702" s="3" t="s">
        <v>1024</v>
      </c>
      <c r="C702" s="2">
        <v>32695</v>
      </c>
      <c r="D702" s="3">
        <v>34</v>
      </c>
      <c r="E702" s="3" t="s">
        <v>510</v>
      </c>
      <c r="F702" s="3" t="s">
        <v>520</v>
      </c>
      <c r="G702" s="3" t="s">
        <v>539</v>
      </c>
      <c r="H702" s="2" t="s">
        <v>1367</v>
      </c>
      <c r="I702" s="3">
        <v>1</v>
      </c>
      <c r="J702" s="3" t="s">
        <v>541</v>
      </c>
      <c r="K702" s="3">
        <v>3180</v>
      </c>
      <c r="L702" s="3" t="s">
        <v>649</v>
      </c>
      <c r="M702" s="3">
        <v>64</v>
      </c>
      <c r="N702" s="3">
        <v>79</v>
      </c>
      <c r="O702" s="3">
        <v>161</v>
      </c>
      <c r="P702" s="3" t="s">
        <v>33</v>
      </c>
      <c r="Q702" s="3" t="s">
        <v>26</v>
      </c>
      <c r="S702" s="3" t="s">
        <v>664</v>
      </c>
      <c r="T702" s="3" t="s">
        <v>213</v>
      </c>
      <c r="U702" s="3">
        <v>7</v>
      </c>
      <c r="V702" s="3">
        <v>1</v>
      </c>
      <c r="W702" s="3" t="s">
        <v>34</v>
      </c>
      <c r="X702" s="3" t="s">
        <v>213</v>
      </c>
      <c r="Y702" s="3">
        <v>7</v>
      </c>
      <c r="Z702" s="3">
        <v>1</v>
      </c>
      <c r="AA702" s="3" t="s">
        <v>42</v>
      </c>
      <c r="AB702" s="3" t="s">
        <v>29</v>
      </c>
      <c r="AC702" s="3" t="s">
        <v>664</v>
      </c>
      <c r="AD702" s="3" t="s">
        <v>30</v>
      </c>
      <c r="AE702" s="3" t="s">
        <v>38</v>
      </c>
      <c r="AF702" s="3" t="s">
        <v>664</v>
      </c>
      <c r="AG702" s="3" t="s">
        <v>39</v>
      </c>
    </row>
    <row r="703" spans="1:33">
      <c r="A703" s="1">
        <v>45214.517538912041</v>
      </c>
      <c r="B703" s="3" t="s">
        <v>1024</v>
      </c>
      <c r="C703" s="2">
        <v>33041</v>
      </c>
      <c r="D703" s="3">
        <v>33</v>
      </c>
      <c r="E703" s="3" t="s">
        <v>510</v>
      </c>
      <c r="F703" s="3" t="s">
        <v>531</v>
      </c>
      <c r="G703" s="3" t="s">
        <v>540</v>
      </c>
      <c r="H703" s="2">
        <v>44308</v>
      </c>
      <c r="I703" s="3">
        <v>1</v>
      </c>
      <c r="J703" s="3" t="s">
        <v>542</v>
      </c>
      <c r="K703" s="3">
        <v>2.57</v>
      </c>
      <c r="L703" s="3" t="s">
        <v>652</v>
      </c>
      <c r="M703" s="3">
        <v>71</v>
      </c>
      <c r="N703" s="3">
        <v>92</v>
      </c>
      <c r="O703" s="3">
        <v>155</v>
      </c>
      <c r="P703" s="3" t="s">
        <v>33</v>
      </c>
      <c r="Q703" s="3" t="s">
        <v>26</v>
      </c>
      <c r="S703" s="3" t="s">
        <v>664</v>
      </c>
      <c r="T703" s="3" t="s">
        <v>71</v>
      </c>
      <c r="U703" s="3">
        <v>7</v>
      </c>
      <c r="W703" s="3" t="s">
        <v>34</v>
      </c>
      <c r="X703" s="3" t="s">
        <v>71</v>
      </c>
      <c r="Y703" s="3">
        <v>7</v>
      </c>
      <c r="Z703" s="3">
        <v>1</v>
      </c>
      <c r="AA703" s="3" t="s">
        <v>28</v>
      </c>
      <c r="AB703" s="3" t="s">
        <v>29</v>
      </c>
      <c r="AC703" s="3" t="s">
        <v>664</v>
      </c>
      <c r="AD703" s="3" t="s">
        <v>30</v>
      </c>
      <c r="AE703" s="3" t="s">
        <v>31</v>
      </c>
      <c r="AF703" s="3" t="s">
        <v>664</v>
      </c>
      <c r="AG703" s="3" t="s">
        <v>32</v>
      </c>
    </row>
    <row r="704" spans="1:33">
      <c r="A704" s="1">
        <v>45214.522930208332</v>
      </c>
      <c r="B704" s="3" t="s">
        <v>1024</v>
      </c>
      <c r="C704" s="2">
        <v>32088</v>
      </c>
      <c r="D704" s="3">
        <v>35</v>
      </c>
      <c r="E704" s="3" t="s">
        <v>510</v>
      </c>
      <c r="F704" s="3" t="s">
        <v>520</v>
      </c>
      <c r="G704" s="3" t="s">
        <v>539</v>
      </c>
      <c r="H704" s="2">
        <v>44753</v>
      </c>
      <c r="I704" s="3">
        <v>2</v>
      </c>
      <c r="J704" s="3" t="s">
        <v>541</v>
      </c>
      <c r="K704" s="3">
        <v>3250</v>
      </c>
      <c r="L704" s="3" t="s">
        <v>636</v>
      </c>
      <c r="M704" s="3" t="s">
        <v>1368</v>
      </c>
      <c r="N704" s="3" t="s">
        <v>1369</v>
      </c>
      <c r="O704" s="3">
        <v>153</v>
      </c>
      <c r="P704" s="3" t="s">
        <v>106</v>
      </c>
      <c r="Q704" s="3" t="s">
        <v>26</v>
      </c>
      <c r="S704" s="3" t="s">
        <v>664</v>
      </c>
      <c r="T704" s="3" t="s">
        <v>27</v>
      </c>
      <c r="U704" s="3">
        <v>7</v>
      </c>
      <c r="V704" s="3">
        <v>1</v>
      </c>
      <c r="W704" s="3" t="s">
        <v>34</v>
      </c>
      <c r="X704" s="3" t="s">
        <v>58</v>
      </c>
      <c r="Y704" s="3">
        <v>7</v>
      </c>
      <c r="Z704" s="3">
        <v>1</v>
      </c>
      <c r="AA704" s="3" t="s">
        <v>28</v>
      </c>
      <c r="AB704" s="3" t="s">
        <v>450</v>
      </c>
      <c r="AC704" s="3" t="s">
        <v>664</v>
      </c>
      <c r="AD704" s="3" t="s">
        <v>59</v>
      </c>
      <c r="AE704" s="3" t="s">
        <v>31</v>
      </c>
      <c r="AF704" s="3" t="s">
        <v>664</v>
      </c>
      <c r="AG704" s="3" t="s">
        <v>48</v>
      </c>
    </row>
    <row r="705" spans="1:33">
      <c r="A705" s="1">
        <v>45214.546000740738</v>
      </c>
      <c r="B705" s="3" t="s">
        <v>1024</v>
      </c>
      <c r="C705" s="2">
        <v>33513</v>
      </c>
      <c r="D705" s="3">
        <v>32</v>
      </c>
      <c r="E705" s="3" t="s">
        <v>510</v>
      </c>
      <c r="F705" s="3" t="s">
        <v>532</v>
      </c>
      <c r="G705" s="3" t="s">
        <v>539</v>
      </c>
      <c r="H705" s="2">
        <v>44021</v>
      </c>
      <c r="I705" s="3">
        <v>2</v>
      </c>
      <c r="J705" s="3" t="s">
        <v>541</v>
      </c>
      <c r="K705" s="3">
        <v>3450</v>
      </c>
      <c r="L705" s="3" t="s">
        <v>627</v>
      </c>
      <c r="M705" s="3">
        <v>70</v>
      </c>
      <c r="N705" s="3">
        <v>76</v>
      </c>
      <c r="O705" s="3">
        <v>158</v>
      </c>
      <c r="P705" s="3" t="s">
        <v>33</v>
      </c>
      <c r="Q705" s="3" t="s">
        <v>26</v>
      </c>
      <c r="S705" s="3" t="s">
        <v>664</v>
      </c>
      <c r="T705" s="3" t="s">
        <v>57</v>
      </c>
      <c r="U705" s="3">
        <v>1</v>
      </c>
      <c r="V705" s="3">
        <v>1</v>
      </c>
      <c r="W705" s="3" t="s">
        <v>34</v>
      </c>
      <c r="X705" s="3" t="s">
        <v>58</v>
      </c>
      <c r="Y705" s="3">
        <v>1</v>
      </c>
      <c r="Z705" s="3">
        <v>1</v>
      </c>
      <c r="AA705" s="3" t="s">
        <v>49</v>
      </c>
      <c r="AB705" s="3" t="s">
        <v>29</v>
      </c>
      <c r="AC705" s="3" t="s">
        <v>664</v>
      </c>
      <c r="AD705" s="3" t="s">
        <v>37</v>
      </c>
      <c r="AE705" s="3" t="s">
        <v>31</v>
      </c>
      <c r="AF705" s="3" t="s">
        <v>664</v>
      </c>
      <c r="AG705" s="3" t="s">
        <v>39</v>
      </c>
    </row>
    <row r="706" spans="1:33">
      <c r="A706" s="1">
        <v>45214.57930331018</v>
      </c>
      <c r="B706" s="3" t="s">
        <v>1024</v>
      </c>
      <c r="C706" s="2">
        <v>33325</v>
      </c>
      <c r="D706" s="3">
        <v>32</v>
      </c>
      <c r="E706" s="3" t="s">
        <v>510</v>
      </c>
      <c r="F706" s="3" t="s">
        <v>531</v>
      </c>
      <c r="G706" s="3" t="s">
        <v>539</v>
      </c>
      <c r="H706" s="2">
        <v>43783</v>
      </c>
      <c r="I706" s="3">
        <v>2</v>
      </c>
      <c r="J706" s="3" t="s">
        <v>542</v>
      </c>
      <c r="K706" s="3" t="s">
        <v>1370</v>
      </c>
      <c r="L706" s="3" t="s">
        <v>618</v>
      </c>
      <c r="M706" s="3">
        <v>100</v>
      </c>
      <c r="N706" s="3">
        <v>116</v>
      </c>
      <c r="O706" s="3">
        <v>174</v>
      </c>
      <c r="P706" s="3" t="s">
        <v>127</v>
      </c>
      <c r="Q706" s="3" t="s">
        <v>26</v>
      </c>
      <c r="S706" s="3" t="s">
        <v>664</v>
      </c>
      <c r="T706" s="3" t="s">
        <v>79</v>
      </c>
      <c r="U706" s="3">
        <v>7</v>
      </c>
      <c r="V706" s="3">
        <v>1</v>
      </c>
      <c r="W706" s="3" t="s">
        <v>26</v>
      </c>
      <c r="AA706" s="3" t="s">
        <v>49</v>
      </c>
      <c r="AB706" s="3" t="s">
        <v>29</v>
      </c>
      <c r="AC706" s="3" t="s">
        <v>664</v>
      </c>
      <c r="AD706" s="3" t="s">
        <v>55</v>
      </c>
      <c r="AE706" s="3" t="s">
        <v>31</v>
      </c>
      <c r="AF706" s="3" t="s">
        <v>664</v>
      </c>
      <c r="AG706" s="3" t="s">
        <v>32</v>
      </c>
    </row>
    <row r="707" spans="1:33">
      <c r="A707" s="1">
        <v>45214.5990394213</v>
      </c>
      <c r="B707" s="3" t="s">
        <v>1024</v>
      </c>
      <c r="C707" s="2">
        <v>33447</v>
      </c>
      <c r="D707" s="3">
        <v>32</v>
      </c>
      <c r="E707" s="3" t="s">
        <v>510</v>
      </c>
      <c r="F707" s="3" t="s">
        <v>520</v>
      </c>
      <c r="G707" s="3" t="s">
        <v>537</v>
      </c>
      <c r="H707" s="2">
        <v>43142</v>
      </c>
      <c r="I707" s="3">
        <v>2</v>
      </c>
      <c r="J707" s="3" t="s">
        <v>541</v>
      </c>
      <c r="K707" s="3" t="s">
        <v>1180</v>
      </c>
      <c r="L707" s="3" t="s">
        <v>627</v>
      </c>
      <c r="M707" s="3">
        <v>60</v>
      </c>
      <c r="N707" s="3">
        <v>88</v>
      </c>
      <c r="O707" s="3">
        <v>156</v>
      </c>
      <c r="P707" s="3" t="s">
        <v>123</v>
      </c>
      <c r="Q707" s="3" t="s">
        <v>26</v>
      </c>
      <c r="S707" s="3" t="s">
        <v>664</v>
      </c>
      <c r="T707" s="3" t="s">
        <v>27</v>
      </c>
      <c r="U707" s="3">
        <v>7</v>
      </c>
      <c r="V707" s="3">
        <v>1</v>
      </c>
      <c r="W707" s="3" t="s">
        <v>34</v>
      </c>
      <c r="X707" s="3" t="s">
        <v>58</v>
      </c>
      <c r="Y707" s="3">
        <v>7</v>
      </c>
      <c r="Z707" s="3">
        <v>1</v>
      </c>
      <c r="AA707" s="3" t="s">
        <v>49</v>
      </c>
      <c r="AB707" s="3" t="s">
        <v>29</v>
      </c>
      <c r="AC707" s="3" t="s">
        <v>664</v>
      </c>
      <c r="AD707" s="3" t="s">
        <v>30</v>
      </c>
      <c r="AE707" s="3" t="s">
        <v>38</v>
      </c>
      <c r="AF707" s="3" t="s">
        <v>664</v>
      </c>
      <c r="AG707" s="3" t="s">
        <v>48</v>
      </c>
    </row>
    <row r="708" spans="1:33">
      <c r="A708" s="1">
        <v>45214.604056400465</v>
      </c>
      <c r="B708" s="3" t="s">
        <v>1024</v>
      </c>
      <c r="C708" s="2">
        <v>30985</v>
      </c>
      <c r="D708" s="3">
        <v>38</v>
      </c>
      <c r="E708" s="3" t="s">
        <v>510</v>
      </c>
      <c r="F708" s="3" t="s">
        <v>531</v>
      </c>
      <c r="G708" s="3" t="s">
        <v>540</v>
      </c>
      <c r="H708" s="2">
        <v>44464</v>
      </c>
      <c r="I708" s="3">
        <v>1</v>
      </c>
      <c r="J708" s="3" t="s">
        <v>541</v>
      </c>
      <c r="K708" s="3">
        <v>2950</v>
      </c>
      <c r="L708" s="3">
        <v>37</v>
      </c>
      <c r="M708" s="3">
        <v>68</v>
      </c>
      <c r="N708" s="3">
        <v>77</v>
      </c>
      <c r="O708" s="3">
        <v>160</v>
      </c>
      <c r="P708" s="3" t="s">
        <v>33</v>
      </c>
      <c r="Q708" s="3" t="s">
        <v>26</v>
      </c>
      <c r="S708" s="3" t="s">
        <v>664</v>
      </c>
      <c r="W708" s="3" t="s">
        <v>26</v>
      </c>
      <c r="AA708" s="3" t="s">
        <v>49</v>
      </c>
      <c r="AB708" s="3" t="s">
        <v>29</v>
      </c>
      <c r="AC708" s="3" t="s">
        <v>664</v>
      </c>
      <c r="AD708" s="3" t="s">
        <v>55</v>
      </c>
      <c r="AE708" s="3" t="s">
        <v>31</v>
      </c>
      <c r="AF708" s="3" t="s">
        <v>664</v>
      </c>
      <c r="AG708" s="3" t="s">
        <v>32</v>
      </c>
    </row>
    <row r="709" spans="1:33">
      <c r="A709" s="1">
        <v>45214.636910092595</v>
      </c>
      <c r="B709" s="3" t="s">
        <v>1024</v>
      </c>
      <c r="C709" s="2">
        <v>34222</v>
      </c>
      <c r="D709" s="3">
        <v>30</v>
      </c>
      <c r="E709" s="3" t="s">
        <v>510</v>
      </c>
      <c r="F709" s="3" t="s">
        <v>520</v>
      </c>
      <c r="G709" s="3" t="s">
        <v>537</v>
      </c>
      <c r="H709" s="2">
        <v>43886</v>
      </c>
      <c r="I709" s="3">
        <v>1</v>
      </c>
      <c r="J709" s="3" t="s">
        <v>542</v>
      </c>
      <c r="K709" s="3">
        <v>3715</v>
      </c>
      <c r="L709" s="3">
        <v>39</v>
      </c>
      <c r="M709" s="3">
        <v>91</v>
      </c>
      <c r="N709" s="3">
        <v>94</v>
      </c>
      <c r="O709" s="3">
        <v>163</v>
      </c>
      <c r="P709" s="3" t="s">
        <v>33</v>
      </c>
      <c r="Q709" s="3" t="s">
        <v>26</v>
      </c>
      <c r="S709" s="3" t="s">
        <v>664</v>
      </c>
      <c r="T709" s="3" t="s">
        <v>43</v>
      </c>
      <c r="U709" s="3">
        <v>7</v>
      </c>
      <c r="V709" s="3">
        <v>1</v>
      </c>
      <c r="W709" s="3" t="s">
        <v>26</v>
      </c>
      <c r="AA709" s="3" t="s">
        <v>36</v>
      </c>
      <c r="AB709" s="3" t="s">
        <v>29</v>
      </c>
      <c r="AC709" s="3" t="s">
        <v>664</v>
      </c>
      <c r="AD709" s="3" t="s">
        <v>55</v>
      </c>
      <c r="AE709" s="3" t="s">
        <v>31</v>
      </c>
      <c r="AF709" s="3" t="s">
        <v>664</v>
      </c>
      <c r="AG709" s="3" t="s">
        <v>32</v>
      </c>
    </row>
    <row r="710" spans="1:33">
      <c r="A710" s="1">
        <v>45214.64120106482</v>
      </c>
      <c r="B710" s="3" t="s">
        <v>1024</v>
      </c>
      <c r="C710" s="2">
        <v>32981</v>
      </c>
      <c r="D710" s="3">
        <v>33</v>
      </c>
      <c r="E710" s="3" t="s">
        <v>510</v>
      </c>
      <c r="F710" s="3" t="s">
        <v>520</v>
      </c>
      <c r="G710" s="3" t="s">
        <v>539</v>
      </c>
      <c r="H710" s="2">
        <v>44727</v>
      </c>
      <c r="I710" s="3">
        <v>2</v>
      </c>
      <c r="J710" s="3" t="s">
        <v>542</v>
      </c>
      <c r="K710" s="3">
        <v>3350</v>
      </c>
      <c r="L710" s="3" t="s">
        <v>650</v>
      </c>
      <c r="M710" s="3">
        <v>67</v>
      </c>
      <c r="N710" s="3">
        <v>73</v>
      </c>
      <c r="O710" s="3">
        <v>161</v>
      </c>
      <c r="P710" s="3" t="s">
        <v>33</v>
      </c>
      <c r="Q710" s="3" t="s">
        <v>26</v>
      </c>
      <c r="S710" s="3" t="s">
        <v>664</v>
      </c>
      <c r="T710" s="3" t="s">
        <v>57</v>
      </c>
      <c r="U710" s="3">
        <v>7</v>
      </c>
      <c r="V710" s="3">
        <v>1</v>
      </c>
      <c r="W710" s="3" t="s">
        <v>34</v>
      </c>
      <c r="X710" s="3" t="s">
        <v>451</v>
      </c>
      <c r="Y710" s="3">
        <v>7</v>
      </c>
      <c r="Z710" s="3">
        <v>1</v>
      </c>
      <c r="AA710" s="3" t="s">
        <v>114</v>
      </c>
      <c r="AB710" s="3" t="s">
        <v>29</v>
      </c>
      <c r="AC710" s="3" t="s">
        <v>664</v>
      </c>
      <c r="AD710" s="3" t="s">
        <v>30</v>
      </c>
      <c r="AE710" s="3" t="s">
        <v>60</v>
      </c>
      <c r="AF710" s="3" t="s">
        <v>664</v>
      </c>
      <c r="AG710" s="3" t="s">
        <v>62</v>
      </c>
    </row>
    <row r="711" spans="1:33">
      <c r="A711" s="1">
        <v>45214.646016134255</v>
      </c>
      <c r="B711" s="3" t="s">
        <v>1024</v>
      </c>
      <c r="C711" s="2">
        <v>32232</v>
      </c>
      <c r="D711" s="3">
        <v>35</v>
      </c>
      <c r="E711" s="3" t="s">
        <v>510</v>
      </c>
      <c r="F711" s="3" t="s">
        <v>522</v>
      </c>
      <c r="G711" s="3" t="s">
        <v>540</v>
      </c>
      <c r="H711" s="2">
        <v>43105</v>
      </c>
      <c r="I711" s="3">
        <v>1</v>
      </c>
      <c r="J711" s="3" t="s">
        <v>541</v>
      </c>
      <c r="K711" s="3">
        <v>3340</v>
      </c>
      <c r="L711" s="3">
        <v>38</v>
      </c>
      <c r="M711" s="3" t="s">
        <v>1371</v>
      </c>
      <c r="N711" s="3">
        <v>65</v>
      </c>
      <c r="O711" s="3">
        <v>154</v>
      </c>
      <c r="P711" s="3" t="s">
        <v>33</v>
      </c>
      <c r="Q711" s="3" t="s">
        <v>26</v>
      </c>
      <c r="S711" s="3" t="s">
        <v>664</v>
      </c>
      <c r="T711" s="3" t="s">
        <v>27</v>
      </c>
      <c r="U711" s="3">
        <v>7</v>
      </c>
      <c r="V711" s="3">
        <v>1</v>
      </c>
      <c r="W711" s="3" t="s">
        <v>26</v>
      </c>
      <c r="AA711" s="3" t="s">
        <v>42</v>
      </c>
      <c r="AB711" s="3" t="s">
        <v>247</v>
      </c>
      <c r="AC711" s="3" t="s">
        <v>664</v>
      </c>
      <c r="AD711" s="3" t="s">
        <v>55</v>
      </c>
      <c r="AE711" s="3" t="s">
        <v>31</v>
      </c>
      <c r="AF711" s="3" t="s">
        <v>664</v>
      </c>
      <c r="AG711" s="3" t="s">
        <v>62</v>
      </c>
    </row>
    <row r="712" spans="1:33">
      <c r="A712" s="1">
        <v>45214.651264918983</v>
      </c>
      <c r="B712" s="3" t="s">
        <v>1024</v>
      </c>
      <c r="C712" s="2">
        <v>30812</v>
      </c>
      <c r="D712" s="3">
        <v>39</v>
      </c>
      <c r="E712" s="3" t="s">
        <v>510</v>
      </c>
      <c r="F712" s="3" t="s">
        <v>520</v>
      </c>
      <c r="G712" s="3" t="s">
        <v>539</v>
      </c>
      <c r="H712" s="2">
        <v>44584</v>
      </c>
      <c r="I712" s="3">
        <v>2</v>
      </c>
      <c r="J712" s="3" t="s">
        <v>542</v>
      </c>
      <c r="K712" s="3">
        <v>3150</v>
      </c>
      <c r="L712" s="3">
        <v>38</v>
      </c>
      <c r="M712" s="3">
        <v>53</v>
      </c>
      <c r="N712" s="3">
        <v>63</v>
      </c>
      <c r="O712" s="3">
        <v>157</v>
      </c>
      <c r="P712" s="3" t="s">
        <v>33</v>
      </c>
      <c r="Q712" s="3" t="s">
        <v>26</v>
      </c>
      <c r="S712" s="3" t="s">
        <v>664</v>
      </c>
      <c r="T712" s="3" t="s">
        <v>43</v>
      </c>
      <c r="U712" s="3">
        <v>7</v>
      </c>
      <c r="V712" s="3">
        <v>1</v>
      </c>
      <c r="W712" s="3" t="s">
        <v>34</v>
      </c>
      <c r="Y712" s="3">
        <v>7</v>
      </c>
      <c r="Z712" s="3">
        <v>1</v>
      </c>
      <c r="AA712" s="3" t="s">
        <v>49</v>
      </c>
      <c r="AB712" s="3" t="s">
        <v>29</v>
      </c>
      <c r="AC712" s="3" t="s">
        <v>664</v>
      </c>
      <c r="AD712" s="3" t="s">
        <v>30</v>
      </c>
      <c r="AE712" s="3" t="s">
        <v>31</v>
      </c>
      <c r="AF712" s="3" t="s">
        <v>664</v>
      </c>
      <c r="AG712" s="3" t="s">
        <v>39</v>
      </c>
    </row>
    <row r="713" spans="1:33">
      <c r="A713" s="1">
        <v>45214.655474976855</v>
      </c>
      <c r="B713" s="3" t="s">
        <v>1024</v>
      </c>
      <c r="C713" s="2">
        <v>28613</v>
      </c>
      <c r="D713" s="3">
        <v>45</v>
      </c>
      <c r="E713" s="3" t="s">
        <v>510</v>
      </c>
      <c r="F713" s="3" t="s">
        <v>520</v>
      </c>
      <c r="G713" s="3" t="s">
        <v>537</v>
      </c>
      <c r="H713" s="2">
        <v>44438</v>
      </c>
      <c r="I713" s="3">
        <v>5</v>
      </c>
      <c r="J713" s="3" t="s">
        <v>541</v>
      </c>
      <c r="K713" s="3">
        <v>2626</v>
      </c>
      <c r="L713" s="3" t="s">
        <v>636</v>
      </c>
      <c r="M713" s="3">
        <v>78</v>
      </c>
      <c r="N713" s="3">
        <v>83</v>
      </c>
      <c r="O713" s="3">
        <v>151</v>
      </c>
      <c r="P713" s="3" t="s">
        <v>33</v>
      </c>
      <c r="Q713" s="3" t="s">
        <v>26</v>
      </c>
      <c r="S713" s="3" t="s">
        <v>664</v>
      </c>
      <c r="T713" s="3" t="s">
        <v>43</v>
      </c>
      <c r="U713" s="3">
        <v>7</v>
      </c>
      <c r="V713" s="3">
        <v>1</v>
      </c>
      <c r="W713" s="3" t="s">
        <v>26</v>
      </c>
      <c r="AA713" s="3" t="s">
        <v>42</v>
      </c>
      <c r="AB713" s="3" t="s">
        <v>29</v>
      </c>
      <c r="AC713" s="3" t="s">
        <v>664</v>
      </c>
      <c r="AD713" s="3" t="s">
        <v>30</v>
      </c>
      <c r="AE713" s="3" t="s">
        <v>31</v>
      </c>
      <c r="AF713" s="3" t="s">
        <v>664</v>
      </c>
      <c r="AG713" s="3" t="s">
        <v>32</v>
      </c>
    </row>
    <row r="714" spans="1:33">
      <c r="A714" s="1">
        <v>45214.656871168976</v>
      </c>
      <c r="B714" s="3" t="s">
        <v>1024</v>
      </c>
      <c r="C714" s="2">
        <v>34831</v>
      </c>
      <c r="D714" s="3">
        <v>28</v>
      </c>
      <c r="E714" s="3" t="s">
        <v>510</v>
      </c>
      <c r="F714" s="3" t="s">
        <v>529</v>
      </c>
      <c r="G714" s="3" t="s">
        <v>539</v>
      </c>
      <c r="H714" s="2">
        <v>45099</v>
      </c>
      <c r="I714" s="3">
        <v>3</v>
      </c>
      <c r="J714" s="3" t="s">
        <v>542</v>
      </c>
      <c r="K714" s="3">
        <v>3485</v>
      </c>
      <c r="L714" s="3">
        <v>38</v>
      </c>
      <c r="M714" s="3">
        <v>81</v>
      </c>
      <c r="N714" s="3" t="s">
        <v>1372</v>
      </c>
      <c r="O714" s="3">
        <v>167</v>
      </c>
      <c r="P714" s="3" t="s">
        <v>33</v>
      </c>
      <c r="Q714" s="3" t="s">
        <v>26</v>
      </c>
      <c r="S714" s="3" t="s">
        <v>664</v>
      </c>
      <c r="T714" s="3" t="s">
        <v>275</v>
      </c>
      <c r="U714" s="3">
        <v>7</v>
      </c>
      <c r="V714" s="3">
        <v>1</v>
      </c>
      <c r="W714" s="3" t="s">
        <v>34</v>
      </c>
      <c r="X714" s="3" t="s">
        <v>119</v>
      </c>
      <c r="Y714" s="3">
        <v>5</v>
      </c>
      <c r="Z714" s="3">
        <v>1</v>
      </c>
      <c r="AA714" s="3" t="s">
        <v>28</v>
      </c>
      <c r="AB714" s="3" t="s">
        <v>452</v>
      </c>
      <c r="AC714" s="3" t="s">
        <v>664</v>
      </c>
      <c r="AD714" s="3" t="s">
        <v>55</v>
      </c>
      <c r="AE714" s="3" t="s">
        <v>38</v>
      </c>
      <c r="AF714" s="3" t="s">
        <v>664</v>
      </c>
      <c r="AG714" s="3" t="s">
        <v>39</v>
      </c>
    </row>
    <row r="715" spans="1:33">
      <c r="A715" s="1">
        <v>45214.676459085647</v>
      </c>
      <c r="B715" s="3" t="s">
        <v>1024</v>
      </c>
      <c r="C715" s="2">
        <v>30772</v>
      </c>
      <c r="D715" s="3">
        <v>39</v>
      </c>
      <c r="E715" s="3" t="s">
        <v>510</v>
      </c>
      <c r="F715" s="3" t="s">
        <v>520</v>
      </c>
      <c r="G715" s="3" t="s">
        <v>540</v>
      </c>
      <c r="H715" s="2">
        <v>44427</v>
      </c>
      <c r="I715" s="3">
        <v>1</v>
      </c>
      <c r="J715" s="3" t="s">
        <v>541</v>
      </c>
      <c r="K715" s="3">
        <v>3830</v>
      </c>
      <c r="L715" s="3" t="s">
        <v>816</v>
      </c>
      <c r="M715" s="3" t="s">
        <v>1373</v>
      </c>
      <c r="N715" s="3">
        <v>80</v>
      </c>
      <c r="O715" s="3">
        <v>164</v>
      </c>
      <c r="P715" s="3" t="s">
        <v>33</v>
      </c>
      <c r="Q715" s="3" t="s">
        <v>26</v>
      </c>
      <c r="S715" s="3" t="s">
        <v>664</v>
      </c>
      <c r="T715" s="3" t="s">
        <v>43</v>
      </c>
      <c r="U715" s="3">
        <v>7</v>
      </c>
      <c r="V715" s="3">
        <v>1</v>
      </c>
      <c r="W715" s="3" t="s">
        <v>26</v>
      </c>
      <c r="AA715" s="3" t="s">
        <v>28</v>
      </c>
      <c r="AB715" s="3" t="s">
        <v>29</v>
      </c>
      <c r="AC715" s="3" t="s">
        <v>664</v>
      </c>
      <c r="AD715" s="3" t="s">
        <v>55</v>
      </c>
      <c r="AE715" s="3" t="s">
        <v>31</v>
      </c>
      <c r="AF715" s="3" t="s">
        <v>664</v>
      </c>
      <c r="AG715" s="3" t="s">
        <v>39</v>
      </c>
    </row>
    <row r="716" spans="1:33">
      <c r="A716" s="1">
        <v>45214.681575740746</v>
      </c>
      <c r="B716" s="3" t="s">
        <v>1024</v>
      </c>
      <c r="C716" s="2">
        <v>36379</v>
      </c>
      <c r="D716" s="3" t="s">
        <v>1374</v>
      </c>
      <c r="E716" s="3" t="s">
        <v>510</v>
      </c>
      <c r="F716" s="3" t="s">
        <v>527</v>
      </c>
      <c r="G716" s="3" t="s">
        <v>538</v>
      </c>
      <c r="H716" s="2">
        <v>43850</v>
      </c>
      <c r="I716" s="3">
        <v>1</v>
      </c>
      <c r="J716" s="3" t="s">
        <v>542</v>
      </c>
      <c r="K716" s="3" t="s">
        <v>1052</v>
      </c>
      <c r="L716" s="3" t="s">
        <v>654</v>
      </c>
      <c r="M716" s="3">
        <v>62</v>
      </c>
      <c r="N716" s="3">
        <v>70</v>
      </c>
      <c r="O716" s="3">
        <v>150</v>
      </c>
      <c r="P716" s="3" t="s">
        <v>33</v>
      </c>
      <c r="Q716" s="3" t="s">
        <v>26</v>
      </c>
      <c r="S716" s="3" t="s">
        <v>664</v>
      </c>
      <c r="T716" s="3" t="s">
        <v>79</v>
      </c>
      <c r="U716" s="3">
        <v>7</v>
      </c>
      <c r="V716" s="3">
        <v>1</v>
      </c>
      <c r="W716" s="3" t="s">
        <v>26</v>
      </c>
      <c r="AA716" s="3" t="s">
        <v>49</v>
      </c>
      <c r="AB716" s="3" t="s">
        <v>29</v>
      </c>
      <c r="AC716" s="3" t="s">
        <v>664</v>
      </c>
      <c r="AD716" s="3" t="s">
        <v>30</v>
      </c>
      <c r="AE716" s="3" t="s">
        <v>31</v>
      </c>
      <c r="AF716" s="3" t="s">
        <v>664</v>
      </c>
      <c r="AG716" s="3" t="s">
        <v>94</v>
      </c>
    </row>
    <row r="717" spans="1:33">
      <c r="A717" s="1">
        <v>45214.683481365741</v>
      </c>
      <c r="B717" s="3" t="s">
        <v>1024</v>
      </c>
      <c r="C717" s="2">
        <v>32043</v>
      </c>
      <c r="D717" s="3">
        <v>36</v>
      </c>
      <c r="E717" s="3" t="s">
        <v>510</v>
      </c>
      <c r="F717" s="3" t="s">
        <v>521</v>
      </c>
      <c r="G717" s="3" t="s">
        <v>539</v>
      </c>
      <c r="H717" s="2">
        <v>44659</v>
      </c>
      <c r="I717" s="3">
        <v>2</v>
      </c>
      <c r="J717" s="3" t="s">
        <v>541</v>
      </c>
      <c r="K717" s="3">
        <v>3500</v>
      </c>
      <c r="L717" s="3">
        <v>39</v>
      </c>
      <c r="M717" s="3">
        <v>70</v>
      </c>
      <c r="N717" s="3">
        <v>84</v>
      </c>
      <c r="O717" s="3">
        <v>165</v>
      </c>
      <c r="P717" s="3" t="s">
        <v>33</v>
      </c>
      <c r="Q717" s="3" t="s">
        <v>26</v>
      </c>
      <c r="S717" s="3" t="s">
        <v>664</v>
      </c>
      <c r="T717" s="3" t="s">
        <v>57</v>
      </c>
      <c r="U717" s="3">
        <v>7</v>
      </c>
      <c r="V717" s="3">
        <v>1</v>
      </c>
      <c r="W717" s="3" t="s">
        <v>26</v>
      </c>
      <c r="AA717" s="3" t="s">
        <v>28</v>
      </c>
      <c r="AB717" s="3" t="s">
        <v>453</v>
      </c>
      <c r="AC717" s="3" t="s">
        <v>664</v>
      </c>
      <c r="AD717" s="3" t="s">
        <v>30</v>
      </c>
      <c r="AE717" s="3" t="s">
        <v>72</v>
      </c>
      <c r="AF717" s="3" t="s">
        <v>664</v>
      </c>
      <c r="AG717" s="3" t="s">
        <v>48</v>
      </c>
    </row>
    <row r="718" spans="1:33">
      <c r="A718" s="1">
        <v>45214.684952337964</v>
      </c>
      <c r="B718" s="3" t="s">
        <v>1024</v>
      </c>
      <c r="C718" s="2">
        <v>32341</v>
      </c>
      <c r="D718" s="3">
        <v>35</v>
      </c>
      <c r="E718" s="3" t="s">
        <v>510</v>
      </c>
      <c r="F718" s="3" t="s">
        <v>532</v>
      </c>
      <c r="G718" s="3" t="s">
        <v>538</v>
      </c>
      <c r="H718" s="2">
        <v>43394</v>
      </c>
      <c r="I718" s="3">
        <v>2</v>
      </c>
      <c r="J718" s="3" t="s">
        <v>542</v>
      </c>
      <c r="K718" s="3">
        <v>2210</v>
      </c>
      <c r="L718" s="3">
        <v>34</v>
      </c>
      <c r="M718" s="3">
        <v>44</v>
      </c>
      <c r="N718" s="3">
        <v>52</v>
      </c>
      <c r="O718" s="3">
        <v>149</v>
      </c>
      <c r="P718" s="3" t="s">
        <v>50</v>
      </c>
      <c r="Q718" s="3" t="s">
        <v>26</v>
      </c>
      <c r="S718" s="3" t="s">
        <v>664</v>
      </c>
      <c r="T718" s="3" t="s">
        <v>79</v>
      </c>
      <c r="U718" s="3">
        <v>7</v>
      </c>
      <c r="V718" s="3">
        <v>1</v>
      </c>
      <c r="W718" s="3" t="s">
        <v>34</v>
      </c>
      <c r="X718" s="3" t="s">
        <v>632</v>
      </c>
      <c r="Y718" s="3">
        <v>7</v>
      </c>
      <c r="Z718" s="3">
        <v>1</v>
      </c>
      <c r="AA718" s="3" t="s">
        <v>42</v>
      </c>
      <c r="AB718" s="3" t="s">
        <v>29</v>
      </c>
      <c r="AC718" s="3" t="s">
        <v>664</v>
      </c>
      <c r="AD718" s="3" t="s">
        <v>30</v>
      </c>
      <c r="AE718" s="3" t="s">
        <v>31</v>
      </c>
      <c r="AF718" s="3" t="s">
        <v>664</v>
      </c>
      <c r="AG718" s="3" t="s">
        <v>39</v>
      </c>
    </row>
    <row r="719" spans="1:33">
      <c r="A719" s="1">
        <v>45214.704255694443</v>
      </c>
      <c r="B719" s="3" t="s">
        <v>1024</v>
      </c>
      <c r="C719" s="2">
        <v>34030</v>
      </c>
      <c r="D719" s="3">
        <v>30</v>
      </c>
      <c r="E719" s="3" t="s">
        <v>510</v>
      </c>
      <c r="F719" s="3" t="s">
        <v>521</v>
      </c>
      <c r="G719" s="3" t="s">
        <v>539</v>
      </c>
      <c r="H719" s="2">
        <v>44401</v>
      </c>
      <c r="I719" s="3">
        <v>1</v>
      </c>
      <c r="J719" s="3" t="s">
        <v>541</v>
      </c>
      <c r="K719" s="3">
        <v>4000</v>
      </c>
      <c r="L719" s="3" t="s">
        <v>616</v>
      </c>
      <c r="M719" s="3">
        <v>88</v>
      </c>
      <c r="N719" s="3">
        <v>91</v>
      </c>
      <c r="O719" s="3">
        <v>156</v>
      </c>
      <c r="P719" s="3" t="s">
        <v>33</v>
      </c>
      <c r="Q719" s="3" t="s">
        <v>26</v>
      </c>
      <c r="S719" s="3" t="s">
        <v>664</v>
      </c>
      <c r="T719" s="3" t="s">
        <v>79</v>
      </c>
      <c r="U719" s="3">
        <v>2</v>
      </c>
      <c r="V719" s="3">
        <v>1</v>
      </c>
      <c r="W719" s="3" t="s">
        <v>26</v>
      </c>
      <c r="AA719" s="3" t="s">
        <v>49</v>
      </c>
      <c r="AB719" s="3" t="s">
        <v>454</v>
      </c>
      <c r="AC719" s="3" t="s">
        <v>664</v>
      </c>
      <c r="AD719" s="3" t="s">
        <v>55</v>
      </c>
      <c r="AE719" s="3" t="s">
        <v>38</v>
      </c>
      <c r="AF719" s="3" t="s">
        <v>664</v>
      </c>
      <c r="AG719" s="3" t="s">
        <v>39</v>
      </c>
    </row>
    <row r="720" spans="1:33">
      <c r="A720" s="1">
        <v>45214.706258240738</v>
      </c>
      <c r="B720" s="3" t="s">
        <v>1024</v>
      </c>
      <c r="C720" s="2">
        <v>32589</v>
      </c>
      <c r="D720" s="3">
        <v>34</v>
      </c>
      <c r="E720" s="3" t="s">
        <v>510</v>
      </c>
      <c r="F720" s="3" t="s">
        <v>520</v>
      </c>
      <c r="G720" s="3" t="s">
        <v>539</v>
      </c>
      <c r="H720" s="2">
        <v>43336</v>
      </c>
      <c r="I720" s="3">
        <v>1</v>
      </c>
      <c r="J720" s="3" t="s">
        <v>542</v>
      </c>
      <c r="K720" s="3">
        <v>3100</v>
      </c>
      <c r="L720" s="3" t="s">
        <v>661</v>
      </c>
      <c r="M720" s="3">
        <v>97</v>
      </c>
      <c r="N720" s="3">
        <v>107</v>
      </c>
      <c r="O720" s="3">
        <v>165</v>
      </c>
      <c r="P720" s="3" t="s">
        <v>33</v>
      </c>
      <c r="Q720" s="3" t="s">
        <v>26</v>
      </c>
      <c r="S720" s="3" t="s">
        <v>664</v>
      </c>
      <c r="T720" s="3" t="s">
        <v>79</v>
      </c>
      <c r="U720" s="3">
        <v>7</v>
      </c>
      <c r="V720" s="3">
        <v>1</v>
      </c>
      <c r="W720" s="3" t="s">
        <v>34</v>
      </c>
      <c r="X720" s="3" t="s">
        <v>455</v>
      </c>
      <c r="Y720" s="3">
        <v>7</v>
      </c>
      <c r="Z720" s="3">
        <v>1</v>
      </c>
      <c r="AA720" s="3" t="s">
        <v>49</v>
      </c>
      <c r="AB720" s="3" t="s">
        <v>29</v>
      </c>
      <c r="AC720" s="3" t="s">
        <v>664</v>
      </c>
      <c r="AD720" s="3" t="s">
        <v>30</v>
      </c>
      <c r="AE720" s="3" t="s">
        <v>31</v>
      </c>
      <c r="AF720" s="3" t="s">
        <v>664</v>
      </c>
      <c r="AG720" s="3" t="s">
        <v>94</v>
      </c>
    </row>
    <row r="721" spans="1:33">
      <c r="A721" s="1">
        <v>45214.747402824076</v>
      </c>
      <c r="B721" s="3" t="s">
        <v>1024</v>
      </c>
      <c r="C721" s="2">
        <v>34344</v>
      </c>
      <c r="D721" s="3">
        <v>29</v>
      </c>
      <c r="E721" s="3" t="s">
        <v>510</v>
      </c>
      <c r="F721" s="3" t="s">
        <v>520</v>
      </c>
      <c r="G721" s="3" t="s">
        <v>539</v>
      </c>
      <c r="H721" s="2">
        <v>42984</v>
      </c>
      <c r="I721" s="3">
        <v>1</v>
      </c>
      <c r="J721" s="3" t="s">
        <v>541</v>
      </c>
      <c r="K721" s="3">
        <v>3.2349999999999999</v>
      </c>
      <c r="L721" s="3" t="s">
        <v>616</v>
      </c>
      <c r="M721" s="3">
        <v>50</v>
      </c>
      <c r="N721" s="3">
        <v>55</v>
      </c>
      <c r="O721" s="3">
        <v>155</v>
      </c>
      <c r="P721" s="3" t="s">
        <v>33</v>
      </c>
      <c r="Q721" s="3" t="s">
        <v>26</v>
      </c>
      <c r="S721" s="3" t="s">
        <v>664</v>
      </c>
      <c r="T721" s="3" t="s">
        <v>56</v>
      </c>
      <c r="U721" s="3">
        <v>7</v>
      </c>
      <c r="V721" s="3">
        <v>1</v>
      </c>
      <c r="W721" s="3" t="s">
        <v>26</v>
      </c>
      <c r="AA721" s="3" t="s">
        <v>42</v>
      </c>
      <c r="AB721" s="3" t="s">
        <v>29</v>
      </c>
      <c r="AC721" s="3" t="s">
        <v>664</v>
      </c>
      <c r="AD721" s="3" t="s">
        <v>30</v>
      </c>
      <c r="AE721" s="3" t="s">
        <v>60</v>
      </c>
      <c r="AF721" s="3" t="s">
        <v>664</v>
      </c>
      <c r="AG721" s="3" t="s">
        <v>62</v>
      </c>
    </row>
    <row r="722" spans="1:33">
      <c r="A722" s="1">
        <v>45214.750198958332</v>
      </c>
      <c r="B722" s="3" t="s">
        <v>1024</v>
      </c>
      <c r="C722" s="2">
        <v>32314</v>
      </c>
      <c r="D722" s="3">
        <v>35</v>
      </c>
      <c r="E722" s="3" t="s">
        <v>510</v>
      </c>
      <c r="F722" s="3" t="s">
        <v>529</v>
      </c>
      <c r="G722" s="3" t="s">
        <v>540</v>
      </c>
      <c r="H722" s="2">
        <v>43123</v>
      </c>
      <c r="I722" s="3">
        <v>1</v>
      </c>
      <c r="J722" s="3" t="s">
        <v>542</v>
      </c>
      <c r="K722" s="3">
        <v>2900</v>
      </c>
      <c r="L722" s="3" t="s">
        <v>661</v>
      </c>
      <c r="M722" s="3">
        <v>89</v>
      </c>
      <c r="N722" s="3">
        <v>115</v>
      </c>
      <c r="O722" s="3">
        <v>171</v>
      </c>
      <c r="P722" s="3" t="s">
        <v>25</v>
      </c>
      <c r="Q722" s="3" t="s">
        <v>26</v>
      </c>
      <c r="S722" s="3" t="s">
        <v>664</v>
      </c>
      <c r="T722" s="3" t="s">
        <v>56</v>
      </c>
      <c r="U722" s="3">
        <v>7</v>
      </c>
      <c r="V722" s="3">
        <v>1</v>
      </c>
      <c r="W722" s="3" t="s">
        <v>34</v>
      </c>
      <c r="X722" s="3" t="s">
        <v>61</v>
      </c>
      <c r="Y722" s="3">
        <v>7</v>
      </c>
      <c r="Z722" s="3">
        <v>1</v>
      </c>
      <c r="AA722" s="3" t="s">
        <v>28</v>
      </c>
      <c r="AB722" s="3" t="s">
        <v>456</v>
      </c>
      <c r="AC722" s="3" t="s">
        <v>664</v>
      </c>
      <c r="AD722" s="3" t="s">
        <v>30</v>
      </c>
      <c r="AE722" s="3" t="s">
        <v>31</v>
      </c>
      <c r="AF722" s="3" t="s">
        <v>664</v>
      </c>
      <c r="AG722" s="3" t="s">
        <v>48</v>
      </c>
    </row>
    <row r="723" spans="1:33">
      <c r="A723" s="1">
        <v>45214.750664895837</v>
      </c>
      <c r="B723" s="3" t="s">
        <v>1024</v>
      </c>
      <c r="C723" s="2">
        <v>35854</v>
      </c>
      <c r="D723" s="3">
        <v>25</v>
      </c>
      <c r="E723" s="3" t="s">
        <v>510</v>
      </c>
      <c r="F723" s="3" t="s">
        <v>521</v>
      </c>
      <c r="G723" s="3" t="s">
        <v>539</v>
      </c>
      <c r="H723" s="2">
        <v>43223</v>
      </c>
      <c r="I723" s="3">
        <v>3</v>
      </c>
      <c r="J723" s="3" t="s">
        <v>542</v>
      </c>
      <c r="K723" s="3">
        <v>3670</v>
      </c>
      <c r="L723" s="3">
        <v>39</v>
      </c>
      <c r="M723" s="3" t="s">
        <v>1375</v>
      </c>
      <c r="N723" s="3" t="s">
        <v>1376</v>
      </c>
      <c r="O723" s="3">
        <v>155</v>
      </c>
      <c r="P723" s="3" t="s">
        <v>50</v>
      </c>
      <c r="Q723" s="3" t="s">
        <v>26</v>
      </c>
      <c r="S723" s="3" t="s">
        <v>26</v>
      </c>
      <c r="W723" s="3" t="s">
        <v>34</v>
      </c>
      <c r="X723" s="3" t="s">
        <v>58</v>
      </c>
      <c r="Y723" s="3">
        <v>7</v>
      </c>
      <c r="Z723" s="3">
        <v>1</v>
      </c>
      <c r="AA723" s="3" t="s">
        <v>42</v>
      </c>
      <c r="AB723" s="3" t="s">
        <v>29</v>
      </c>
      <c r="AC723" s="3" t="s">
        <v>664</v>
      </c>
      <c r="AD723" s="3" t="s">
        <v>30</v>
      </c>
      <c r="AE723" s="3" t="s">
        <v>31</v>
      </c>
      <c r="AF723" s="3" t="s">
        <v>664</v>
      </c>
      <c r="AG723" s="3" t="s">
        <v>32</v>
      </c>
    </row>
    <row r="724" spans="1:33">
      <c r="A724" s="1">
        <v>45214.756133946757</v>
      </c>
      <c r="B724" s="3" t="s">
        <v>1024</v>
      </c>
      <c r="C724" s="2">
        <v>35322</v>
      </c>
      <c r="D724" s="3">
        <v>27</v>
      </c>
      <c r="E724" s="3" t="s">
        <v>510</v>
      </c>
      <c r="F724" s="3" t="s">
        <v>520</v>
      </c>
      <c r="G724" s="3" t="s">
        <v>539</v>
      </c>
      <c r="H724" s="2">
        <v>45088</v>
      </c>
      <c r="I724" s="3">
        <v>3</v>
      </c>
      <c r="J724" s="3" t="s">
        <v>541</v>
      </c>
      <c r="K724" s="3">
        <v>3250</v>
      </c>
      <c r="L724" s="3" t="s">
        <v>731</v>
      </c>
      <c r="M724" s="3">
        <v>64</v>
      </c>
      <c r="N724" s="3">
        <v>74</v>
      </c>
      <c r="O724" s="3" t="s">
        <v>1377</v>
      </c>
      <c r="P724" s="3" t="s">
        <v>123</v>
      </c>
      <c r="Q724" s="3" t="s">
        <v>26</v>
      </c>
      <c r="S724" s="3" t="s">
        <v>664</v>
      </c>
      <c r="T724" s="3" t="s">
        <v>41</v>
      </c>
      <c r="U724" s="3">
        <v>7</v>
      </c>
      <c r="V724" s="3">
        <v>1</v>
      </c>
      <c r="W724" s="3" t="s">
        <v>34</v>
      </c>
      <c r="X724" s="3" t="s">
        <v>58</v>
      </c>
      <c r="Y724" s="3">
        <v>7</v>
      </c>
      <c r="Z724" s="3">
        <v>1</v>
      </c>
      <c r="AA724" s="3" t="s">
        <v>36</v>
      </c>
      <c r="AB724" s="3" t="s">
        <v>29</v>
      </c>
      <c r="AC724" s="3" t="s">
        <v>664</v>
      </c>
      <c r="AD724" s="3" t="s">
        <v>30</v>
      </c>
      <c r="AE724" s="3" t="s">
        <v>31</v>
      </c>
      <c r="AF724" s="3" t="s">
        <v>664</v>
      </c>
      <c r="AG724" s="3" t="s">
        <v>39</v>
      </c>
    </row>
    <row r="725" spans="1:33">
      <c r="A725" s="1">
        <v>45214.857696087958</v>
      </c>
      <c r="B725" s="3" t="s">
        <v>1024</v>
      </c>
      <c r="C725" s="2">
        <v>28701</v>
      </c>
      <c r="D725" s="3">
        <v>45</v>
      </c>
      <c r="E725" s="3" t="s">
        <v>510</v>
      </c>
      <c r="F725" s="3" t="s">
        <v>529</v>
      </c>
      <c r="G725" s="3" t="s">
        <v>539</v>
      </c>
      <c r="H725" s="2">
        <v>43224</v>
      </c>
      <c r="I725" s="3">
        <v>2</v>
      </c>
      <c r="J725" s="3" t="s">
        <v>542</v>
      </c>
      <c r="K725" s="3">
        <v>3490</v>
      </c>
      <c r="L725" s="3">
        <v>38</v>
      </c>
      <c r="M725" s="3">
        <v>64</v>
      </c>
      <c r="N725" s="3">
        <v>80</v>
      </c>
      <c r="O725" s="3">
        <v>164</v>
      </c>
      <c r="P725" s="3" t="s">
        <v>33</v>
      </c>
      <c r="Q725" s="3" t="s">
        <v>26</v>
      </c>
      <c r="S725" s="3" t="s">
        <v>664</v>
      </c>
      <c r="T725" s="3" t="s">
        <v>27</v>
      </c>
      <c r="U725" s="3">
        <v>7</v>
      </c>
      <c r="V725" s="3">
        <v>1</v>
      </c>
      <c r="W725" s="3" t="s">
        <v>34</v>
      </c>
      <c r="X725" s="3" t="s">
        <v>184</v>
      </c>
      <c r="Y725" s="3">
        <v>7</v>
      </c>
      <c r="Z725" s="3">
        <v>1</v>
      </c>
      <c r="AA725" s="3" t="s">
        <v>49</v>
      </c>
      <c r="AB725" s="3" t="s">
        <v>29</v>
      </c>
      <c r="AC725" s="3" t="s">
        <v>664</v>
      </c>
      <c r="AD725" s="3" t="s">
        <v>30</v>
      </c>
      <c r="AE725" s="3" t="s">
        <v>38</v>
      </c>
      <c r="AF725" s="3" t="s">
        <v>664</v>
      </c>
      <c r="AG725" s="3" t="s">
        <v>39</v>
      </c>
    </row>
    <row r="726" spans="1:33">
      <c r="A726" s="1">
        <v>45214.861695081017</v>
      </c>
      <c r="B726" s="3" t="s">
        <v>1024</v>
      </c>
      <c r="C726" s="2">
        <v>33702</v>
      </c>
      <c r="D726" s="3">
        <v>31</v>
      </c>
      <c r="E726" s="3" t="s">
        <v>510</v>
      </c>
      <c r="F726" s="3" t="s">
        <v>520</v>
      </c>
      <c r="G726" s="3" t="s">
        <v>539</v>
      </c>
      <c r="H726" s="2">
        <v>43896</v>
      </c>
      <c r="I726" s="3">
        <v>1</v>
      </c>
      <c r="J726" s="3" t="s">
        <v>542</v>
      </c>
      <c r="K726" s="3">
        <v>3492</v>
      </c>
      <c r="L726" s="3" t="s">
        <v>634</v>
      </c>
      <c r="M726" s="3">
        <v>65</v>
      </c>
      <c r="N726" s="3">
        <v>80</v>
      </c>
      <c r="O726" s="3">
        <v>161</v>
      </c>
      <c r="P726" s="3" t="s">
        <v>50</v>
      </c>
      <c r="Q726" s="3" t="s">
        <v>34</v>
      </c>
      <c r="S726" s="3" t="s">
        <v>664</v>
      </c>
      <c r="T726" s="3" t="s">
        <v>79</v>
      </c>
      <c r="U726" s="3">
        <v>7</v>
      </c>
      <c r="V726" s="3">
        <v>1</v>
      </c>
      <c r="W726" s="3" t="s">
        <v>34</v>
      </c>
      <c r="X726" s="3" t="s">
        <v>632</v>
      </c>
      <c r="Y726" s="3">
        <v>7</v>
      </c>
      <c r="Z726" s="3">
        <v>1</v>
      </c>
      <c r="AA726" s="3" t="s">
        <v>42</v>
      </c>
      <c r="AB726" s="3" t="s">
        <v>29</v>
      </c>
      <c r="AC726" s="3" t="s">
        <v>664</v>
      </c>
      <c r="AD726" s="3" t="s">
        <v>30</v>
      </c>
      <c r="AE726" s="3" t="s">
        <v>31</v>
      </c>
      <c r="AF726" s="3" t="s">
        <v>664</v>
      </c>
      <c r="AG726" s="3" t="s">
        <v>39</v>
      </c>
    </row>
    <row r="727" spans="1:33">
      <c r="A727" s="1">
        <v>45214.862065937501</v>
      </c>
      <c r="B727" s="3" t="s">
        <v>1024</v>
      </c>
      <c r="C727" s="2">
        <v>33996</v>
      </c>
      <c r="D727" s="3">
        <v>30</v>
      </c>
      <c r="E727" s="3" t="s">
        <v>510</v>
      </c>
      <c r="F727" s="3" t="s">
        <v>521</v>
      </c>
      <c r="G727" s="3" t="s">
        <v>538</v>
      </c>
      <c r="H727" s="2">
        <v>44087</v>
      </c>
      <c r="I727" s="3">
        <v>2</v>
      </c>
      <c r="J727" s="3" t="s">
        <v>541</v>
      </c>
      <c r="K727" s="3">
        <v>3650</v>
      </c>
      <c r="L727" s="3">
        <v>39</v>
      </c>
      <c r="M727" s="3">
        <v>55</v>
      </c>
      <c r="N727" s="3">
        <v>65</v>
      </c>
      <c r="O727" s="3">
        <v>150</v>
      </c>
      <c r="P727" s="3" t="s">
        <v>33</v>
      </c>
      <c r="Q727" s="3" t="s">
        <v>26</v>
      </c>
      <c r="S727" s="3" t="s">
        <v>664</v>
      </c>
      <c r="U727" s="3">
        <v>7</v>
      </c>
      <c r="V727" s="3">
        <v>1</v>
      </c>
      <c r="W727" s="3" t="s">
        <v>26</v>
      </c>
      <c r="AA727" s="3" t="s">
        <v>42</v>
      </c>
      <c r="AB727" s="3" t="s">
        <v>29</v>
      </c>
      <c r="AC727" s="3" t="s">
        <v>664</v>
      </c>
      <c r="AD727" s="3" t="s">
        <v>55</v>
      </c>
      <c r="AE727" s="3" t="s">
        <v>38</v>
      </c>
      <c r="AF727" s="3" t="s">
        <v>664</v>
      </c>
      <c r="AG727" s="3" t="s">
        <v>62</v>
      </c>
    </row>
    <row r="728" spans="1:33">
      <c r="A728" s="1">
        <v>45214.867048252316</v>
      </c>
      <c r="B728" s="3" t="s">
        <v>1024</v>
      </c>
      <c r="C728" s="2">
        <v>31240</v>
      </c>
      <c r="D728" s="3">
        <v>38</v>
      </c>
      <c r="E728" s="3" t="s">
        <v>510</v>
      </c>
      <c r="F728" s="3" t="s">
        <v>531</v>
      </c>
      <c r="G728" s="3" t="s">
        <v>539</v>
      </c>
      <c r="H728" s="2">
        <v>45162</v>
      </c>
      <c r="I728" s="3">
        <v>3</v>
      </c>
      <c r="J728" s="3" t="s">
        <v>541</v>
      </c>
      <c r="K728" s="3">
        <v>3335</v>
      </c>
      <c r="L728" s="3" t="s">
        <v>627</v>
      </c>
      <c r="M728" s="3">
        <v>67</v>
      </c>
      <c r="N728" s="3" t="s">
        <v>1378</v>
      </c>
      <c r="O728" s="3">
        <v>160</v>
      </c>
      <c r="P728" s="3" t="s">
        <v>33</v>
      </c>
      <c r="Q728" s="3" t="s">
        <v>26</v>
      </c>
      <c r="S728" s="3" t="s">
        <v>664</v>
      </c>
      <c r="T728" s="3" t="s">
        <v>119</v>
      </c>
      <c r="U728" s="3">
        <v>7</v>
      </c>
      <c r="V728" s="3">
        <v>1</v>
      </c>
      <c r="W728" s="3" t="s">
        <v>34</v>
      </c>
      <c r="X728" s="3" t="s">
        <v>119</v>
      </c>
      <c r="Y728" s="3">
        <v>7</v>
      </c>
      <c r="Z728" s="3">
        <v>1</v>
      </c>
      <c r="AA728" s="3" t="s">
        <v>42</v>
      </c>
      <c r="AB728" s="3" t="s">
        <v>29</v>
      </c>
      <c r="AC728" s="3" t="s">
        <v>664</v>
      </c>
      <c r="AD728" s="3" t="s">
        <v>37</v>
      </c>
      <c r="AE728" s="3" t="s">
        <v>31</v>
      </c>
      <c r="AF728" s="3" t="s">
        <v>664</v>
      </c>
      <c r="AG728" s="3" t="s">
        <v>62</v>
      </c>
    </row>
    <row r="729" spans="1:33">
      <c r="A729" s="1">
        <v>45214.869933321759</v>
      </c>
      <c r="B729" s="3" t="s">
        <v>1024</v>
      </c>
      <c r="C729" s="2">
        <v>33329</v>
      </c>
      <c r="D729" s="3">
        <v>32</v>
      </c>
      <c r="E729" s="3" t="s">
        <v>510</v>
      </c>
      <c r="F729" s="3" t="s">
        <v>520</v>
      </c>
      <c r="G729" s="3" t="s">
        <v>538</v>
      </c>
      <c r="H729" s="2">
        <v>43357</v>
      </c>
      <c r="I729" s="3">
        <v>2</v>
      </c>
      <c r="J729" s="3" t="s">
        <v>542</v>
      </c>
      <c r="K729" s="3" t="s">
        <v>1379</v>
      </c>
      <c r="L729" s="3" t="s">
        <v>823</v>
      </c>
      <c r="M729" s="3">
        <v>74</v>
      </c>
      <c r="N729" s="3">
        <v>100</v>
      </c>
      <c r="O729" s="3">
        <v>168</v>
      </c>
      <c r="P729" s="3" t="s">
        <v>295</v>
      </c>
      <c r="Q729" s="3" t="s">
        <v>26</v>
      </c>
      <c r="R729" s="3" t="s">
        <v>457</v>
      </c>
      <c r="S729" s="3" t="s">
        <v>664</v>
      </c>
      <c r="T729" s="3" t="s">
        <v>79</v>
      </c>
      <c r="U729" s="3">
        <v>7</v>
      </c>
      <c r="V729" s="3">
        <v>1</v>
      </c>
      <c r="W729" s="3" t="s">
        <v>26</v>
      </c>
      <c r="AA729" s="3" t="s">
        <v>114</v>
      </c>
      <c r="AB729" s="3" t="s">
        <v>122</v>
      </c>
      <c r="AC729" s="3" t="s">
        <v>664</v>
      </c>
      <c r="AD729" s="3" t="s">
        <v>30</v>
      </c>
      <c r="AE729" s="3" t="s">
        <v>31</v>
      </c>
      <c r="AF729" s="3" t="s">
        <v>664</v>
      </c>
      <c r="AG729" s="3" t="s">
        <v>32</v>
      </c>
    </row>
    <row r="730" spans="1:33">
      <c r="A730" s="1">
        <v>45214.890326851848</v>
      </c>
      <c r="B730" s="3" t="s">
        <v>1024</v>
      </c>
      <c r="C730" s="2">
        <v>31600</v>
      </c>
      <c r="D730" s="3">
        <v>37</v>
      </c>
      <c r="E730" s="3" t="s">
        <v>510</v>
      </c>
      <c r="F730" s="3" t="s">
        <v>521</v>
      </c>
      <c r="G730" s="3" t="s">
        <v>539</v>
      </c>
      <c r="H730" s="2">
        <v>44729</v>
      </c>
      <c r="I730" s="3">
        <v>3</v>
      </c>
      <c r="J730" s="3" t="s">
        <v>542</v>
      </c>
      <c r="K730" s="3">
        <v>3855</v>
      </c>
      <c r="L730" s="3" t="s">
        <v>719</v>
      </c>
      <c r="M730" s="3">
        <v>70</v>
      </c>
      <c r="N730" s="3">
        <v>80</v>
      </c>
      <c r="O730" s="3">
        <v>165</v>
      </c>
      <c r="P730" s="3" t="s">
        <v>33</v>
      </c>
      <c r="Q730" s="3" t="s">
        <v>26</v>
      </c>
      <c r="S730" s="3" t="s">
        <v>664</v>
      </c>
      <c r="T730" s="3" t="s">
        <v>43</v>
      </c>
      <c r="U730" s="3">
        <v>7</v>
      </c>
      <c r="V730" s="3">
        <v>1</v>
      </c>
      <c r="W730" s="3" t="s">
        <v>26</v>
      </c>
      <c r="AA730" s="3" t="s">
        <v>49</v>
      </c>
      <c r="AB730" s="3" t="s">
        <v>29</v>
      </c>
      <c r="AC730" s="3" t="s">
        <v>664</v>
      </c>
      <c r="AD730" s="3" t="s">
        <v>55</v>
      </c>
      <c r="AE730" s="3" t="s">
        <v>31</v>
      </c>
      <c r="AF730" s="3" t="s">
        <v>664</v>
      </c>
      <c r="AG730" s="3" t="s">
        <v>62</v>
      </c>
    </row>
    <row r="731" spans="1:33">
      <c r="A731" s="1">
        <v>45214.906888148151</v>
      </c>
      <c r="B731" s="3" t="s">
        <v>1024</v>
      </c>
      <c r="C731" s="2">
        <v>34605</v>
      </c>
      <c r="D731" s="3">
        <v>29</v>
      </c>
      <c r="E731" s="3" t="s">
        <v>510</v>
      </c>
      <c r="F731" s="3" t="s">
        <v>520</v>
      </c>
      <c r="G731" s="3" t="s">
        <v>537</v>
      </c>
      <c r="H731" s="2">
        <v>43155</v>
      </c>
      <c r="I731" s="3">
        <v>1</v>
      </c>
      <c r="J731" s="3" t="s">
        <v>541</v>
      </c>
      <c r="K731" s="3">
        <v>2800</v>
      </c>
      <c r="L731" s="3">
        <v>38</v>
      </c>
      <c r="M731" s="3">
        <v>37</v>
      </c>
      <c r="N731" s="3">
        <v>40</v>
      </c>
      <c r="O731" s="3" t="s">
        <v>1380</v>
      </c>
      <c r="P731" s="3" t="s">
        <v>33</v>
      </c>
      <c r="Q731" s="3" t="s">
        <v>26</v>
      </c>
      <c r="S731" s="3" t="s">
        <v>664</v>
      </c>
      <c r="T731" s="3" t="s">
        <v>27</v>
      </c>
      <c r="U731" s="3">
        <v>7</v>
      </c>
      <c r="V731" s="3">
        <v>1</v>
      </c>
      <c r="W731" s="3" t="s">
        <v>34</v>
      </c>
      <c r="X731" s="3" t="s">
        <v>828</v>
      </c>
      <c r="Y731" s="3">
        <v>7</v>
      </c>
      <c r="Z731" s="3">
        <v>1</v>
      </c>
      <c r="AA731" s="3" t="s">
        <v>49</v>
      </c>
      <c r="AB731" s="3" t="s">
        <v>29</v>
      </c>
      <c r="AC731" s="3" t="s">
        <v>664</v>
      </c>
      <c r="AD731" s="3" t="s">
        <v>30</v>
      </c>
      <c r="AE731" s="3" t="s">
        <v>72</v>
      </c>
      <c r="AF731" s="3" t="s">
        <v>664</v>
      </c>
      <c r="AG731" s="3" t="s">
        <v>32</v>
      </c>
    </row>
    <row r="732" spans="1:33">
      <c r="A732" s="1">
        <v>45214.907413101857</v>
      </c>
      <c r="B732" s="3" t="s">
        <v>1024</v>
      </c>
      <c r="C732" s="2">
        <v>31095</v>
      </c>
      <c r="D732" s="3">
        <v>38</v>
      </c>
      <c r="E732" s="3" t="s">
        <v>510</v>
      </c>
      <c r="F732" s="3" t="s">
        <v>531</v>
      </c>
      <c r="G732" s="3" t="s">
        <v>539</v>
      </c>
      <c r="H732" s="2">
        <v>43627</v>
      </c>
      <c r="I732" s="3">
        <v>2</v>
      </c>
      <c r="J732" s="3" t="s">
        <v>541</v>
      </c>
      <c r="K732" s="3">
        <v>3700</v>
      </c>
      <c r="L732" s="3">
        <v>41</v>
      </c>
      <c r="M732" s="3">
        <v>62</v>
      </c>
      <c r="N732" s="3">
        <v>83</v>
      </c>
      <c r="O732" s="3">
        <v>165</v>
      </c>
      <c r="P732" s="3" t="s">
        <v>33</v>
      </c>
      <c r="Q732" s="3" t="s">
        <v>26</v>
      </c>
      <c r="S732" s="3" t="s">
        <v>664</v>
      </c>
      <c r="T732" s="3" t="s">
        <v>41</v>
      </c>
      <c r="U732" s="3">
        <v>5</v>
      </c>
      <c r="V732" s="3">
        <v>1</v>
      </c>
      <c r="W732" s="3" t="s">
        <v>26</v>
      </c>
      <c r="AA732" s="3" t="s">
        <v>49</v>
      </c>
      <c r="AB732" s="3" t="s">
        <v>29</v>
      </c>
      <c r="AC732" s="3" t="s">
        <v>664</v>
      </c>
      <c r="AD732" s="3" t="s">
        <v>30</v>
      </c>
      <c r="AE732" s="3" t="s">
        <v>31</v>
      </c>
      <c r="AF732" s="3" t="s">
        <v>664</v>
      </c>
      <c r="AG732" s="3" t="s">
        <v>39</v>
      </c>
    </row>
    <row r="733" spans="1:33">
      <c r="A733" s="1">
        <v>45214.910864247686</v>
      </c>
      <c r="B733" s="3" t="s">
        <v>1024</v>
      </c>
      <c r="C733" s="2">
        <v>31658</v>
      </c>
      <c r="D733" s="3">
        <v>36</v>
      </c>
      <c r="E733" s="3" t="s">
        <v>510</v>
      </c>
      <c r="F733" s="3" t="s">
        <v>522</v>
      </c>
      <c r="G733" s="3" t="s">
        <v>539</v>
      </c>
      <c r="H733" s="2">
        <v>43374</v>
      </c>
      <c r="I733" s="3">
        <v>1</v>
      </c>
      <c r="J733" s="3" t="s">
        <v>542</v>
      </c>
      <c r="K733" s="3">
        <v>3200</v>
      </c>
      <c r="L733" s="3">
        <v>41</v>
      </c>
      <c r="M733" s="3">
        <v>73</v>
      </c>
      <c r="N733" s="3">
        <v>96</v>
      </c>
      <c r="O733" s="3">
        <v>160</v>
      </c>
      <c r="P733" s="3" t="s">
        <v>106</v>
      </c>
      <c r="Q733" s="3" t="s">
        <v>26</v>
      </c>
      <c r="S733" s="3" t="s">
        <v>664</v>
      </c>
      <c r="T733" s="3" t="s">
        <v>79</v>
      </c>
      <c r="U733" s="3">
        <v>7</v>
      </c>
      <c r="V733" s="3">
        <v>1</v>
      </c>
      <c r="W733" s="3" t="s">
        <v>26</v>
      </c>
      <c r="AA733" s="3" t="s">
        <v>49</v>
      </c>
      <c r="AB733" s="3" t="s">
        <v>29</v>
      </c>
      <c r="AC733" s="3" t="s">
        <v>664</v>
      </c>
      <c r="AE733" s="3" t="s">
        <v>31</v>
      </c>
      <c r="AF733" s="3" t="s">
        <v>664</v>
      </c>
      <c r="AG733" s="3" t="s">
        <v>32</v>
      </c>
    </row>
    <row r="734" spans="1:33">
      <c r="A734" s="1">
        <v>45214.920725254633</v>
      </c>
      <c r="B734" s="3" t="s">
        <v>1024</v>
      </c>
      <c r="C734" s="2">
        <v>32587</v>
      </c>
      <c r="D734" s="3">
        <v>34</v>
      </c>
      <c r="E734" s="3" t="s">
        <v>510</v>
      </c>
      <c r="F734" s="3" t="s">
        <v>523</v>
      </c>
      <c r="G734" s="3" t="s">
        <v>540</v>
      </c>
      <c r="H734" s="2">
        <v>44565</v>
      </c>
      <c r="I734" s="3">
        <v>2</v>
      </c>
      <c r="J734" s="3" t="s">
        <v>542</v>
      </c>
      <c r="K734" s="3">
        <v>3390</v>
      </c>
      <c r="L734" s="3" t="s">
        <v>829</v>
      </c>
      <c r="M734" s="3">
        <v>65</v>
      </c>
      <c r="N734" s="3">
        <v>80</v>
      </c>
      <c r="O734" s="3">
        <v>165</v>
      </c>
      <c r="P734" s="3" t="s">
        <v>33</v>
      </c>
      <c r="Q734" s="3" t="s">
        <v>26</v>
      </c>
      <c r="S734" s="3" t="s">
        <v>664</v>
      </c>
      <c r="T734" s="3" t="s">
        <v>217</v>
      </c>
      <c r="U734" s="3">
        <v>7</v>
      </c>
      <c r="V734" s="3">
        <v>1</v>
      </c>
      <c r="W734" s="3" t="s">
        <v>34</v>
      </c>
      <c r="X734" s="3" t="s">
        <v>58</v>
      </c>
      <c r="Y734" s="3">
        <v>7</v>
      </c>
      <c r="Z734" s="3">
        <v>1</v>
      </c>
      <c r="AA734" s="3" t="s">
        <v>49</v>
      </c>
      <c r="AB734" s="3" t="s">
        <v>29</v>
      </c>
      <c r="AC734" s="3" t="s">
        <v>664</v>
      </c>
      <c r="AD734" s="3" t="s">
        <v>30</v>
      </c>
      <c r="AE734" s="3" t="s">
        <v>38</v>
      </c>
      <c r="AF734" s="3" t="s">
        <v>664</v>
      </c>
      <c r="AG734" s="3" t="s">
        <v>39</v>
      </c>
    </row>
    <row r="735" spans="1:33">
      <c r="A735" s="1">
        <v>45214.923459155092</v>
      </c>
      <c r="B735" s="3" t="s">
        <v>1024</v>
      </c>
      <c r="C735" s="2">
        <v>31762</v>
      </c>
      <c r="D735" s="3">
        <v>36</v>
      </c>
      <c r="E735" s="3" t="s">
        <v>510</v>
      </c>
      <c r="F735" s="3" t="s">
        <v>534</v>
      </c>
      <c r="G735" s="3" t="s">
        <v>539</v>
      </c>
      <c r="H735" s="2">
        <v>44565</v>
      </c>
      <c r="I735" s="3">
        <v>2</v>
      </c>
      <c r="J735" s="3" t="s">
        <v>542</v>
      </c>
      <c r="K735" s="3">
        <v>3290</v>
      </c>
      <c r="L735" s="3" t="s">
        <v>830</v>
      </c>
      <c r="M735" s="3">
        <v>58</v>
      </c>
      <c r="N735" s="3">
        <v>66</v>
      </c>
      <c r="O735" s="3">
        <v>1.6</v>
      </c>
      <c r="P735" s="3" t="s">
        <v>33</v>
      </c>
      <c r="Q735" s="3" t="s">
        <v>26</v>
      </c>
      <c r="S735" s="3" t="s">
        <v>664</v>
      </c>
      <c r="T735" s="3" t="s">
        <v>79</v>
      </c>
      <c r="U735" s="3">
        <v>7</v>
      </c>
      <c r="V735" s="3">
        <v>1</v>
      </c>
      <c r="W735" s="3" t="s">
        <v>34</v>
      </c>
      <c r="X735" s="3" t="s">
        <v>97</v>
      </c>
      <c r="Y735" s="3">
        <v>3</v>
      </c>
      <c r="Z735" s="3">
        <v>1</v>
      </c>
      <c r="AA735" s="3" t="s">
        <v>28</v>
      </c>
      <c r="AB735" s="3" t="s">
        <v>29</v>
      </c>
      <c r="AC735" s="3" t="s">
        <v>664</v>
      </c>
      <c r="AD735" s="3" t="s">
        <v>458</v>
      </c>
      <c r="AE735" s="3" t="s">
        <v>38</v>
      </c>
      <c r="AF735" s="3" t="s">
        <v>664</v>
      </c>
      <c r="AG735" s="3" t="s">
        <v>32</v>
      </c>
    </row>
    <row r="736" spans="1:33">
      <c r="A736" s="1">
        <v>45214.925409189818</v>
      </c>
      <c r="B736" s="3" t="s">
        <v>1024</v>
      </c>
      <c r="C736" s="2">
        <v>35138</v>
      </c>
      <c r="D736" s="3">
        <v>27</v>
      </c>
      <c r="E736" s="3" t="s">
        <v>510</v>
      </c>
      <c r="F736" s="3" t="s">
        <v>520</v>
      </c>
      <c r="G736" s="3" t="s">
        <v>539</v>
      </c>
      <c r="H736" s="2">
        <v>44851</v>
      </c>
      <c r="I736" s="3">
        <v>1</v>
      </c>
      <c r="J736" s="3" t="s">
        <v>542</v>
      </c>
      <c r="K736" s="3" t="s">
        <v>1196</v>
      </c>
      <c r="L736" s="3" t="s">
        <v>1381</v>
      </c>
      <c r="M736" s="3">
        <v>72</v>
      </c>
      <c r="N736" s="3">
        <v>88</v>
      </c>
      <c r="O736" s="3">
        <v>156</v>
      </c>
      <c r="P736" s="3" t="s">
        <v>44</v>
      </c>
      <c r="Q736" s="3" t="s">
        <v>26</v>
      </c>
      <c r="S736" s="3" t="s">
        <v>664</v>
      </c>
      <c r="T736" s="3" t="s">
        <v>459</v>
      </c>
      <c r="U736" s="3">
        <v>7</v>
      </c>
      <c r="V736" s="3">
        <v>1</v>
      </c>
      <c r="W736" s="3" t="s">
        <v>26</v>
      </c>
      <c r="AA736" s="3" t="s">
        <v>42</v>
      </c>
      <c r="AB736" s="3" t="s">
        <v>29</v>
      </c>
      <c r="AC736" s="3" t="s">
        <v>664</v>
      </c>
      <c r="AD736" s="3" t="s">
        <v>55</v>
      </c>
      <c r="AE736" s="3" t="s">
        <v>31</v>
      </c>
      <c r="AF736" s="3" t="s">
        <v>664</v>
      </c>
      <c r="AG736" s="3" t="s">
        <v>39</v>
      </c>
    </row>
    <row r="737" spans="1:33">
      <c r="A737" s="1">
        <v>45214.925778425924</v>
      </c>
      <c r="B737" s="3" t="s">
        <v>1024</v>
      </c>
      <c r="C737" s="2">
        <v>32679</v>
      </c>
      <c r="D737" s="3">
        <v>34</v>
      </c>
      <c r="E737" s="3" t="s">
        <v>510</v>
      </c>
      <c r="F737" s="3" t="s">
        <v>520</v>
      </c>
      <c r="G737" s="3" t="s">
        <v>539</v>
      </c>
      <c r="H737" s="2">
        <v>44820</v>
      </c>
      <c r="I737" s="3">
        <v>1</v>
      </c>
      <c r="J737" s="3" t="s">
        <v>541</v>
      </c>
      <c r="K737" s="3">
        <v>3380</v>
      </c>
      <c r="L737" s="3" t="s">
        <v>831</v>
      </c>
      <c r="M737" s="3">
        <v>86</v>
      </c>
      <c r="N737" s="3">
        <v>92</v>
      </c>
      <c r="O737" s="3">
        <v>165</v>
      </c>
      <c r="P737" s="3" t="s">
        <v>33</v>
      </c>
      <c r="Q737" s="3" t="s">
        <v>26</v>
      </c>
      <c r="S737" s="3" t="s">
        <v>664</v>
      </c>
      <c r="T737" s="3" t="s">
        <v>460</v>
      </c>
      <c r="U737" s="3">
        <v>7</v>
      </c>
      <c r="V737" s="3">
        <v>1</v>
      </c>
      <c r="W737" s="3" t="s">
        <v>34</v>
      </c>
      <c r="X737" s="3" t="s">
        <v>58</v>
      </c>
      <c r="Y737" s="3">
        <v>7</v>
      </c>
      <c r="Z737" s="3">
        <v>1</v>
      </c>
      <c r="AA737" s="3" t="s">
        <v>54</v>
      </c>
      <c r="AB737" s="3" t="s">
        <v>29</v>
      </c>
      <c r="AC737" s="3" t="s">
        <v>664</v>
      </c>
      <c r="AD737" s="3" t="s">
        <v>30</v>
      </c>
      <c r="AE737" s="3" t="s">
        <v>38</v>
      </c>
      <c r="AF737" s="3" t="s">
        <v>664</v>
      </c>
      <c r="AG737" s="3" t="s">
        <v>62</v>
      </c>
    </row>
    <row r="738" spans="1:33">
      <c r="A738" s="1">
        <v>45214.926595162033</v>
      </c>
      <c r="B738" s="3" t="s">
        <v>1024</v>
      </c>
      <c r="C738" s="2">
        <v>31725</v>
      </c>
      <c r="D738" s="3">
        <v>36</v>
      </c>
      <c r="E738" s="3" t="s">
        <v>510</v>
      </c>
      <c r="F738" s="3" t="s">
        <v>529</v>
      </c>
      <c r="G738" s="3" t="s">
        <v>540</v>
      </c>
      <c r="H738" s="2">
        <v>44636</v>
      </c>
      <c r="I738" s="3">
        <v>2</v>
      </c>
      <c r="J738" s="3" t="s">
        <v>542</v>
      </c>
      <c r="K738" s="3">
        <v>3160</v>
      </c>
      <c r="L738" s="3" t="s">
        <v>622</v>
      </c>
      <c r="M738" s="3">
        <v>57</v>
      </c>
      <c r="N738" s="3">
        <v>70</v>
      </c>
      <c r="O738" s="3">
        <v>156</v>
      </c>
      <c r="P738" s="3" t="s">
        <v>33</v>
      </c>
      <c r="Q738" s="3" t="s">
        <v>26</v>
      </c>
      <c r="S738" s="3" t="s">
        <v>664</v>
      </c>
      <c r="T738" s="3" t="s">
        <v>217</v>
      </c>
      <c r="U738" s="3">
        <v>7</v>
      </c>
      <c r="V738" s="3">
        <v>1</v>
      </c>
      <c r="W738" s="3" t="s">
        <v>34</v>
      </c>
      <c r="X738" s="3" t="s">
        <v>461</v>
      </c>
      <c r="Y738" s="3">
        <v>7</v>
      </c>
      <c r="Z738" s="3">
        <v>1</v>
      </c>
      <c r="AA738" s="3" t="s">
        <v>42</v>
      </c>
      <c r="AB738" s="3" t="s">
        <v>83</v>
      </c>
      <c r="AC738" s="3" t="s">
        <v>664</v>
      </c>
      <c r="AD738" s="3" t="s">
        <v>55</v>
      </c>
      <c r="AE738" s="3" t="s">
        <v>38</v>
      </c>
      <c r="AF738" s="3" t="s">
        <v>664</v>
      </c>
      <c r="AG738" s="3" t="s">
        <v>39</v>
      </c>
    </row>
    <row r="739" spans="1:33">
      <c r="A739" s="1">
        <v>45214.931972280094</v>
      </c>
      <c r="B739" s="3" t="s">
        <v>1024</v>
      </c>
      <c r="C739" s="2">
        <v>33072</v>
      </c>
      <c r="D739" s="3">
        <v>33</v>
      </c>
      <c r="E739" s="3" t="s">
        <v>510</v>
      </c>
      <c r="F739" s="3" t="s">
        <v>527</v>
      </c>
      <c r="G739" s="3" t="s">
        <v>540</v>
      </c>
      <c r="H739" s="2">
        <v>44640</v>
      </c>
      <c r="I739" s="3">
        <v>1</v>
      </c>
      <c r="J739" s="3" t="s">
        <v>542</v>
      </c>
      <c r="K739" s="3">
        <v>3650</v>
      </c>
      <c r="L739" s="3" t="s">
        <v>719</v>
      </c>
      <c r="M739" s="3" t="s">
        <v>1382</v>
      </c>
      <c r="N739" s="3" t="s">
        <v>1319</v>
      </c>
      <c r="O739" s="3">
        <v>169</v>
      </c>
      <c r="P739" s="3" t="s">
        <v>33</v>
      </c>
      <c r="Q739" s="3" t="s">
        <v>26</v>
      </c>
      <c r="S739" s="3" t="s">
        <v>664</v>
      </c>
      <c r="T739" s="3" t="s">
        <v>200</v>
      </c>
      <c r="U739" s="3">
        <v>7</v>
      </c>
      <c r="V739" s="3">
        <v>1</v>
      </c>
      <c r="W739" s="3" t="s">
        <v>26</v>
      </c>
      <c r="AA739" s="3" t="s">
        <v>42</v>
      </c>
      <c r="AB739" s="3" t="s">
        <v>29</v>
      </c>
      <c r="AC739" s="3" t="s">
        <v>664</v>
      </c>
      <c r="AD739" s="3" t="s">
        <v>37</v>
      </c>
      <c r="AE739" s="3" t="s">
        <v>38</v>
      </c>
      <c r="AF739" s="3" t="s">
        <v>664</v>
      </c>
      <c r="AG739" s="3" t="s">
        <v>39</v>
      </c>
    </row>
    <row r="740" spans="1:33">
      <c r="A740" s="1">
        <v>45214.933534895834</v>
      </c>
      <c r="B740" s="3" t="s">
        <v>1024</v>
      </c>
      <c r="C740" s="2">
        <v>33191</v>
      </c>
      <c r="D740" s="3">
        <v>32</v>
      </c>
      <c r="E740" s="3" t="s">
        <v>510</v>
      </c>
      <c r="F740" s="3" t="s">
        <v>521</v>
      </c>
      <c r="G740" s="3" t="s">
        <v>539</v>
      </c>
      <c r="H740" s="2">
        <v>43107</v>
      </c>
      <c r="I740" s="3">
        <v>2</v>
      </c>
      <c r="J740" s="3" t="s">
        <v>541</v>
      </c>
      <c r="K740" s="3">
        <v>3090</v>
      </c>
      <c r="L740" s="3" t="s">
        <v>652</v>
      </c>
      <c r="M740" s="3">
        <v>62</v>
      </c>
      <c r="N740" s="3">
        <v>75</v>
      </c>
      <c r="O740" s="3">
        <v>150</v>
      </c>
      <c r="P740" s="3" t="s">
        <v>33</v>
      </c>
      <c r="Q740" s="3" t="s">
        <v>26</v>
      </c>
      <c r="S740" s="3" t="s">
        <v>664</v>
      </c>
      <c r="T740" s="3" t="s">
        <v>41</v>
      </c>
      <c r="U740" s="3">
        <v>7</v>
      </c>
      <c r="V740" s="3">
        <v>1</v>
      </c>
      <c r="W740" s="3" t="s">
        <v>26</v>
      </c>
      <c r="AA740" s="3" t="s">
        <v>42</v>
      </c>
      <c r="AB740" s="3" t="s">
        <v>29</v>
      </c>
      <c r="AC740" s="3" t="s">
        <v>664</v>
      </c>
      <c r="AD740" s="3" t="s">
        <v>55</v>
      </c>
      <c r="AE740" s="3" t="s">
        <v>72</v>
      </c>
      <c r="AF740" s="3" t="s">
        <v>664</v>
      </c>
      <c r="AG740" s="3" t="s">
        <v>32</v>
      </c>
    </row>
    <row r="741" spans="1:33">
      <c r="A741" s="1">
        <v>45214.937252777774</v>
      </c>
      <c r="B741" s="3" t="s">
        <v>1024</v>
      </c>
      <c r="C741" s="2">
        <v>34246</v>
      </c>
      <c r="D741" s="3">
        <v>30</v>
      </c>
      <c r="E741" s="3" t="s">
        <v>510</v>
      </c>
      <c r="F741" s="3" t="s">
        <v>529</v>
      </c>
      <c r="G741" s="3" t="s">
        <v>540</v>
      </c>
      <c r="H741" s="2">
        <v>43631</v>
      </c>
      <c r="I741" s="3">
        <v>2</v>
      </c>
      <c r="J741" s="3" t="s">
        <v>541</v>
      </c>
      <c r="K741" s="3">
        <v>2850</v>
      </c>
      <c r="L741" s="3" t="s">
        <v>636</v>
      </c>
      <c r="M741" s="3">
        <v>66</v>
      </c>
      <c r="N741" s="3">
        <v>81</v>
      </c>
      <c r="O741" s="3">
        <v>162</v>
      </c>
      <c r="P741" s="3" t="s">
        <v>33</v>
      </c>
      <c r="Q741" s="3" t="s">
        <v>26</v>
      </c>
      <c r="S741" s="3" t="s">
        <v>664</v>
      </c>
      <c r="T741" s="3" t="s">
        <v>43</v>
      </c>
      <c r="U741" s="3">
        <v>7</v>
      </c>
      <c r="V741" s="3">
        <v>1</v>
      </c>
      <c r="W741" s="3" t="s">
        <v>26</v>
      </c>
      <c r="AA741" s="3" t="s">
        <v>28</v>
      </c>
      <c r="AB741" s="3" t="s">
        <v>29</v>
      </c>
      <c r="AC741" s="3" t="s">
        <v>664</v>
      </c>
      <c r="AD741" s="3" t="s">
        <v>30</v>
      </c>
      <c r="AE741" s="3" t="s">
        <v>38</v>
      </c>
      <c r="AF741" s="3" t="s">
        <v>664</v>
      </c>
      <c r="AG741" s="3" t="s">
        <v>39</v>
      </c>
    </row>
    <row r="742" spans="1:33">
      <c r="A742" s="1">
        <v>45214.937404178243</v>
      </c>
      <c r="B742" s="3" t="s">
        <v>1024</v>
      </c>
      <c r="C742" s="2">
        <v>32729</v>
      </c>
      <c r="D742" s="3">
        <v>34</v>
      </c>
      <c r="E742" s="3" t="s">
        <v>510</v>
      </c>
      <c r="F742" s="3" t="s">
        <v>523</v>
      </c>
      <c r="G742" s="3" t="s">
        <v>538</v>
      </c>
      <c r="H742" s="2">
        <v>44410</v>
      </c>
      <c r="I742" s="3">
        <v>1</v>
      </c>
      <c r="J742" s="3" t="s">
        <v>542</v>
      </c>
      <c r="K742" s="3">
        <v>3420</v>
      </c>
      <c r="L742" s="3" t="s">
        <v>661</v>
      </c>
      <c r="M742" s="3">
        <v>70</v>
      </c>
      <c r="N742" s="3">
        <v>81</v>
      </c>
      <c r="O742" s="3">
        <v>164</v>
      </c>
      <c r="P742" s="3" t="s">
        <v>33</v>
      </c>
      <c r="Q742" s="3" t="s">
        <v>26</v>
      </c>
      <c r="S742" s="3" t="s">
        <v>664</v>
      </c>
      <c r="T742" s="3" t="s">
        <v>41</v>
      </c>
      <c r="U742" s="3">
        <v>7</v>
      </c>
      <c r="V742" s="3">
        <v>1</v>
      </c>
      <c r="W742" s="3" t="s">
        <v>26</v>
      </c>
      <c r="AA742" s="3" t="s">
        <v>36</v>
      </c>
      <c r="AB742" s="3" t="s">
        <v>29</v>
      </c>
      <c r="AC742" s="3" t="s">
        <v>664</v>
      </c>
      <c r="AD742" s="3" t="s">
        <v>37</v>
      </c>
      <c r="AE742" s="3" t="s">
        <v>31</v>
      </c>
      <c r="AF742" s="3" t="s">
        <v>664</v>
      </c>
      <c r="AG742" s="3" t="s">
        <v>32</v>
      </c>
    </row>
    <row r="743" spans="1:33">
      <c r="A743" s="1">
        <v>45214.93843991898</v>
      </c>
      <c r="B743" s="3" t="s">
        <v>1024</v>
      </c>
      <c r="C743" s="2">
        <v>31429</v>
      </c>
      <c r="D743" s="3">
        <v>37</v>
      </c>
      <c r="E743" s="3" t="s">
        <v>510</v>
      </c>
      <c r="F743" s="3" t="s">
        <v>520</v>
      </c>
      <c r="G743" s="3" t="s">
        <v>538</v>
      </c>
      <c r="H743" s="2">
        <v>44875</v>
      </c>
      <c r="I743" s="3">
        <v>4</v>
      </c>
      <c r="J743" s="3" t="s">
        <v>541</v>
      </c>
      <c r="K743" s="3">
        <v>3200</v>
      </c>
      <c r="L743" s="3" t="s">
        <v>616</v>
      </c>
      <c r="M743" s="3" t="s">
        <v>1383</v>
      </c>
      <c r="N743" s="3" t="s">
        <v>1384</v>
      </c>
      <c r="O743" s="3">
        <v>160</v>
      </c>
      <c r="P743" s="3" t="s">
        <v>50</v>
      </c>
      <c r="Q743" s="3" t="s">
        <v>26</v>
      </c>
      <c r="S743" s="3" t="s">
        <v>664</v>
      </c>
      <c r="T743" s="3" t="s">
        <v>79</v>
      </c>
      <c r="U743" s="3">
        <v>7</v>
      </c>
      <c r="V743" s="3">
        <v>1</v>
      </c>
      <c r="W743" s="3" t="s">
        <v>26</v>
      </c>
      <c r="AA743" s="3" t="s">
        <v>54</v>
      </c>
      <c r="AB743" s="3" t="s">
        <v>29</v>
      </c>
      <c r="AC743" s="3" t="s">
        <v>664</v>
      </c>
      <c r="AD743" s="3" t="s">
        <v>30</v>
      </c>
      <c r="AE743" s="3" t="s">
        <v>60</v>
      </c>
      <c r="AF743" s="3" t="s">
        <v>664</v>
      </c>
      <c r="AG743" s="3" t="s">
        <v>39</v>
      </c>
    </row>
    <row r="744" spans="1:33">
      <c r="A744" s="1">
        <v>45214.938491134264</v>
      </c>
      <c r="B744" s="3" t="s">
        <v>1024</v>
      </c>
      <c r="C744" s="2">
        <v>34936</v>
      </c>
      <c r="D744" s="3">
        <v>28</v>
      </c>
      <c r="E744" s="3" t="s">
        <v>510</v>
      </c>
      <c r="F744" s="3" t="s">
        <v>520</v>
      </c>
      <c r="G744" s="3" t="s">
        <v>537</v>
      </c>
      <c r="H744" s="2">
        <v>44832</v>
      </c>
      <c r="I744" s="3">
        <v>1</v>
      </c>
      <c r="J744" s="3" t="s">
        <v>541</v>
      </c>
      <c r="K744" s="3">
        <v>3890</v>
      </c>
      <c r="L744" s="3" t="s">
        <v>832</v>
      </c>
      <c r="M744" s="3">
        <v>73</v>
      </c>
      <c r="N744" s="3">
        <v>80</v>
      </c>
      <c r="O744" s="3">
        <v>156</v>
      </c>
      <c r="P744" s="3" t="s">
        <v>33</v>
      </c>
      <c r="Q744" s="3" t="s">
        <v>26</v>
      </c>
      <c r="S744" s="3" t="s">
        <v>664</v>
      </c>
      <c r="T744" s="3" t="s">
        <v>57</v>
      </c>
      <c r="U744" s="3">
        <v>7</v>
      </c>
      <c r="V744" s="3">
        <v>1</v>
      </c>
      <c r="W744" s="3" t="s">
        <v>26</v>
      </c>
      <c r="AA744" s="3" t="s">
        <v>28</v>
      </c>
      <c r="AB744" s="3" t="s">
        <v>29</v>
      </c>
      <c r="AC744" s="3" t="s">
        <v>664</v>
      </c>
      <c r="AD744" s="3" t="s">
        <v>55</v>
      </c>
      <c r="AE744" s="3" t="s">
        <v>31</v>
      </c>
      <c r="AF744" s="3" t="s">
        <v>664</v>
      </c>
      <c r="AG744" s="3" t="s">
        <v>48</v>
      </c>
    </row>
    <row r="745" spans="1:33">
      <c r="A745" s="1">
        <v>45214.94107325231</v>
      </c>
      <c r="B745" s="3" t="s">
        <v>1024</v>
      </c>
      <c r="C745" s="2">
        <v>34030</v>
      </c>
      <c r="D745" s="3">
        <v>30</v>
      </c>
      <c r="E745" s="3" t="s">
        <v>510</v>
      </c>
      <c r="F745" s="3" t="s">
        <v>523</v>
      </c>
      <c r="G745" s="3" t="s">
        <v>538</v>
      </c>
      <c r="H745" s="2">
        <v>44418</v>
      </c>
      <c r="I745" s="3">
        <v>2</v>
      </c>
      <c r="J745" s="3" t="s">
        <v>541</v>
      </c>
      <c r="K745" s="3">
        <v>3350</v>
      </c>
      <c r="L745" s="3">
        <v>38</v>
      </c>
      <c r="M745" s="3">
        <v>70</v>
      </c>
      <c r="N745" s="3">
        <v>71</v>
      </c>
      <c r="O745" s="3">
        <v>160</v>
      </c>
      <c r="P745" s="3" t="s">
        <v>33</v>
      </c>
      <c r="Q745" s="3" t="s">
        <v>26</v>
      </c>
      <c r="S745" s="3" t="s">
        <v>664</v>
      </c>
      <c r="T745" s="3" t="s">
        <v>79</v>
      </c>
      <c r="U745" s="3">
        <v>7</v>
      </c>
      <c r="V745" s="3">
        <v>1</v>
      </c>
      <c r="W745" s="3" t="s">
        <v>26</v>
      </c>
      <c r="AA745" s="3" t="s">
        <v>49</v>
      </c>
      <c r="AB745" s="3" t="s">
        <v>29</v>
      </c>
      <c r="AC745" s="3" t="s">
        <v>664</v>
      </c>
      <c r="AD745" s="3" t="s">
        <v>55</v>
      </c>
      <c r="AE745" s="3" t="s">
        <v>31</v>
      </c>
      <c r="AF745" s="3" t="s">
        <v>664</v>
      </c>
      <c r="AG745" s="3" t="s">
        <v>32</v>
      </c>
    </row>
    <row r="746" spans="1:33">
      <c r="A746" s="1">
        <v>45214.944710821757</v>
      </c>
      <c r="B746" s="3" t="s">
        <v>1024</v>
      </c>
      <c r="C746" s="2">
        <v>33570</v>
      </c>
      <c r="D746" s="3">
        <v>31</v>
      </c>
      <c r="E746" s="3" t="s">
        <v>510</v>
      </c>
      <c r="F746" s="3" t="s">
        <v>532</v>
      </c>
      <c r="G746" s="3" t="s">
        <v>539</v>
      </c>
      <c r="H746" s="2">
        <v>43950</v>
      </c>
      <c r="I746" s="3">
        <v>2</v>
      </c>
      <c r="J746" s="3" t="s">
        <v>542</v>
      </c>
      <c r="K746" s="3">
        <v>2975</v>
      </c>
      <c r="L746" s="3">
        <v>39</v>
      </c>
      <c r="M746" s="3">
        <v>50</v>
      </c>
      <c r="N746" s="3">
        <v>62</v>
      </c>
      <c r="O746" s="3">
        <v>158</v>
      </c>
      <c r="P746" s="3" t="s">
        <v>44</v>
      </c>
      <c r="Q746" s="3" t="s">
        <v>26</v>
      </c>
      <c r="S746" s="3" t="s">
        <v>664</v>
      </c>
      <c r="T746" s="3" t="s">
        <v>57</v>
      </c>
      <c r="U746" s="3">
        <v>7</v>
      </c>
      <c r="V746" s="3">
        <v>1</v>
      </c>
      <c r="W746" s="3" t="s">
        <v>34</v>
      </c>
      <c r="X746" s="3" t="s">
        <v>462</v>
      </c>
      <c r="Y746" s="3">
        <v>7</v>
      </c>
      <c r="Z746" s="3">
        <v>1</v>
      </c>
      <c r="AA746" s="3" t="s">
        <v>49</v>
      </c>
      <c r="AB746" s="3" t="s">
        <v>463</v>
      </c>
      <c r="AC746" s="3" t="s">
        <v>664</v>
      </c>
      <c r="AD746" s="3" t="s">
        <v>30</v>
      </c>
      <c r="AE746" s="3" t="s">
        <v>87</v>
      </c>
      <c r="AF746" s="3" t="s">
        <v>664</v>
      </c>
      <c r="AG746" s="3" t="s">
        <v>62</v>
      </c>
    </row>
    <row r="747" spans="1:33">
      <c r="A747" s="1">
        <v>45214.952950243052</v>
      </c>
      <c r="B747" s="3" t="s">
        <v>1024</v>
      </c>
      <c r="C747" s="2">
        <v>30946</v>
      </c>
      <c r="D747" s="3">
        <v>39</v>
      </c>
      <c r="E747" s="3" t="s">
        <v>519</v>
      </c>
      <c r="F747" s="3" t="s">
        <v>520</v>
      </c>
      <c r="G747" s="3" t="s">
        <v>539</v>
      </c>
      <c r="H747" s="2">
        <v>43351</v>
      </c>
      <c r="I747" s="3">
        <v>1</v>
      </c>
      <c r="J747" s="3" t="s">
        <v>542</v>
      </c>
      <c r="K747" s="3">
        <v>2340</v>
      </c>
      <c r="L747" s="3" t="s">
        <v>693</v>
      </c>
      <c r="M747" s="3">
        <v>58</v>
      </c>
      <c r="N747" s="3">
        <v>62</v>
      </c>
      <c r="O747" s="3">
        <v>156</v>
      </c>
      <c r="P747" s="3" t="s">
        <v>127</v>
      </c>
      <c r="Q747" s="3" t="s">
        <v>34</v>
      </c>
      <c r="R747" s="3" t="s">
        <v>457</v>
      </c>
      <c r="S747" s="3" t="s">
        <v>664</v>
      </c>
      <c r="T747" s="3" t="s">
        <v>79</v>
      </c>
      <c r="U747" s="3">
        <v>1</v>
      </c>
      <c r="V747" s="3">
        <v>1</v>
      </c>
      <c r="W747" s="3" t="s">
        <v>26</v>
      </c>
      <c r="AA747" s="3" t="s">
        <v>49</v>
      </c>
      <c r="AB747" s="3" t="s">
        <v>29</v>
      </c>
      <c r="AC747" s="3" t="s">
        <v>664</v>
      </c>
      <c r="AD747" s="3" t="s">
        <v>59</v>
      </c>
      <c r="AE747" s="3" t="s">
        <v>31</v>
      </c>
      <c r="AF747" s="3" t="s">
        <v>664</v>
      </c>
      <c r="AG747" s="3" t="s">
        <v>39</v>
      </c>
    </row>
    <row r="748" spans="1:33">
      <c r="A748" s="1">
        <v>45214.954828020833</v>
      </c>
      <c r="B748" s="3" t="s">
        <v>1024</v>
      </c>
      <c r="C748" s="2">
        <v>32291</v>
      </c>
      <c r="D748" s="3">
        <v>35</v>
      </c>
      <c r="E748" s="3" t="s">
        <v>510</v>
      </c>
      <c r="F748" s="3" t="s">
        <v>520</v>
      </c>
      <c r="G748" s="3" t="s">
        <v>540</v>
      </c>
      <c r="H748" s="2">
        <v>43516</v>
      </c>
      <c r="I748" s="3">
        <v>1</v>
      </c>
      <c r="J748" s="3" t="s">
        <v>541</v>
      </c>
      <c r="K748" s="3">
        <v>2560</v>
      </c>
      <c r="L748" s="3" t="s">
        <v>724</v>
      </c>
      <c r="M748" s="3">
        <v>55</v>
      </c>
      <c r="N748" s="3">
        <v>64</v>
      </c>
      <c r="O748" s="3">
        <v>150</v>
      </c>
      <c r="P748" s="3" t="s">
        <v>50</v>
      </c>
      <c r="Q748" s="3" t="s">
        <v>34</v>
      </c>
      <c r="R748" s="3" t="s">
        <v>386</v>
      </c>
      <c r="S748" s="3" t="s">
        <v>664</v>
      </c>
      <c r="T748" s="3" t="s">
        <v>56</v>
      </c>
      <c r="U748" s="3">
        <v>7</v>
      </c>
      <c r="V748" s="3">
        <v>1</v>
      </c>
      <c r="W748" s="3" t="s">
        <v>34</v>
      </c>
      <c r="X748" s="3" t="s">
        <v>689</v>
      </c>
      <c r="Y748" s="3">
        <v>7</v>
      </c>
      <c r="Z748" s="3">
        <v>1</v>
      </c>
      <c r="AA748" s="3" t="s">
        <v>28</v>
      </c>
      <c r="AB748" s="3" t="s">
        <v>560</v>
      </c>
      <c r="AC748" s="3" t="s">
        <v>664</v>
      </c>
      <c r="AD748" s="3" t="s">
        <v>37</v>
      </c>
      <c r="AE748" s="3" t="s">
        <v>38</v>
      </c>
      <c r="AF748" s="3" t="s">
        <v>664</v>
      </c>
      <c r="AG748" s="3" t="s">
        <v>39</v>
      </c>
    </row>
    <row r="749" spans="1:33">
      <c r="A749" s="1">
        <v>45214.958605509259</v>
      </c>
      <c r="B749" s="3" t="s">
        <v>1024</v>
      </c>
      <c r="C749" s="2">
        <v>31001</v>
      </c>
      <c r="D749" s="3">
        <v>38</v>
      </c>
      <c r="E749" s="3" t="s">
        <v>510</v>
      </c>
      <c r="F749" s="3" t="s">
        <v>520</v>
      </c>
      <c r="G749" s="3" t="s">
        <v>540</v>
      </c>
      <c r="H749" s="2">
        <v>43657</v>
      </c>
      <c r="I749" s="3">
        <v>1</v>
      </c>
      <c r="J749" s="3" t="s">
        <v>542</v>
      </c>
      <c r="K749" s="3" t="s">
        <v>1385</v>
      </c>
      <c r="L749" s="3" t="s">
        <v>833</v>
      </c>
      <c r="M749" s="3" t="s">
        <v>1386</v>
      </c>
      <c r="N749" s="3" t="s">
        <v>1387</v>
      </c>
      <c r="O749" s="3">
        <v>157</v>
      </c>
      <c r="P749" s="3" t="s">
        <v>33</v>
      </c>
      <c r="Q749" s="3" t="s">
        <v>26</v>
      </c>
      <c r="S749" s="3" t="s">
        <v>664</v>
      </c>
      <c r="T749" s="3" t="s">
        <v>43</v>
      </c>
      <c r="U749" s="3">
        <v>7</v>
      </c>
      <c r="V749" s="3">
        <v>1</v>
      </c>
      <c r="W749" s="3" t="s">
        <v>34</v>
      </c>
      <c r="X749" s="3" t="s">
        <v>334</v>
      </c>
      <c r="Y749" s="3">
        <v>7</v>
      </c>
      <c r="Z749" s="3">
        <v>2</v>
      </c>
      <c r="AA749" s="3" t="s">
        <v>28</v>
      </c>
      <c r="AB749" s="3" t="s">
        <v>464</v>
      </c>
      <c r="AC749" s="3" t="s">
        <v>664</v>
      </c>
      <c r="AD749" s="3" t="s">
        <v>37</v>
      </c>
      <c r="AE749" s="3" t="s">
        <v>31</v>
      </c>
      <c r="AF749" s="3" t="s">
        <v>664</v>
      </c>
      <c r="AG749" s="3" t="s">
        <v>32</v>
      </c>
    </row>
    <row r="750" spans="1:33">
      <c r="A750" s="1">
        <v>45214.966894571757</v>
      </c>
      <c r="B750" s="3" t="s">
        <v>1024</v>
      </c>
      <c r="C750" s="2">
        <v>31786</v>
      </c>
      <c r="D750" s="3">
        <v>36</v>
      </c>
      <c r="E750" s="3" t="s">
        <v>510</v>
      </c>
      <c r="F750" s="3" t="s">
        <v>530</v>
      </c>
      <c r="G750" s="3" t="s">
        <v>539</v>
      </c>
      <c r="H750" s="2">
        <v>43598</v>
      </c>
      <c r="I750" s="3">
        <v>2</v>
      </c>
      <c r="J750" s="3" t="s">
        <v>542</v>
      </c>
      <c r="K750" s="3">
        <v>3360</v>
      </c>
      <c r="L750" s="3" t="s">
        <v>765</v>
      </c>
      <c r="M750" s="3">
        <v>76</v>
      </c>
      <c r="N750" s="3">
        <v>84</v>
      </c>
      <c r="O750" s="3">
        <v>160</v>
      </c>
      <c r="P750" s="3" t="s">
        <v>33</v>
      </c>
      <c r="Q750" s="3" t="s">
        <v>26</v>
      </c>
      <c r="S750" s="3" t="s">
        <v>664</v>
      </c>
      <c r="T750" s="3" t="s">
        <v>57</v>
      </c>
      <c r="U750" s="3">
        <v>7</v>
      </c>
      <c r="V750" s="3">
        <v>1</v>
      </c>
      <c r="W750" s="3" t="s">
        <v>34</v>
      </c>
      <c r="X750" s="3" t="s">
        <v>465</v>
      </c>
      <c r="Y750" s="3">
        <v>7</v>
      </c>
      <c r="Z750" s="3">
        <v>1</v>
      </c>
      <c r="AA750" s="3" t="s">
        <v>28</v>
      </c>
      <c r="AB750" s="3" t="s">
        <v>29</v>
      </c>
      <c r="AC750" s="3" t="s">
        <v>664</v>
      </c>
      <c r="AD750" s="3" t="s">
        <v>30</v>
      </c>
      <c r="AE750" s="3" t="s">
        <v>31</v>
      </c>
      <c r="AF750" s="3" t="s">
        <v>664</v>
      </c>
      <c r="AG750" s="3" t="s">
        <v>39</v>
      </c>
    </row>
    <row r="751" spans="1:33">
      <c r="A751" s="1">
        <v>45214.974850289349</v>
      </c>
      <c r="B751" s="3" t="s">
        <v>1024</v>
      </c>
      <c r="C751" s="2">
        <v>45097</v>
      </c>
      <c r="D751" s="3">
        <v>35</v>
      </c>
      <c r="E751" s="3" t="s">
        <v>510</v>
      </c>
      <c r="F751" s="3" t="s">
        <v>520</v>
      </c>
      <c r="G751" s="3" t="s">
        <v>540</v>
      </c>
      <c r="H751" s="2">
        <v>44802</v>
      </c>
      <c r="I751" s="3">
        <v>1</v>
      </c>
      <c r="J751" s="3" t="s">
        <v>542</v>
      </c>
      <c r="K751" s="3">
        <v>3490</v>
      </c>
      <c r="L751" s="3" t="s">
        <v>658</v>
      </c>
      <c r="M751" s="3">
        <v>61.4</v>
      </c>
      <c r="N751" s="3">
        <v>69</v>
      </c>
      <c r="O751" s="3">
        <v>157</v>
      </c>
      <c r="P751" s="3" t="s">
        <v>33</v>
      </c>
      <c r="Q751" s="3" t="s">
        <v>26</v>
      </c>
      <c r="S751" s="3" t="s">
        <v>664</v>
      </c>
      <c r="T751" s="3" t="s">
        <v>314</v>
      </c>
      <c r="U751" s="3">
        <v>7</v>
      </c>
      <c r="V751" s="3">
        <v>1</v>
      </c>
      <c r="W751" s="3" t="s">
        <v>26</v>
      </c>
      <c r="AA751" s="3" t="s">
        <v>42</v>
      </c>
      <c r="AB751" s="3" t="s">
        <v>263</v>
      </c>
      <c r="AC751" s="3" t="s">
        <v>664</v>
      </c>
      <c r="AD751" s="3" t="s">
        <v>30</v>
      </c>
      <c r="AE751" s="3" t="s">
        <v>60</v>
      </c>
      <c r="AF751" s="3" t="s">
        <v>664</v>
      </c>
      <c r="AG751" s="3" t="s">
        <v>39</v>
      </c>
    </row>
    <row r="752" spans="1:33">
      <c r="A752" s="1">
        <v>45214.977525555558</v>
      </c>
      <c r="B752" s="3" t="s">
        <v>1024</v>
      </c>
      <c r="C752" s="2">
        <v>35800</v>
      </c>
      <c r="D752" s="3">
        <v>25</v>
      </c>
      <c r="E752" s="3" t="s">
        <v>510</v>
      </c>
      <c r="F752" s="3" t="s">
        <v>520</v>
      </c>
      <c r="G752" s="3" t="s">
        <v>539</v>
      </c>
      <c r="H752" s="2">
        <v>44926</v>
      </c>
      <c r="I752" s="3">
        <v>2</v>
      </c>
      <c r="J752" s="3" t="s">
        <v>542</v>
      </c>
      <c r="K752" s="3">
        <v>16000</v>
      </c>
      <c r="L752" s="3" t="s">
        <v>834</v>
      </c>
      <c r="M752" s="3">
        <v>58</v>
      </c>
      <c r="N752" s="3">
        <v>62</v>
      </c>
      <c r="O752" s="3">
        <v>158</v>
      </c>
      <c r="P752" s="3" t="s">
        <v>33</v>
      </c>
      <c r="Q752" s="3" t="s">
        <v>26</v>
      </c>
      <c r="S752" s="3" t="s">
        <v>664</v>
      </c>
      <c r="T752" s="3" t="s">
        <v>56</v>
      </c>
      <c r="U752" s="3">
        <v>7</v>
      </c>
      <c r="V752" s="3">
        <v>1</v>
      </c>
      <c r="W752" s="3" t="s">
        <v>34</v>
      </c>
      <c r="X752" s="3" t="s">
        <v>466</v>
      </c>
      <c r="Y752" s="3">
        <v>7</v>
      </c>
      <c r="Z752" s="3">
        <v>1</v>
      </c>
      <c r="AA752" s="3" t="s">
        <v>42</v>
      </c>
      <c r="AB752" s="3" t="s">
        <v>29</v>
      </c>
      <c r="AC752" s="3" t="s">
        <v>664</v>
      </c>
      <c r="AD752" s="3" t="s">
        <v>30</v>
      </c>
      <c r="AE752" s="3" t="s">
        <v>60</v>
      </c>
      <c r="AF752" s="3" t="s">
        <v>664</v>
      </c>
      <c r="AG752" s="3" t="s">
        <v>62</v>
      </c>
    </row>
    <row r="753" spans="1:33">
      <c r="A753" s="1">
        <v>45214.987822395837</v>
      </c>
      <c r="B753" s="3" t="s">
        <v>1024</v>
      </c>
      <c r="C753" s="2">
        <v>32813</v>
      </c>
      <c r="D753" s="3">
        <v>33</v>
      </c>
      <c r="E753" s="3" t="s">
        <v>510</v>
      </c>
      <c r="F753" s="3" t="s">
        <v>520</v>
      </c>
      <c r="G753" s="3" t="s">
        <v>539</v>
      </c>
      <c r="H753" s="2">
        <v>44825</v>
      </c>
      <c r="I753" s="3">
        <v>3</v>
      </c>
      <c r="J753" s="3" t="s">
        <v>541</v>
      </c>
      <c r="K753" s="3">
        <v>2890</v>
      </c>
      <c r="L753" s="3">
        <v>37</v>
      </c>
      <c r="M753" s="3">
        <v>89</v>
      </c>
      <c r="N753" s="3">
        <v>96</v>
      </c>
      <c r="O753" s="3">
        <v>166</v>
      </c>
      <c r="P753" s="3" t="s">
        <v>25</v>
      </c>
      <c r="Q753" s="3" t="s">
        <v>34</v>
      </c>
      <c r="R753" s="3" t="s">
        <v>467</v>
      </c>
      <c r="S753" s="3" t="s">
        <v>664</v>
      </c>
      <c r="T753" s="3" t="s">
        <v>79</v>
      </c>
      <c r="U753" s="3">
        <v>7</v>
      </c>
      <c r="V753" s="3">
        <v>1</v>
      </c>
      <c r="W753" s="3" t="s">
        <v>26</v>
      </c>
      <c r="AA753" s="3" t="s">
        <v>42</v>
      </c>
      <c r="AB753" s="3" t="s">
        <v>29</v>
      </c>
      <c r="AC753" s="3" t="s">
        <v>664</v>
      </c>
      <c r="AD753" s="3" t="s">
        <v>30</v>
      </c>
      <c r="AE753" s="3" t="s">
        <v>31</v>
      </c>
      <c r="AF753" s="3" t="s">
        <v>664</v>
      </c>
      <c r="AG753" s="3" t="s">
        <v>32</v>
      </c>
    </row>
    <row r="754" spans="1:33">
      <c r="A754" s="1">
        <v>45214.992472083337</v>
      </c>
      <c r="B754" s="3" t="s">
        <v>1024</v>
      </c>
      <c r="C754" s="2">
        <v>32119</v>
      </c>
      <c r="D754" s="3">
        <v>35</v>
      </c>
      <c r="E754" s="3" t="s">
        <v>510</v>
      </c>
      <c r="F754" s="3" t="s">
        <v>522</v>
      </c>
      <c r="G754" s="3" t="s">
        <v>539</v>
      </c>
      <c r="H754" s="2">
        <v>43900</v>
      </c>
      <c r="I754" s="3">
        <v>2</v>
      </c>
      <c r="J754" s="3" t="s">
        <v>541</v>
      </c>
      <c r="K754" s="3">
        <v>3150</v>
      </c>
      <c r="L754" s="3">
        <v>37</v>
      </c>
      <c r="M754" s="3">
        <v>66</v>
      </c>
      <c r="N754" s="3">
        <v>76</v>
      </c>
      <c r="O754" s="3">
        <v>161</v>
      </c>
      <c r="P754" s="3" t="s">
        <v>44</v>
      </c>
      <c r="Q754" s="3" t="s">
        <v>26</v>
      </c>
      <c r="S754" s="3" t="s">
        <v>664</v>
      </c>
      <c r="T754" s="3" t="s">
        <v>79</v>
      </c>
      <c r="U754" s="3">
        <v>7</v>
      </c>
      <c r="V754" s="3">
        <v>1</v>
      </c>
      <c r="W754" s="3" t="s">
        <v>26</v>
      </c>
      <c r="AA754" s="3" t="s">
        <v>49</v>
      </c>
      <c r="AB754" s="3" t="s">
        <v>29</v>
      </c>
      <c r="AC754" s="3" t="s">
        <v>664</v>
      </c>
      <c r="AD754" s="3" t="s">
        <v>30</v>
      </c>
      <c r="AE754" s="3" t="s">
        <v>31</v>
      </c>
      <c r="AF754" s="3" t="s">
        <v>664</v>
      </c>
      <c r="AG754" s="3" t="s">
        <v>48</v>
      </c>
    </row>
    <row r="755" spans="1:33">
      <c r="A755" s="1">
        <v>45214.992734155094</v>
      </c>
      <c r="B755" s="3" t="s">
        <v>1024</v>
      </c>
      <c r="C755" s="2">
        <v>31428</v>
      </c>
      <c r="D755" s="3">
        <v>37</v>
      </c>
      <c r="E755" s="3" t="s">
        <v>510</v>
      </c>
      <c r="F755" s="3" t="s">
        <v>520</v>
      </c>
      <c r="G755" s="3" t="s">
        <v>539</v>
      </c>
      <c r="H755" s="2">
        <v>45049</v>
      </c>
      <c r="I755" s="3">
        <v>2</v>
      </c>
      <c r="J755" s="3" t="s">
        <v>541</v>
      </c>
      <c r="K755" s="3">
        <v>2988</v>
      </c>
      <c r="L755" s="3" t="s">
        <v>623</v>
      </c>
      <c r="M755" s="3">
        <v>73</v>
      </c>
      <c r="N755" s="3">
        <v>79</v>
      </c>
      <c r="O755" s="3">
        <v>154</v>
      </c>
      <c r="P755" s="3" t="s">
        <v>33</v>
      </c>
      <c r="Q755" s="3" t="s">
        <v>26</v>
      </c>
      <c r="S755" s="3" t="s">
        <v>664</v>
      </c>
      <c r="T755" s="3" t="s">
        <v>43</v>
      </c>
      <c r="U755" s="3">
        <v>6</v>
      </c>
      <c r="V755" s="3">
        <v>1</v>
      </c>
      <c r="W755" s="3" t="s">
        <v>34</v>
      </c>
      <c r="X755" s="3" t="s">
        <v>334</v>
      </c>
      <c r="Y755" s="3">
        <v>4</v>
      </c>
      <c r="Z755" s="3">
        <v>1</v>
      </c>
      <c r="AA755" s="3" t="s">
        <v>42</v>
      </c>
      <c r="AB755" s="3" t="s">
        <v>29</v>
      </c>
      <c r="AC755" s="3" t="s">
        <v>664</v>
      </c>
      <c r="AD755" s="3" t="s">
        <v>30</v>
      </c>
      <c r="AE755" s="3" t="s">
        <v>31</v>
      </c>
      <c r="AF755" s="3" t="s">
        <v>664</v>
      </c>
      <c r="AG755" s="3" t="s">
        <v>39</v>
      </c>
    </row>
    <row r="756" spans="1:33">
      <c r="A756" s="1">
        <v>45214.993616805557</v>
      </c>
      <c r="B756" s="3" t="s">
        <v>1024</v>
      </c>
      <c r="C756" s="2">
        <v>29794</v>
      </c>
      <c r="D756" s="3">
        <v>42</v>
      </c>
      <c r="E756" s="3" t="s">
        <v>510</v>
      </c>
      <c r="F756" s="3" t="s">
        <v>529</v>
      </c>
      <c r="G756" s="3" t="s">
        <v>540</v>
      </c>
      <c r="H756" s="2">
        <v>44637</v>
      </c>
      <c r="I756" s="3">
        <v>1</v>
      </c>
      <c r="J756" s="3" t="s">
        <v>541</v>
      </c>
      <c r="K756" s="3" t="s">
        <v>1388</v>
      </c>
      <c r="L756" s="3" t="s">
        <v>680</v>
      </c>
      <c r="M756" s="3">
        <v>68</v>
      </c>
      <c r="N756" s="3">
        <v>105</v>
      </c>
      <c r="O756" s="3">
        <v>1.73</v>
      </c>
      <c r="P756" s="3" t="s">
        <v>25</v>
      </c>
      <c r="Q756" s="3" t="s">
        <v>34</v>
      </c>
      <c r="R756" s="3" t="s">
        <v>468</v>
      </c>
      <c r="S756" s="3" t="s">
        <v>664</v>
      </c>
      <c r="T756" s="3" t="s">
        <v>206</v>
      </c>
      <c r="U756" s="3">
        <v>7</v>
      </c>
      <c r="V756" s="3">
        <v>1</v>
      </c>
      <c r="W756" s="3" t="s">
        <v>26</v>
      </c>
      <c r="AA756" s="3" t="s">
        <v>36</v>
      </c>
      <c r="AB756" s="3" t="s">
        <v>29</v>
      </c>
      <c r="AC756" s="3" t="s">
        <v>664</v>
      </c>
      <c r="AD756" s="3" t="s">
        <v>30</v>
      </c>
      <c r="AE756" s="3" t="s">
        <v>31</v>
      </c>
      <c r="AF756" s="3" t="s">
        <v>664</v>
      </c>
      <c r="AG756" s="3" t="s">
        <v>39</v>
      </c>
    </row>
    <row r="757" spans="1:33">
      <c r="A757" s="1">
        <v>45215.001811226852</v>
      </c>
      <c r="B757" s="3" t="s">
        <v>1024</v>
      </c>
      <c r="C757" s="2">
        <v>30235</v>
      </c>
      <c r="D757" s="3">
        <v>41</v>
      </c>
      <c r="E757" s="3" t="s">
        <v>510</v>
      </c>
      <c r="F757" s="3" t="s">
        <v>521</v>
      </c>
      <c r="G757" s="3" t="s">
        <v>539</v>
      </c>
      <c r="H757" s="2">
        <v>43298</v>
      </c>
      <c r="I757" s="3">
        <v>2</v>
      </c>
      <c r="J757" s="3" t="s">
        <v>541</v>
      </c>
      <c r="K757" s="3">
        <v>4100</v>
      </c>
      <c r="L757" s="3" t="s">
        <v>835</v>
      </c>
      <c r="M757" s="3">
        <v>67</v>
      </c>
      <c r="N757" s="3">
        <v>75</v>
      </c>
      <c r="O757" s="3">
        <v>169</v>
      </c>
      <c r="P757" s="3" t="s">
        <v>44</v>
      </c>
      <c r="Q757" s="3" t="s">
        <v>34</v>
      </c>
      <c r="R757" s="3" t="s">
        <v>469</v>
      </c>
      <c r="S757" s="3" t="s">
        <v>664</v>
      </c>
      <c r="T757" s="3" t="s">
        <v>57</v>
      </c>
      <c r="U757" s="3">
        <v>7</v>
      </c>
      <c r="V757" s="3">
        <v>1</v>
      </c>
      <c r="W757" s="3" t="s">
        <v>26</v>
      </c>
      <c r="AA757" s="3" t="s">
        <v>42</v>
      </c>
      <c r="AB757" s="3" t="s">
        <v>29</v>
      </c>
      <c r="AC757" s="3" t="s">
        <v>664</v>
      </c>
      <c r="AD757" s="3" t="s">
        <v>55</v>
      </c>
      <c r="AE757" s="3" t="s">
        <v>31</v>
      </c>
      <c r="AF757" s="3" t="s">
        <v>664</v>
      </c>
      <c r="AG757" s="3" t="s">
        <v>32</v>
      </c>
    </row>
    <row r="758" spans="1:33">
      <c r="A758" s="1">
        <v>45215.004679340273</v>
      </c>
      <c r="B758" s="3" t="s">
        <v>1024</v>
      </c>
      <c r="C758" s="2">
        <v>33029</v>
      </c>
      <c r="D758" s="3">
        <v>33</v>
      </c>
      <c r="E758" s="3" t="s">
        <v>510</v>
      </c>
      <c r="F758" s="3" t="s">
        <v>531</v>
      </c>
      <c r="G758" s="3" t="s">
        <v>539</v>
      </c>
      <c r="H758" s="2">
        <v>43904</v>
      </c>
      <c r="I758" s="3">
        <v>2</v>
      </c>
      <c r="J758" s="3" t="s">
        <v>541</v>
      </c>
      <c r="K758" s="3" t="s">
        <v>1389</v>
      </c>
      <c r="L758" s="3" t="s">
        <v>662</v>
      </c>
      <c r="M758" s="3">
        <v>65</v>
      </c>
      <c r="N758" s="3">
        <v>73</v>
      </c>
      <c r="O758" s="3">
        <v>157</v>
      </c>
      <c r="P758" s="3" t="s">
        <v>123</v>
      </c>
      <c r="Q758" s="3" t="s">
        <v>26</v>
      </c>
      <c r="S758" s="3" t="s">
        <v>664</v>
      </c>
      <c r="T758" s="3" t="s">
        <v>27</v>
      </c>
      <c r="U758" s="3">
        <v>7</v>
      </c>
      <c r="V758" s="3">
        <v>1</v>
      </c>
      <c r="W758" s="3" t="s">
        <v>34</v>
      </c>
      <c r="X758" s="3" t="s">
        <v>58</v>
      </c>
      <c r="Y758" s="3">
        <v>7</v>
      </c>
      <c r="Z758" s="3">
        <v>1</v>
      </c>
      <c r="AA758" s="3" t="s">
        <v>36</v>
      </c>
      <c r="AB758" s="3" t="s">
        <v>29</v>
      </c>
      <c r="AC758" s="3" t="s">
        <v>664</v>
      </c>
      <c r="AD758" s="3" t="s">
        <v>55</v>
      </c>
      <c r="AE758" s="3" t="s">
        <v>31</v>
      </c>
      <c r="AF758" s="3" t="s">
        <v>664</v>
      </c>
      <c r="AG758" s="3" t="s">
        <v>39</v>
      </c>
    </row>
    <row r="759" spans="1:33">
      <c r="A759" s="1">
        <v>45215.00640554398</v>
      </c>
      <c r="B759" s="3" t="s">
        <v>1024</v>
      </c>
      <c r="C759" s="2">
        <v>32373</v>
      </c>
      <c r="D759" s="3">
        <v>35</v>
      </c>
      <c r="E759" s="3" t="s">
        <v>510</v>
      </c>
      <c r="F759" s="3" t="s">
        <v>529</v>
      </c>
      <c r="G759" s="3" t="s">
        <v>540</v>
      </c>
      <c r="H759" s="2">
        <v>44998</v>
      </c>
      <c r="I759" s="3">
        <v>1</v>
      </c>
      <c r="J759" s="3" t="s">
        <v>541</v>
      </c>
      <c r="K759" s="3" t="s">
        <v>1390</v>
      </c>
      <c r="L759" s="3" t="s">
        <v>638</v>
      </c>
      <c r="M759" s="3">
        <v>111</v>
      </c>
      <c r="N759" s="3">
        <v>122</v>
      </c>
      <c r="O759" s="3">
        <v>152</v>
      </c>
      <c r="P759" s="3" t="s">
        <v>33</v>
      </c>
      <c r="Q759" s="3" t="s">
        <v>26</v>
      </c>
      <c r="S759" s="3" t="s">
        <v>664</v>
      </c>
      <c r="T759" s="3" t="s">
        <v>79</v>
      </c>
      <c r="U759" s="3">
        <v>7</v>
      </c>
      <c r="V759" s="3">
        <v>1</v>
      </c>
      <c r="W759" s="3" t="s">
        <v>26</v>
      </c>
      <c r="AA759" s="3" t="s">
        <v>36</v>
      </c>
      <c r="AB759" s="3" t="s">
        <v>470</v>
      </c>
      <c r="AC759" s="3" t="s">
        <v>664</v>
      </c>
      <c r="AD759" s="3" t="s">
        <v>30</v>
      </c>
      <c r="AE759" s="3" t="s">
        <v>31</v>
      </c>
      <c r="AF759" s="3" t="s">
        <v>664</v>
      </c>
      <c r="AG759" s="3" t="s">
        <v>32</v>
      </c>
    </row>
    <row r="760" spans="1:33">
      <c r="A760" s="1">
        <v>45215.03161953704</v>
      </c>
      <c r="B760" s="3" t="s">
        <v>1024</v>
      </c>
      <c r="C760" s="2">
        <v>34886</v>
      </c>
      <c r="D760" s="3">
        <v>28</v>
      </c>
      <c r="E760" s="3" t="s">
        <v>510</v>
      </c>
      <c r="F760" s="3" t="s">
        <v>525</v>
      </c>
      <c r="G760" s="3" t="s">
        <v>539</v>
      </c>
      <c r="H760" s="2">
        <v>44533</v>
      </c>
      <c r="I760" s="3">
        <v>1</v>
      </c>
      <c r="J760" s="3" t="s">
        <v>541</v>
      </c>
      <c r="K760" s="3">
        <v>3220</v>
      </c>
      <c r="L760" s="3" t="s">
        <v>622</v>
      </c>
      <c r="M760" s="3">
        <v>70</v>
      </c>
      <c r="N760" s="3">
        <v>82</v>
      </c>
      <c r="O760" s="3">
        <v>168</v>
      </c>
      <c r="P760" s="3" t="s">
        <v>33</v>
      </c>
      <c r="Q760" s="3" t="s">
        <v>26</v>
      </c>
      <c r="S760" s="3" t="s">
        <v>664</v>
      </c>
      <c r="T760" s="3" t="s">
        <v>56</v>
      </c>
      <c r="U760" s="3">
        <v>7</v>
      </c>
      <c r="V760" s="3">
        <v>1</v>
      </c>
      <c r="W760" s="3" t="s">
        <v>26</v>
      </c>
      <c r="AA760" s="3" t="s">
        <v>49</v>
      </c>
      <c r="AB760" s="3" t="s">
        <v>233</v>
      </c>
      <c r="AC760" s="3" t="s">
        <v>664</v>
      </c>
      <c r="AD760" s="3" t="s">
        <v>30</v>
      </c>
      <c r="AE760" s="3" t="s">
        <v>31</v>
      </c>
      <c r="AF760" s="3" t="s">
        <v>664</v>
      </c>
      <c r="AG760" s="3" t="s">
        <v>32</v>
      </c>
    </row>
    <row r="761" spans="1:33">
      <c r="A761" s="1">
        <v>45215.072511736114</v>
      </c>
      <c r="B761" s="3" t="s">
        <v>1024</v>
      </c>
      <c r="C761" s="2">
        <v>32217</v>
      </c>
      <c r="D761" s="3">
        <v>35</v>
      </c>
      <c r="E761" s="3" t="s">
        <v>510</v>
      </c>
      <c r="F761" s="3" t="s">
        <v>534</v>
      </c>
      <c r="G761" s="3" t="s">
        <v>539</v>
      </c>
      <c r="H761" s="2">
        <v>42829</v>
      </c>
      <c r="I761" s="3">
        <v>2</v>
      </c>
      <c r="J761" s="3" t="s">
        <v>541</v>
      </c>
      <c r="K761" s="3">
        <v>4.25</v>
      </c>
      <c r="L761" s="3">
        <v>38</v>
      </c>
      <c r="M761" s="3">
        <v>120</v>
      </c>
      <c r="N761" s="3">
        <v>133</v>
      </c>
      <c r="O761" s="3">
        <v>170</v>
      </c>
      <c r="P761" s="3" t="s">
        <v>33</v>
      </c>
      <c r="Q761" s="3" t="s">
        <v>26</v>
      </c>
      <c r="S761" s="3" t="s">
        <v>664</v>
      </c>
      <c r="T761" s="3" t="s">
        <v>373</v>
      </c>
      <c r="U761" s="3">
        <v>7</v>
      </c>
      <c r="V761" s="3">
        <v>1</v>
      </c>
      <c r="W761" s="3" t="s">
        <v>34</v>
      </c>
      <c r="X761" s="3" t="s">
        <v>471</v>
      </c>
      <c r="Y761" s="3">
        <v>7</v>
      </c>
      <c r="Z761" s="3">
        <v>1</v>
      </c>
      <c r="AA761" s="3" t="s">
        <v>42</v>
      </c>
      <c r="AB761" s="3" t="s">
        <v>29</v>
      </c>
      <c r="AC761" s="3" t="s">
        <v>664</v>
      </c>
      <c r="AD761" s="3" t="s">
        <v>30</v>
      </c>
      <c r="AE761" s="3" t="s">
        <v>60</v>
      </c>
      <c r="AF761" s="3" t="s">
        <v>664</v>
      </c>
      <c r="AG761" s="3" t="s">
        <v>32</v>
      </c>
    </row>
    <row r="762" spans="1:33">
      <c r="A762" s="1">
        <v>45215.094365775461</v>
      </c>
      <c r="B762" s="3" t="s">
        <v>1024</v>
      </c>
      <c r="C762" s="2">
        <v>35116</v>
      </c>
      <c r="D762" s="3">
        <v>27</v>
      </c>
      <c r="E762" s="3" t="s">
        <v>510</v>
      </c>
      <c r="F762" s="3" t="s">
        <v>523</v>
      </c>
      <c r="G762" s="3" t="s">
        <v>538</v>
      </c>
      <c r="H762" s="2">
        <v>44099</v>
      </c>
      <c r="I762" s="3">
        <v>1</v>
      </c>
      <c r="J762" s="3" t="s">
        <v>542</v>
      </c>
      <c r="K762" s="3">
        <v>3910</v>
      </c>
      <c r="L762" s="3" t="s">
        <v>647</v>
      </c>
      <c r="M762" s="3">
        <v>138</v>
      </c>
      <c r="N762" s="3">
        <v>142</v>
      </c>
      <c r="O762" s="3">
        <v>168</v>
      </c>
      <c r="P762" s="3" t="s">
        <v>33</v>
      </c>
      <c r="Q762" s="3" t="s">
        <v>26</v>
      </c>
      <c r="S762" s="3" t="s">
        <v>664</v>
      </c>
      <c r="T762" s="3" t="s">
        <v>217</v>
      </c>
      <c r="U762" s="3">
        <v>7</v>
      </c>
      <c r="V762" s="3">
        <v>1</v>
      </c>
      <c r="W762" s="3" t="s">
        <v>26</v>
      </c>
      <c r="AA762" s="3" t="s">
        <v>42</v>
      </c>
      <c r="AB762" s="3" t="s">
        <v>443</v>
      </c>
      <c r="AC762" s="3" t="s">
        <v>664</v>
      </c>
      <c r="AD762" s="3" t="s">
        <v>59</v>
      </c>
      <c r="AE762" s="3" t="s">
        <v>60</v>
      </c>
      <c r="AF762" s="3" t="s">
        <v>664</v>
      </c>
      <c r="AG762" s="3" t="s">
        <v>62</v>
      </c>
    </row>
    <row r="763" spans="1:33">
      <c r="A763" s="1">
        <v>45215.099124270833</v>
      </c>
      <c r="B763" s="3" t="s">
        <v>1024</v>
      </c>
      <c r="C763" s="2">
        <v>35497</v>
      </c>
      <c r="D763" s="3">
        <v>26</v>
      </c>
      <c r="E763" s="3" t="s">
        <v>510</v>
      </c>
      <c r="F763" s="3" t="s">
        <v>520</v>
      </c>
      <c r="G763" s="3" t="s">
        <v>537</v>
      </c>
      <c r="H763" s="2">
        <v>43459</v>
      </c>
      <c r="I763" s="3">
        <v>2</v>
      </c>
      <c r="J763" s="3" t="s">
        <v>541</v>
      </c>
      <c r="K763" s="3" t="s">
        <v>1094</v>
      </c>
      <c r="L763" s="3" t="s">
        <v>634</v>
      </c>
      <c r="M763" s="3">
        <v>70</v>
      </c>
      <c r="N763" s="3">
        <v>80.5</v>
      </c>
      <c r="O763" s="3">
        <v>157</v>
      </c>
      <c r="P763" s="3" t="s">
        <v>33</v>
      </c>
      <c r="Q763" s="3" t="s">
        <v>26</v>
      </c>
      <c r="S763" s="3" t="s">
        <v>664</v>
      </c>
      <c r="T763" s="3" t="s">
        <v>79</v>
      </c>
      <c r="U763" s="3">
        <v>5</v>
      </c>
      <c r="V763" s="3">
        <v>2</v>
      </c>
      <c r="W763" s="3" t="s">
        <v>26</v>
      </c>
      <c r="AA763" s="3" t="s">
        <v>49</v>
      </c>
      <c r="AB763" s="3" t="s">
        <v>193</v>
      </c>
      <c r="AC763" s="3" t="s">
        <v>664</v>
      </c>
      <c r="AD763" s="3" t="s">
        <v>30</v>
      </c>
      <c r="AE763" s="3" t="s">
        <v>60</v>
      </c>
      <c r="AF763" s="3" t="s">
        <v>664</v>
      </c>
      <c r="AG763" s="3" t="s">
        <v>62</v>
      </c>
    </row>
    <row r="764" spans="1:33">
      <c r="A764" s="1">
        <v>45215.102883912041</v>
      </c>
      <c r="B764" s="3" t="s">
        <v>1024</v>
      </c>
      <c r="C764" s="2">
        <v>34938</v>
      </c>
      <c r="D764" s="3">
        <v>28</v>
      </c>
      <c r="E764" s="3" t="s">
        <v>510</v>
      </c>
      <c r="F764" s="3" t="s">
        <v>520</v>
      </c>
      <c r="G764" s="3" t="s">
        <v>539</v>
      </c>
      <c r="H764" s="2">
        <v>42920</v>
      </c>
      <c r="I764" s="3">
        <v>1</v>
      </c>
      <c r="J764" s="3" t="s">
        <v>542</v>
      </c>
      <c r="K764" s="3" t="s">
        <v>1391</v>
      </c>
      <c r="L764" s="3" t="s">
        <v>765</v>
      </c>
      <c r="M764" s="3">
        <v>87</v>
      </c>
      <c r="N764" s="3">
        <v>89</v>
      </c>
      <c r="O764" s="3">
        <v>165</v>
      </c>
      <c r="P764" s="3" t="s">
        <v>33</v>
      </c>
      <c r="Q764" s="3" t="s">
        <v>26</v>
      </c>
      <c r="S764" s="3" t="s">
        <v>664</v>
      </c>
      <c r="T764" s="3" t="s">
        <v>79</v>
      </c>
      <c r="U764" s="3">
        <v>7</v>
      </c>
      <c r="V764" s="3">
        <v>1</v>
      </c>
      <c r="W764" s="3" t="s">
        <v>26</v>
      </c>
      <c r="AA764" s="3" t="s">
        <v>49</v>
      </c>
      <c r="AB764" s="3" t="s">
        <v>29</v>
      </c>
      <c r="AC764" s="3" t="s">
        <v>664</v>
      </c>
      <c r="AD764" s="3" t="s">
        <v>30</v>
      </c>
      <c r="AE764" s="3" t="s">
        <v>38</v>
      </c>
      <c r="AF764" s="3" t="s">
        <v>664</v>
      </c>
      <c r="AG764" s="3" t="s">
        <v>32</v>
      </c>
    </row>
    <row r="765" spans="1:33">
      <c r="A765" s="1">
        <v>45215.133041076391</v>
      </c>
      <c r="B765" s="3" t="s">
        <v>1024</v>
      </c>
      <c r="C765" s="2">
        <v>31320</v>
      </c>
      <c r="D765" s="3">
        <v>38</v>
      </c>
      <c r="E765" s="3" t="s">
        <v>510</v>
      </c>
      <c r="F765" s="3" t="s">
        <v>520</v>
      </c>
      <c r="G765" s="3" t="s">
        <v>539</v>
      </c>
      <c r="H765" s="2">
        <v>44814</v>
      </c>
      <c r="I765" s="3">
        <v>2</v>
      </c>
      <c r="J765" s="3" t="s">
        <v>542</v>
      </c>
      <c r="K765" s="3">
        <v>3275</v>
      </c>
      <c r="L765" s="3" t="s">
        <v>775</v>
      </c>
      <c r="M765" s="3">
        <v>110</v>
      </c>
      <c r="N765" s="3">
        <v>115</v>
      </c>
      <c r="O765" s="3">
        <v>158</v>
      </c>
      <c r="P765" s="3" t="s">
        <v>33</v>
      </c>
      <c r="Q765" s="3" t="s">
        <v>26</v>
      </c>
      <c r="S765" s="3" t="s">
        <v>664</v>
      </c>
      <c r="T765" s="3" t="s">
        <v>41</v>
      </c>
      <c r="U765" s="3">
        <v>7</v>
      </c>
      <c r="V765" s="3">
        <v>1</v>
      </c>
      <c r="W765" s="3" t="s">
        <v>34</v>
      </c>
      <c r="X765" s="3" t="s">
        <v>58</v>
      </c>
      <c r="Y765" s="3">
        <v>7</v>
      </c>
      <c r="Z765" s="3">
        <v>1</v>
      </c>
      <c r="AA765" s="3" t="s">
        <v>42</v>
      </c>
      <c r="AB765" s="3" t="s">
        <v>29</v>
      </c>
      <c r="AC765" s="3" t="s">
        <v>664</v>
      </c>
      <c r="AD765" s="3" t="s">
        <v>30</v>
      </c>
      <c r="AE765" s="3" t="s">
        <v>31</v>
      </c>
      <c r="AF765" s="3" t="s">
        <v>664</v>
      </c>
      <c r="AG765" s="3" t="s">
        <v>39</v>
      </c>
    </row>
    <row r="766" spans="1:33">
      <c r="A766" s="1">
        <v>45215.169066296294</v>
      </c>
      <c r="B766" s="3" t="s">
        <v>1024</v>
      </c>
      <c r="C766" s="2">
        <v>34613</v>
      </c>
      <c r="D766" s="3">
        <v>29</v>
      </c>
      <c r="E766" s="3" t="s">
        <v>510</v>
      </c>
      <c r="F766" s="3" t="s">
        <v>523</v>
      </c>
      <c r="G766" s="3" t="s">
        <v>539</v>
      </c>
      <c r="H766" s="2">
        <v>43581</v>
      </c>
      <c r="I766" s="3">
        <v>1</v>
      </c>
      <c r="J766" s="3" t="s">
        <v>542</v>
      </c>
      <c r="K766" s="3">
        <v>3290</v>
      </c>
      <c r="L766" s="3">
        <v>39</v>
      </c>
      <c r="M766" s="3">
        <v>74</v>
      </c>
      <c r="N766" s="3">
        <v>85</v>
      </c>
      <c r="O766" s="3">
        <v>157</v>
      </c>
      <c r="P766" s="3" t="s">
        <v>33</v>
      </c>
      <c r="Q766" s="3" t="s">
        <v>26</v>
      </c>
      <c r="S766" s="3" t="s">
        <v>664</v>
      </c>
      <c r="T766" s="3" t="s">
        <v>56</v>
      </c>
      <c r="U766" s="3">
        <v>7</v>
      </c>
      <c r="V766" s="3">
        <v>1</v>
      </c>
      <c r="W766" s="3" t="s">
        <v>34</v>
      </c>
      <c r="X766" s="3" t="s">
        <v>128</v>
      </c>
      <c r="Y766" s="3">
        <v>3</v>
      </c>
      <c r="Z766" s="3">
        <v>1</v>
      </c>
      <c r="AA766" s="3" t="s">
        <v>49</v>
      </c>
      <c r="AB766" s="3" t="s">
        <v>122</v>
      </c>
      <c r="AC766" s="3" t="s">
        <v>664</v>
      </c>
      <c r="AD766" s="3" t="s">
        <v>55</v>
      </c>
      <c r="AE766" s="3" t="s">
        <v>31</v>
      </c>
      <c r="AF766" s="3" t="s">
        <v>26</v>
      </c>
      <c r="AG766" s="3" t="s">
        <v>62</v>
      </c>
    </row>
    <row r="767" spans="1:33">
      <c r="A767" s="1">
        <v>45215.170681770833</v>
      </c>
      <c r="B767" s="3" t="s">
        <v>1024</v>
      </c>
      <c r="C767" s="2">
        <v>31624</v>
      </c>
      <c r="D767" s="3">
        <v>37</v>
      </c>
      <c r="E767" s="3" t="s">
        <v>510</v>
      </c>
      <c r="F767" s="3" t="s">
        <v>520</v>
      </c>
      <c r="G767" s="3" t="s">
        <v>539</v>
      </c>
      <c r="H767" s="2">
        <v>44401</v>
      </c>
      <c r="I767" s="3">
        <v>2</v>
      </c>
      <c r="J767" s="3" t="s">
        <v>541</v>
      </c>
      <c r="K767" s="3">
        <v>3450</v>
      </c>
      <c r="L767" s="3">
        <v>37</v>
      </c>
      <c r="M767" s="3">
        <v>69</v>
      </c>
      <c r="N767" s="3">
        <v>76</v>
      </c>
      <c r="O767" s="3">
        <v>154</v>
      </c>
      <c r="P767" s="3" t="s">
        <v>33</v>
      </c>
      <c r="Q767" s="3" t="s">
        <v>26</v>
      </c>
      <c r="S767" s="3" t="s">
        <v>26</v>
      </c>
      <c r="W767" s="3" t="s">
        <v>26</v>
      </c>
      <c r="AA767" s="3" t="s">
        <v>51</v>
      </c>
      <c r="AB767" s="3" t="s">
        <v>29</v>
      </c>
      <c r="AC767" s="3" t="s">
        <v>664</v>
      </c>
      <c r="AD767" s="3" t="s">
        <v>55</v>
      </c>
      <c r="AE767" s="3" t="s">
        <v>31</v>
      </c>
      <c r="AF767" s="3" t="s">
        <v>664</v>
      </c>
      <c r="AG767" s="3" t="s">
        <v>32</v>
      </c>
    </row>
    <row r="768" spans="1:33">
      <c r="A768" s="1">
        <v>45215.17680637732</v>
      </c>
      <c r="B768" s="3" t="s">
        <v>1024</v>
      </c>
      <c r="C768" s="2">
        <v>33746</v>
      </c>
      <c r="D768" s="3">
        <v>31</v>
      </c>
      <c r="E768" s="3" t="s">
        <v>510</v>
      </c>
      <c r="F768" s="3" t="s">
        <v>520</v>
      </c>
      <c r="G768" s="3" t="s">
        <v>539</v>
      </c>
      <c r="H768" s="2">
        <v>43887</v>
      </c>
      <c r="I768" s="3">
        <v>3</v>
      </c>
      <c r="J768" s="3" t="s">
        <v>541</v>
      </c>
      <c r="K768" s="3">
        <v>3080</v>
      </c>
      <c r="L768" s="3" t="s">
        <v>661</v>
      </c>
      <c r="M768" s="3">
        <v>78</v>
      </c>
      <c r="N768" s="3">
        <v>81</v>
      </c>
      <c r="O768" s="3">
        <v>159</v>
      </c>
      <c r="P768" s="3" t="s">
        <v>33</v>
      </c>
      <c r="Q768" s="3" t="s">
        <v>26</v>
      </c>
      <c r="R768" s="3" t="s">
        <v>386</v>
      </c>
      <c r="S768" s="3" t="s">
        <v>664</v>
      </c>
      <c r="T768" s="3" t="s">
        <v>79</v>
      </c>
      <c r="U768" s="3">
        <v>7</v>
      </c>
      <c r="V768" s="3">
        <v>1</v>
      </c>
      <c r="W768" s="3" t="s">
        <v>26</v>
      </c>
      <c r="AA768" s="3" t="s">
        <v>49</v>
      </c>
      <c r="AB768" s="3" t="s">
        <v>29</v>
      </c>
      <c r="AC768" s="3" t="s">
        <v>664</v>
      </c>
      <c r="AD768" s="3" t="s">
        <v>30</v>
      </c>
      <c r="AE768" s="3" t="s">
        <v>31</v>
      </c>
      <c r="AF768" s="3" t="s">
        <v>664</v>
      </c>
      <c r="AG768" s="3" t="s">
        <v>39</v>
      </c>
    </row>
    <row r="769" spans="1:33">
      <c r="A769" s="1">
        <v>45215.231196967594</v>
      </c>
      <c r="B769" s="3" t="s">
        <v>1024</v>
      </c>
      <c r="C769" s="2">
        <v>32455</v>
      </c>
      <c r="D769" s="3">
        <v>34</v>
      </c>
      <c r="E769" s="3" t="s">
        <v>510</v>
      </c>
      <c r="F769" s="3" t="s">
        <v>520</v>
      </c>
      <c r="G769" s="3" t="s">
        <v>540</v>
      </c>
      <c r="H769" s="2">
        <v>43529</v>
      </c>
      <c r="I769" s="3">
        <v>1</v>
      </c>
      <c r="J769" s="3" t="s">
        <v>541</v>
      </c>
      <c r="K769" s="3">
        <v>2540</v>
      </c>
      <c r="L769" s="3" t="s">
        <v>836</v>
      </c>
      <c r="M769" s="3">
        <v>68</v>
      </c>
      <c r="N769" s="3">
        <v>77</v>
      </c>
      <c r="O769" s="3">
        <v>164</v>
      </c>
      <c r="P769" s="3" t="s">
        <v>33</v>
      </c>
      <c r="Q769" s="3" t="s">
        <v>26</v>
      </c>
      <c r="S769" s="3" t="s">
        <v>664</v>
      </c>
      <c r="T769" s="3" t="s">
        <v>79</v>
      </c>
      <c r="U769" s="3">
        <v>7</v>
      </c>
      <c r="V769" s="3">
        <v>1</v>
      </c>
      <c r="W769" s="3" t="s">
        <v>26</v>
      </c>
      <c r="AA769" s="3" t="s">
        <v>49</v>
      </c>
      <c r="AB769" s="3" t="s">
        <v>29</v>
      </c>
      <c r="AC769" s="3" t="s">
        <v>664</v>
      </c>
      <c r="AD769" s="3" t="s">
        <v>30</v>
      </c>
      <c r="AE769" s="3" t="s">
        <v>31</v>
      </c>
      <c r="AF769" s="3" t="s">
        <v>664</v>
      </c>
      <c r="AG769" s="3" t="s">
        <v>39</v>
      </c>
    </row>
    <row r="770" spans="1:33">
      <c r="A770" s="1">
        <v>45215.249970289355</v>
      </c>
      <c r="B770" s="3" t="s">
        <v>1024</v>
      </c>
      <c r="C770" s="2">
        <v>29795</v>
      </c>
      <c r="D770" s="3">
        <v>42</v>
      </c>
      <c r="E770" s="3" t="s">
        <v>510</v>
      </c>
      <c r="F770" s="3" t="s">
        <v>520</v>
      </c>
      <c r="G770" s="3" t="s">
        <v>537</v>
      </c>
      <c r="H770" s="2">
        <v>43915</v>
      </c>
      <c r="I770" s="3">
        <v>2</v>
      </c>
      <c r="J770" s="3" t="s">
        <v>542</v>
      </c>
      <c r="K770" s="3">
        <v>3030</v>
      </c>
      <c r="L770" s="3">
        <v>38</v>
      </c>
      <c r="M770" s="3">
        <v>75</v>
      </c>
      <c r="N770" s="3">
        <v>79</v>
      </c>
      <c r="O770" s="3">
        <v>158</v>
      </c>
      <c r="P770" s="3" t="s">
        <v>33</v>
      </c>
      <c r="Q770" s="3" t="s">
        <v>26</v>
      </c>
      <c r="S770" s="3" t="s">
        <v>664</v>
      </c>
      <c r="T770" s="3" t="s">
        <v>79</v>
      </c>
      <c r="U770" s="3">
        <v>7</v>
      </c>
      <c r="V770" s="3">
        <v>1</v>
      </c>
      <c r="W770" s="3" t="s">
        <v>26</v>
      </c>
      <c r="AA770" s="3" t="s">
        <v>49</v>
      </c>
      <c r="AB770" s="3" t="s">
        <v>29</v>
      </c>
      <c r="AC770" s="3" t="s">
        <v>664</v>
      </c>
      <c r="AD770" s="3" t="s">
        <v>30</v>
      </c>
      <c r="AE770" s="3" t="s">
        <v>38</v>
      </c>
      <c r="AF770" s="3" t="s">
        <v>664</v>
      </c>
      <c r="AG770" s="3" t="s">
        <v>39</v>
      </c>
    </row>
    <row r="771" spans="1:33">
      <c r="A771" s="1">
        <v>45215.298572280095</v>
      </c>
      <c r="B771" s="3" t="s">
        <v>1024</v>
      </c>
      <c r="C771" s="2">
        <v>30376</v>
      </c>
      <c r="D771" s="3">
        <v>40</v>
      </c>
      <c r="E771" s="3" t="s">
        <v>510</v>
      </c>
      <c r="F771" s="3" t="s">
        <v>528</v>
      </c>
      <c r="G771" s="3" t="s">
        <v>540</v>
      </c>
      <c r="H771" s="2">
        <v>44522</v>
      </c>
      <c r="I771" s="3">
        <v>1</v>
      </c>
      <c r="J771" s="3" t="s">
        <v>541</v>
      </c>
      <c r="K771" s="3" t="s">
        <v>1194</v>
      </c>
      <c r="L771" s="3" t="s">
        <v>681</v>
      </c>
      <c r="M771" s="3">
        <v>68</v>
      </c>
      <c r="N771" s="3">
        <v>80</v>
      </c>
      <c r="O771" s="3">
        <v>157</v>
      </c>
      <c r="P771" s="3" t="s">
        <v>33</v>
      </c>
      <c r="Q771" s="3" t="s">
        <v>26</v>
      </c>
      <c r="S771" s="3" t="s">
        <v>664</v>
      </c>
      <c r="T771" s="3" t="s">
        <v>43</v>
      </c>
      <c r="U771" s="3">
        <v>7</v>
      </c>
      <c r="V771" s="3">
        <v>1</v>
      </c>
      <c r="W771" s="3" t="s">
        <v>34</v>
      </c>
      <c r="X771" s="3" t="s">
        <v>415</v>
      </c>
      <c r="Y771" s="3">
        <v>7</v>
      </c>
      <c r="Z771" s="3">
        <v>1</v>
      </c>
      <c r="AA771" s="3" t="s">
        <v>42</v>
      </c>
      <c r="AB771" s="3" t="s">
        <v>29</v>
      </c>
      <c r="AC771" s="3" t="s">
        <v>664</v>
      </c>
      <c r="AD771" s="3" t="s">
        <v>30</v>
      </c>
      <c r="AE771" s="3" t="s">
        <v>38</v>
      </c>
      <c r="AF771" s="3" t="s">
        <v>664</v>
      </c>
      <c r="AG771" s="3" t="s">
        <v>39</v>
      </c>
    </row>
    <row r="772" spans="1:33">
      <c r="A772" s="1">
        <v>45215.421991631942</v>
      </c>
      <c r="B772" s="3" t="s">
        <v>1024</v>
      </c>
      <c r="C772" s="2">
        <v>35564</v>
      </c>
      <c r="D772" s="3">
        <v>27</v>
      </c>
      <c r="E772" s="3" t="s">
        <v>510</v>
      </c>
      <c r="F772" s="3" t="s">
        <v>520</v>
      </c>
      <c r="G772" s="3" t="s">
        <v>539</v>
      </c>
      <c r="H772" s="2">
        <v>44507</v>
      </c>
      <c r="I772" s="3">
        <v>1</v>
      </c>
      <c r="J772" s="3" t="s">
        <v>542</v>
      </c>
      <c r="K772" s="3">
        <v>3660</v>
      </c>
      <c r="L772" s="3" t="s">
        <v>650</v>
      </c>
      <c r="M772" s="3" t="s">
        <v>1043</v>
      </c>
      <c r="N772" s="3" t="s">
        <v>1392</v>
      </c>
      <c r="O772" s="3">
        <v>173</v>
      </c>
      <c r="P772" s="3" t="s">
        <v>25</v>
      </c>
      <c r="Q772" s="3" t="s">
        <v>26</v>
      </c>
      <c r="S772" s="3" t="s">
        <v>664</v>
      </c>
      <c r="T772" s="3" t="s">
        <v>41</v>
      </c>
      <c r="U772" s="3">
        <v>7</v>
      </c>
      <c r="V772" s="3">
        <v>1</v>
      </c>
      <c r="W772" s="3" t="s">
        <v>34</v>
      </c>
      <c r="X772" s="3" t="s">
        <v>58</v>
      </c>
      <c r="Y772" s="3">
        <v>7</v>
      </c>
      <c r="Z772" s="3">
        <v>1</v>
      </c>
      <c r="AA772" s="3" t="s">
        <v>42</v>
      </c>
      <c r="AB772" s="3" t="s">
        <v>29</v>
      </c>
      <c r="AC772" s="3" t="s">
        <v>664</v>
      </c>
      <c r="AD772" s="3" t="s">
        <v>55</v>
      </c>
      <c r="AE772" s="3" t="s">
        <v>31</v>
      </c>
      <c r="AF772" s="3" t="s">
        <v>664</v>
      </c>
      <c r="AG772" s="3" t="s">
        <v>32</v>
      </c>
    </row>
    <row r="773" spans="1:33">
      <c r="A773" s="1">
        <v>45215.459949374999</v>
      </c>
      <c r="B773" s="3" t="s">
        <v>1024</v>
      </c>
      <c r="C773" s="2">
        <v>32919</v>
      </c>
      <c r="D773" s="3">
        <v>33</v>
      </c>
      <c r="E773" s="3" t="s">
        <v>510</v>
      </c>
      <c r="F773" s="3" t="s">
        <v>520</v>
      </c>
      <c r="G773" s="3" t="s">
        <v>538</v>
      </c>
      <c r="H773" s="2">
        <v>44688</v>
      </c>
      <c r="I773" s="3">
        <v>3</v>
      </c>
      <c r="J773" s="3" t="s">
        <v>541</v>
      </c>
      <c r="K773" s="3">
        <v>3480</v>
      </c>
      <c r="L773" s="3" t="s">
        <v>719</v>
      </c>
      <c r="M773" s="3">
        <v>55</v>
      </c>
      <c r="N773" s="3">
        <v>64</v>
      </c>
      <c r="O773" s="3">
        <v>158</v>
      </c>
      <c r="P773" s="3" t="s">
        <v>191</v>
      </c>
      <c r="Q773" s="3" t="s">
        <v>26</v>
      </c>
      <c r="S773" s="3" t="s">
        <v>664</v>
      </c>
      <c r="T773" s="3" t="s">
        <v>57</v>
      </c>
      <c r="U773" s="3">
        <v>7</v>
      </c>
      <c r="V773" s="3">
        <v>1</v>
      </c>
      <c r="W773" s="3" t="s">
        <v>34</v>
      </c>
      <c r="X773" s="3" t="s">
        <v>472</v>
      </c>
      <c r="Y773" s="3">
        <v>7</v>
      </c>
      <c r="Z773" s="3">
        <v>1</v>
      </c>
      <c r="AA773" s="3" t="s">
        <v>49</v>
      </c>
      <c r="AB773" s="3" t="s">
        <v>29</v>
      </c>
      <c r="AC773" s="3" t="s">
        <v>664</v>
      </c>
      <c r="AD773" s="3" t="s">
        <v>30</v>
      </c>
      <c r="AE773" s="3" t="s">
        <v>31</v>
      </c>
      <c r="AF773" s="3" t="s">
        <v>664</v>
      </c>
      <c r="AG773" s="3" t="s">
        <v>48</v>
      </c>
    </row>
    <row r="774" spans="1:33">
      <c r="A774" s="1">
        <v>45215.465867025458</v>
      </c>
      <c r="B774" s="3" t="s">
        <v>1024</v>
      </c>
      <c r="C774" s="2">
        <v>31021</v>
      </c>
      <c r="D774" s="3">
        <v>38</v>
      </c>
      <c r="E774" s="3" t="s">
        <v>510</v>
      </c>
      <c r="F774" s="3" t="s">
        <v>525</v>
      </c>
      <c r="G774" s="3" t="s">
        <v>539</v>
      </c>
      <c r="H774" s="2">
        <v>44841</v>
      </c>
      <c r="I774" s="3">
        <v>1</v>
      </c>
      <c r="J774" s="3" t="s">
        <v>542</v>
      </c>
      <c r="K774" s="3">
        <v>3150</v>
      </c>
      <c r="L774" s="3" t="s">
        <v>1393</v>
      </c>
      <c r="M774" s="3">
        <v>87</v>
      </c>
      <c r="N774" s="3">
        <v>95</v>
      </c>
      <c r="O774" s="3">
        <v>161</v>
      </c>
      <c r="P774" s="3" t="s">
        <v>33</v>
      </c>
      <c r="Q774" s="3" t="s">
        <v>26</v>
      </c>
      <c r="S774" s="3" t="s">
        <v>664</v>
      </c>
      <c r="T774" s="3" t="s">
        <v>43</v>
      </c>
      <c r="U774" s="3">
        <v>7</v>
      </c>
      <c r="V774" s="3">
        <v>1</v>
      </c>
      <c r="W774" s="3" t="s">
        <v>34</v>
      </c>
      <c r="X774" s="3" t="s">
        <v>35</v>
      </c>
      <c r="Y774" s="3">
        <v>7</v>
      </c>
      <c r="Z774" s="3">
        <v>1</v>
      </c>
      <c r="AA774" s="3" t="s">
        <v>42</v>
      </c>
      <c r="AB774" s="3" t="s">
        <v>29</v>
      </c>
      <c r="AC774" s="3" t="s">
        <v>664</v>
      </c>
      <c r="AD774" s="3" t="s">
        <v>30</v>
      </c>
      <c r="AE774" s="3" t="s">
        <v>38</v>
      </c>
      <c r="AF774" s="3" t="s">
        <v>664</v>
      </c>
      <c r="AG774" s="3" t="s">
        <v>62</v>
      </c>
    </row>
    <row r="775" spans="1:33">
      <c r="A775" s="1">
        <v>45215.483603125002</v>
      </c>
      <c r="B775" s="3" t="s">
        <v>1024</v>
      </c>
      <c r="C775" s="2">
        <v>33501</v>
      </c>
      <c r="D775" s="3">
        <v>32</v>
      </c>
      <c r="E775" s="3" t="s">
        <v>510</v>
      </c>
      <c r="F775" s="3" t="s">
        <v>520</v>
      </c>
      <c r="G775" s="3" t="s">
        <v>539</v>
      </c>
      <c r="H775" s="2">
        <v>43964</v>
      </c>
      <c r="I775" s="3">
        <v>1</v>
      </c>
      <c r="J775" s="3" t="s">
        <v>542</v>
      </c>
      <c r="K775" s="3">
        <v>2100</v>
      </c>
      <c r="L775" s="3">
        <v>33</v>
      </c>
      <c r="M775" s="3">
        <v>95</v>
      </c>
      <c r="N775" s="3">
        <v>106</v>
      </c>
      <c r="O775" s="3">
        <v>160</v>
      </c>
      <c r="P775" s="3" t="s">
        <v>44</v>
      </c>
      <c r="Q775" s="3" t="s">
        <v>26</v>
      </c>
      <c r="S775" s="3" t="s">
        <v>664</v>
      </c>
      <c r="T775" s="3" t="s">
        <v>27</v>
      </c>
      <c r="U775" s="3">
        <v>7</v>
      </c>
      <c r="V775" s="3">
        <v>1</v>
      </c>
      <c r="W775" s="3" t="s">
        <v>26</v>
      </c>
      <c r="AA775" s="3" t="s">
        <v>49</v>
      </c>
      <c r="AB775" s="3" t="s">
        <v>29</v>
      </c>
      <c r="AC775" s="3" t="s">
        <v>664</v>
      </c>
      <c r="AD775" s="3" t="s">
        <v>30</v>
      </c>
      <c r="AE775" s="3" t="s">
        <v>31</v>
      </c>
      <c r="AF775" s="3" t="s">
        <v>664</v>
      </c>
      <c r="AG775" s="3" t="s">
        <v>39</v>
      </c>
    </row>
    <row r="776" spans="1:33">
      <c r="A776" s="1">
        <v>45215.557415856485</v>
      </c>
      <c r="B776" s="3" t="s">
        <v>1024</v>
      </c>
      <c r="C776" s="2">
        <v>31896</v>
      </c>
      <c r="D776" s="3">
        <v>36</v>
      </c>
      <c r="E776" s="3" t="s">
        <v>510</v>
      </c>
      <c r="F776" s="3" t="s">
        <v>527</v>
      </c>
      <c r="G776" s="3" t="s">
        <v>539</v>
      </c>
      <c r="H776" s="2">
        <v>44934</v>
      </c>
      <c r="I776" s="3">
        <v>2</v>
      </c>
      <c r="J776" s="3" t="s">
        <v>542</v>
      </c>
      <c r="K776" s="3" t="s">
        <v>1394</v>
      </c>
      <c r="L776" s="3" t="s">
        <v>837</v>
      </c>
      <c r="M776" s="3">
        <v>67</v>
      </c>
      <c r="N776" s="3">
        <v>87</v>
      </c>
      <c r="O776" s="3">
        <v>153</v>
      </c>
      <c r="P776" s="3" t="s">
        <v>33</v>
      </c>
      <c r="Q776" s="3" t="s">
        <v>26</v>
      </c>
      <c r="S776" s="3" t="s">
        <v>664</v>
      </c>
      <c r="T776" s="3" t="s">
        <v>79</v>
      </c>
      <c r="U776" s="3">
        <v>7</v>
      </c>
      <c r="V776" s="3">
        <v>1</v>
      </c>
      <c r="W776" s="3" t="s">
        <v>34</v>
      </c>
      <c r="X776" s="3" t="s">
        <v>128</v>
      </c>
      <c r="Y776" s="3">
        <v>7</v>
      </c>
      <c r="Z776" s="3">
        <v>1</v>
      </c>
      <c r="AA776" s="3" t="s">
        <v>114</v>
      </c>
      <c r="AB776" s="3" t="s">
        <v>29</v>
      </c>
      <c r="AC776" s="3" t="s">
        <v>664</v>
      </c>
      <c r="AD776" s="3" t="s">
        <v>30</v>
      </c>
      <c r="AE776" s="3" t="s">
        <v>38</v>
      </c>
      <c r="AF776" s="3" t="s">
        <v>664</v>
      </c>
      <c r="AG776" s="3" t="s">
        <v>32</v>
      </c>
    </row>
    <row r="777" spans="1:33">
      <c r="A777" s="1">
        <v>45215.56221181713</v>
      </c>
      <c r="B777" s="3" t="s">
        <v>1024</v>
      </c>
      <c r="C777" s="2">
        <v>35151</v>
      </c>
      <c r="D777" s="3">
        <v>27</v>
      </c>
      <c r="E777" s="3" t="s">
        <v>510</v>
      </c>
      <c r="F777" s="3" t="s">
        <v>520</v>
      </c>
      <c r="G777" s="3" t="s">
        <v>539</v>
      </c>
      <c r="H777" s="2">
        <v>45132</v>
      </c>
      <c r="I777" s="3">
        <v>2</v>
      </c>
      <c r="J777" s="3" t="s">
        <v>541</v>
      </c>
      <c r="K777" s="3">
        <v>3440</v>
      </c>
      <c r="L777" s="3" t="s">
        <v>675</v>
      </c>
      <c r="M777" s="3">
        <v>80</v>
      </c>
      <c r="N777" s="3">
        <v>95</v>
      </c>
      <c r="O777" s="3">
        <v>177</v>
      </c>
      <c r="P777" s="3" t="s">
        <v>33</v>
      </c>
      <c r="Q777" s="3" t="s">
        <v>26</v>
      </c>
      <c r="S777" s="3" t="s">
        <v>664</v>
      </c>
      <c r="T777" s="3" t="s">
        <v>79</v>
      </c>
      <c r="U777" s="3">
        <v>7</v>
      </c>
      <c r="V777" s="3">
        <v>1</v>
      </c>
      <c r="W777" s="3" t="s">
        <v>26</v>
      </c>
      <c r="AA777" s="3" t="s">
        <v>49</v>
      </c>
      <c r="AB777" s="3" t="s">
        <v>29</v>
      </c>
      <c r="AC777" s="3" t="s">
        <v>664</v>
      </c>
      <c r="AD777" s="3" t="s">
        <v>55</v>
      </c>
      <c r="AE777" s="3" t="s">
        <v>31</v>
      </c>
      <c r="AF777" s="3" t="s">
        <v>664</v>
      </c>
      <c r="AG777" s="3" t="s">
        <v>32</v>
      </c>
    </row>
    <row r="778" spans="1:33">
      <c r="A778" s="1">
        <v>45215.593444074075</v>
      </c>
      <c r="B778" s="3" t="s">
        <v>1024</v>
      </c>
      <c r="C778" s="2">
        <v>33123</v>
      </c>
      <c r="D778" s="3">
        <v>33</v>
      </c>
      <c r="E778" s="3" t="s">
        <v>516</v>
      </c>
      <c r="F778" s="3" t="s">
        <v>520</v>
      </c>
      <c r="G778" s="3" t="s">
        <v>539</v>
      </c>
      <c r="H778" s="2">
        <v>44164</v>
      </c>
      <c r="I778" s="3">
        <v>1</v>
      </c>
      <c r="J778" s="3" t="s">
        <v>542</v>
      </c>
      <c r="K778" s="3">
        <v>3350</v>
      </c>
      <c r="L778" s="3" t="s">
        <v>697</v>
      </c>
      <c r="M778" s="3">
        <v>63</v>
      </c>
      <c r="N778" s="3">
        <v>67</v>
      </c>
      <c r="O778" s="3">
        <v>158</v>
      </c>
      <c r="P778" s="3" t="s">
        <v>33</v>
      </c>
      <c r="Q778" s="3" t="s">
        <v>26</v>
      </c>
      <c r="S778" s="3" t="s">
        <v>664</v>
      </c>
      <c r="T778" s="3" t="s">
        <v>57</v>
      </c>
      <c r="U778" s="3">
        <v>7</v>
      </c>
      <c r="V778" s="3">
        <v>1</v>
      </c>
      <c r="W778" s="3" t="s">
        <v>34</v>
      </c>
      <c r="X778" s="3" t="s">
        <v>71</v>
      </c>
      <c r="Y778" s="3">
        <v>7</v>
      </c>
      <c r="Z778" s="3">
        <v>1</v>
      </c>
      <c r="AA778" s="3" t="s">
        <v>49</v>
      </c>
      <c r="AB778" s="3" t="s">
        <v>29</v>
      </c>
      <c r="AC778" s="3" t="s">
        <v>26</v>
      </c>
      <c r="AE778" s="3" t="s">
        <v>159</v>
      </c>
      <c r="AF778" s="3" t="s">
        <v>26</v>
      </c>
    </row>
    <row r="779" spans="1:33">
      <c r="A779" s="1">
        <v>45215.594806354165</v>
      </c>
      <c r="B779" s="3" t="s">
        <v>1024</v>
      </c>
      <c r="C779" s="2">
        <v>33285</v>
      </c>
      <c r="D779" s="3">
        <v>32</v>
      </c>
      <c r="E779" s="3" t="s">
        <v>510</v>
      </c>
      <c r="F779" s="3" t="s">
        <v>521</v>
      </c>
      <c r="G779" s="3" t="s">
        <v>539</v>
      </c>
      <c r="H779" s="2">
        <v>44624</v>
      </c>
      <c r="I779" s="3">
        <v>4</v>
      </c>
      <c r="J779" s="3" t="s">
        <v>542</v>
      </c>
      <c r="K779" s="3">
        <v>3480</v>
      </c>
      <c r="L779" s="3" t="s">
        <v>838</v>
      </c>
      <c r="M779" s="3">
        <v>91</v>
      </c>
      <c r="N779" s="3">
        <v>101</v>
      </c>
      <c r="O779" s="3">
        <v>163</v>
      </c>
      <c r="P779" s="3" t="s">
        <v>33</v>
      </c>
      <c r="Q779" s="3" t="s">
        <v>26</v>
      </c>
      <c r="S779" s="3" t="s">
        <v>664</v>
      </c>
      <c r="T779" s="3" t="s">
        <v>79</v>
      </c>
      <c r="U779" s="3">
        <v>7</v>
      </c>
      <c r="V779" s="3">
        <v>1</v>
      </c>
      <c r="W779" s="3" t="s">
        <v>26</v>
      </c>
      <c r="AA779" s="3" t="s">
        <v>28</v>
      </c>
      <c r="AB779" s="3" t="s">
        <v>29</v>
      </c>
      <c r="AC779" s="3" t="s">
        <v>664</v>
      </c>
      <c r="AD779" s="3" t="s">
        <v>55</v>
      </c>
      <c r="AE779" s="3" t="s">
        <v>31</v>
      </c>
      <c r="AF779" s="3" t="s">
        <v>664</v>
      </c>
      <c r="AG779" s="3" t="s">
        <v>32</v>
      </c>
    </row>
    <row r="780" spans="1:33">
      <c r="A780" s="1">
        <v>45215.602467615739</v>
      </c>
      <c r="B780" s="3" t="s">
        <v>1024</v>
      </c>
      <c r="C780" s="2">
        <v>31713</v>
      </c>
      <c r="D780" s="3">
        <v>36</v>
      </c>
      <c r="E780" s="3" t="s">
        <v>510</v>
      </c>
      <c r="F780" s="3" t="s">
        <v>528</v>
      </c>
      <c r="G780" s="3" t="s">
        <v>539</v>
      </c>
      <c r="H780" s="2">
        <v>44881</v>
      </c>
      <c r="I780" s="3">
        <v>2</v>
      </c>
      <c r="J780" s="3" t="s">
        <v>542</v>
      </c>
      <c r="K780" s="3">
        <v>3320</v>
      </c>
      <c r="L780" s="3">
        <v>39</v>
      </c>
      <c r="M780" s="3">
        <v>63</v>
      </c>
      <c r="N780" s="3">
        <v>73</v>
      </c>
      <c r="O780" s="3">
        <v>158</v>
      </c>
      <c r="P780" s="3" t="s">
        <v>33</v>
      </c>
      <c r="Q780" s="3" t="s">
        <v>26</v>
      </c>
      <c r="S780" s="3" t="s">
        <v>664</v>
      </c>
      <c r="T780" s="3" t="s">
        <v>27</v>
      </c>
      <c r="U780" s="3">
        <v>7</v>
      </c>
      <c r="V780" s="3">
        <v>1</v>
      </c>
      <c r="W780" s="3" t="s">
        <v>34</v>
      </c>
      <c r="X780" s="3" t="s">
        <v>217</v>
      </c>
      <c r="Y780" s="3">
        <v>7</v>
      </c>
      <c r="Z780" s="3">
        <v>1</v>
      </c>
      <c r="AA780" s="3" t="s">
        <v>42</v>
      </c>
      <c r="AB780" s="3" t="s">
        <v>29</v>
      </c>
      <c r="AC780" s="3" t="s">
        <v>664</v>
      </c>
      <c r="AD780" s="3" t="s">
        <v>59</v>
      </c>
      <c r="AE780" s="3" t="s">
        <v>72</v>
      </c>
      <c r="AF780" s="3" t="s">
        <v>664</v>
      </c>
      <c r="AG780" s="3" t="s">
        <v>48</v>
      </c>
    </row>
    <row r="781" spans="1:33">
      <c r="A781" s="1">
        <v>45215.608460312498</v>
      </c>
      <c r="B781" s="3" t="s">
        <v>1024</v>
      </c>
      <c r="C781" s="2">
        <v>35772</v>
      </c>
      <c r="D781" s="3">
        <v>25</v>
      </c>
      <c r="E781" s="3" t="s">
        <v>510</v>
      </c>
      <c r="F781" s="3" t="s">
        <v>531</v>
      </c>
      <c r="G781" s="3" t="s">
        <v>539</v>
      </c>
      <c r="H781" s="2">
        <v>44419</v>
      </c>
      <c r="I781" s="3">
        <v>1</v>
      </c>
      <c r="J781" s="3" t="s">
        <v>541</v>
      </c>
      <c r="K781" s="3">
        <v>2080</v>
      </c>
      <c r="L781" s="3">
        <v>33</v>
      </c>
      <c r="M781" s="3">
        <v>62</v>
      </c>
      <c r="N781" s="3">
        <v>67</v>
      </c>
      <c r="O781" s="3">
        <v>159</v>
      </c>
      <c r="P781" s="3" t="s">
        <v>33</v>
      </c>
      <c r="Q781" s="3" t="s">
        <v>26</v>
      </c>
      <c r="S781" s="3" t="s">
        <v>664</v>
      </c>
      <c r="T781" s="3" t="s">
        <v>79</v>
      </c>
      <c r="U781" s="3">
        <v>7</v>
      </c>
      <c r="V781" s="3">
        <v>1</v>
      </c>
      <c r="W781" s="3" t="s">
        <v>34</v>
      </c>
      <c r="X781" s="3" t="s">
        <v>58</v>
      </c>
      <c r="Y781" s="3">
        <v>7</v>
      </c>
      <c r="Z781" s="3">
        <v>1</v>
      </c>
      <c r="AA781" s="3" t="s">
        <v>49</v>
      </c>
      <c r="AB781" s="3" t="s">
        <v>29</v>
      </c>
      <c r="AC781" s="3" t="s">
        <v>664</v>
      </c>
      <c r="AD781" s="3" t="s">
        <v>30</v>
      </c>
      <c r="AE781" s="3" t="s">
        <v>87</v>
      </c>
      <c r="AF781" s="3" t="s">
        <v>664</v>
      </c>
      <c r="AG781" s="3" t="s">
        <v>32</v>
      </c>
    </row>
    <row r="782" spans="1:33">
      <c r="A782" s="1">
        <v>45215.618373414356</v>
      </c>
      <c r="B782" s="3" t="s">
        <v>1024</v>
      </c>
      <c r="C782" s="2">
        <v>31929</v>
      </c>
      <c r="D782" s="3">
        <v>36</v>
      </c>
      <c r="E782" s="3" t="s">
        <v>510</v>
      </c>
      <c r="F782" s="3" t="s">
        <v>520</v>
      </c>
      <c r="G782" s="3" t="s">
        <v>540</v>
      </c>
      <c r="H782" s="2">
        <v>44909</v>
      </c>
      <c r="I782" s="3">
        <v>1</v>
      </c>
      <c r="J782" s="3" t="s">
        <v>542</v>
      </c>
      <c r="K782" s="3">
        <v>3970</v>
      </c>
      <c r="L782" s="3">
        <v>40.6</v>
      </c>
      <c r="M782" s="3">
        <v>80</v>
      </c>
      <c r="N782" s="3">
        <v>89</v>
      </c>
      <c r="O782" s="3">
        <v>164</v>
      </c>
      <c r="P782" s="3" t="s">
        <v>123</v>
      </c>
      <c r="Q782" s="3" t="s">
        <v>34</v>
      </c>
      <c r="S782" s="3" t="s">
        <v>664</v>
      </c>
      <c r="T782" s="3" t="s">
        <v>43</v>
      </c>
      <c r="U782" s="3">
        <v>7</v>
      </c>
      <c r="V782" s="3">
        <v>1</v>
      </c>
      <c r="W782" s="3" t="s">
        <v>26</v>
      </c>
      <c r="AA782" s="3" t="s">
        <v>36</v>
      </c>
      <c r="AB782" s="3" t="s">
        <v>122</v>
      </c>
      <c r="AC782" s="3" t="s">
        <v>664</v>
      </c>
      <c r="AD782" s="3" t="s">
        <v>30</v>
      </c>
      <c r="AE782" s="3" t="s">
        <v>60</v>
      </c>
      <c r="AF782" s="3" t="s">
        <v>664</v>
      </c>
      <c r="AG782" s="3" t="s">
        <v>39</v>
      </c>
    </row>
    <row r="783" spans="1:33">
      <c r="A783" s="1">
        <v>45215.621125000005</v>
      </c>
      <c r="B783" s="3" t="s">
        <v>1024</v>
      </c>
      <c r="C783" s="2">
        <v>33850</v>
      </c>
      <c r="D783" s="3">
        <v>31</v>
      </c>
      <c r="E783" s="3" t="s">
        <v>510</v>
      </c>
      <c r="F783" s="3" t="s">
        <v>523</v>
      </c>
      <c r="G783" s="3" t="s">
        <v>539</v>
      </c>
      <c r="H783" s="2">
        <v>44659</v>
      </c>
      <c r="I783" s="3">
        <v>1</v>
      </c>
      <c r="J783" s="3" t="s">
        <v>542</v>
      </c>
      <c r="K783" s="3" t="s">
        <v>1173</v>
      </c>
      <c r="L783" s="3" t="s">
        <v>616</v>
      </c>
      <c r="M783" s="3">
        <v>60</v>
      </c>
      <c r="N783" s="3">
        <v>68</v>
      </c>
      <c r="O783" s="3">
        <v>163</v>
      </c>
      <c r="P783" s="3" t="s">
        <v>33</v>
      </c>
      <c r="Q783" s="3" t="s">
        <v>26</v>
      </c>
      <c r="S783" s="3" t="s">
        <v>664</v>
      </c>
      <c r="T783" s="3" t="s">
        <v>79</v>
      </c>
      <c r="U783" s="3">
        <v>7</v>
      </c>
      <c r="V783" s="3">
        <v>1</v>
      </c>
      <c r="W783" s="3" t="s">
        <v>34</v>
      </c>
      <c r="X783" s="3" t="s">
        <v>473</v>
      </c>
      <c r="Y783" s="3">
        <v>7</v>
      </c>
      <c r="Z783" s="3">
        <v>1</v>
      </c>
      <c r="AA783" s="3" t="s">
        <v>36</v>
      </c>
      <c r="AB783" s="3" t="s">
        <v>29</v>
      </c>
      <c r="AC783" s="3" t="s">
        <v>664</v>
      </c>
      <c r="AD783" s="3" t="s">
        <v>55</v>
      </c>
      <c r="AE783" s="3" t="s">
        <v>31</v>
      </c>
      <c r="AF783" s="3" t="s">
        <v>664</v>
      </c>
      <c r="AG783" s="3" t="s">
        <v>32</v>
      </c>
    </row>
    <row r="784" spans="1:33">
      <c r="A784" s="1">
        <v>45215.62356655093</v>
      </c>
      <c r="B784" s="3" t="s">
        <v>1024</v>
      </c>
      <c r="C784" s="2">
        <v>29951</v>
      </c>
      <c r="D784" s="3">
        <v>41</v>
      </c>
      <c r="E784" s="3" t="s">
        <v>510</v>
      </c>
      <c r="F784" s="3" t="s">
        <v>520</v>
      </c>
      <c r="G784" s="3" t="s">
        <v>538</v>
      </c>
      <c r="H784" s="2">
        <v>43168</v>
      </c>
      <c r="I784" s="3">
        <v>3</v>
      </c>
      <c r="J784" s="3" t="s">
        <v>542</v>
      </c>
      <c r="K784" s="3">
        <v>4870</v>
      </c>
      <c r="L784" s="3">
        <v>38</v>
      </c>
      <c r="M784" s="3">
        <v>98</v>
      </c>
      <c r="N784" s="3">
        <v>103</v>
      </c>
      <c r="O784" s="3">
        <v>168</v>
      </c>
      <c r="P784" s="3" t="s">
        <v>33</v>
      </c>
      <c r="Q784" s="3" t="s">
        <v>26</v>
      </c>
      <c r="S784" s="3" t="s">
        <v>26</v>
      </c>
      <c r="W784" s="3" t="s">
        <v>26</v>
      </c>
      <c r="AA784" s="3" t="s">
        <v>51</v>
      </c>
      <c r="AB784" s="3" t="s">
        <v>29</v>
      </c>
      <c r="AC784" s="3" t="s">
        <v>664</v>
      </c>
      <c r="AD784" s="3" t="s">
        <v>30</v>
      </c>
      <c r="AE784" s="3" t="s">
        <v>31</v>
      </c>
      <c r="AF784" s="3" t="s">
        <v>664</v>
      </c>
      <c r="AG784" s="3" t="s">
        <v>32</v>
      </c>
    </row>
    <row r="785" spans="1:33">
      <c r="A785" s="1">
        <v>45215.628633229164</v>
      </c>
      <c r="B785" s="3" t="s">
        <v>1024</v>
      </c>
      <c r="C785" s="2">
        <v>35579</v>
      </c>
      <c r="D785" s="3">
        <v>26</v>
      </c>
      <c r="E785" s="3" t="s">
        <v>510</v>
      </c>
      <c r="F785" s="3" t="s">
        <v>522</v>
      </c>
      <c r="G785" s="3" t="s">
        <v>539</v>
      </c>
      <c r="H785" s="2">
        <v>44852</v>
      </c>
      <c r="I785" s="3">
        <v>1</v>
      </c>
      <c r="J785" s="3" t="s">
        <v>542</v>
      </c>
      <c r="K785" s="3" t="s">
        <v>1395</v>
      </c>
      <c r="L785" s="3" t="s">
        <v>661</v>
      </c>
      <c r="M785" s="3">
        <v>83</v>
      </c>
      <c r="N785" s="3">
        <v>96</v>
      </c>
      <c r="O785" s="3">
        <v>167</v>
      </c>
      <c r="P785" s="3" t="s">
        <v>33</v>
      </c>
      <c r="Q785" s="3" t="s">
        <v>26</v>
      </c>
      <c r="S785" s="3" t="s">
        <v>664</v>
      </c>
      <c r="T785" s="3" t="s">
        <v>57</v>
      </c>
      <c r="U785" s="3">
        <v>7</v>
      </c>
      <c r="V785" s="3">
        <v>1</v>
      </c>
      <c r="W785" s="3" t="s">
        <v>34</v>
      </c>
      <c r="X785" s="3" t="s">
        <v>219</v>
      </c>
      <c r="Y785" s="3">
        <v>7</v>
      </c>
      <c r="Z785" s="3">
        <v>1</v>
      </c>
      <c r="AA785" s="3" t="s">
        <v>49</v>
      </c>
      <c r="AB785" s="3" t="s">
        <v>29</v>
      </c>
      <c r="AC785" s="3" t="s">
        <v>664</v>
      </c>
      <c r="AD785" s="3" t="s">
        <v>37</v>
      </c>
      <c r="AE785" s="3" t="s">
        <v>72</v>
      </c>
      <c r="AF785" s="3" t="s">
        <v>664</v>
      </c>
      <c r="AG785" s="3" t="s">
        <v>32</v>
      </c>
    </row>
    <row r="786" spans="1:33">
      <c r="A786" s="1">
        <v>45215.65438954861</v>
      </c>
      <c r="B786" s="3" t="s">
        <v>1024</v>
      </c>
      <c r="C786" s="2">
        <v>33315</v>
      </c>
      <c r="D786" s="3">
        <v>32</v>
      </c>
      <c r="E786" s="3" t="s">
        <v>510</v>
      </c>
      <c r="F786" s="3" t="s">
        <v>528</v>
      </c>
      <c r="G786" s="3" t="s">
        <v>539</v>
      </c>
      <c r="H786" s="2">
        <v>44958</v>
      </c>
      <c r="I786" s="3">
        <v>1</v>
      </c>
      <c r="J786" s="3" t="s">
        <v>541</v>
      </c>
      <c r="K786" s="3">
        <v>3420</v>
      </c>
      <c r="L786" s="3">
        <v>36</v>
      </c>
      <c r="M786" s="3">
        <v>80</v>
      </c>
      <c r="N786" s="3">
        <v>87</v>
      </c>
      <c r="O786" s="3">
        <v>170</v>
      </c>
      <c r="P786" s="3" t="s">
        <v>33</v>
      </c>
      <c r="Q786" s="3" t="s">
        <v>26</v>
      </c>
      <c r="S786" s="3" t="s">
        <v>664</v>
      </c>
      <c r="T786" s="3" t="s">
        <v>27</v>
      </c>
      <c r="U786" s="3">
        <v>7</v>
      </c>
      <c r="V786" s="3">
        <v>1</v>
      </c>
      <c r="W786" s="3" t="s">
        <v>34</v>
      </c>
      <c r="X786" s="3" t="s">
        <v>69</v>
      </c>
      <c r="Y786" s="3">
        <v>7</v>
      </c>
      <c r="Z786" s="3">
        <v>1</v>
      </c>
      <c r="AA786" s="3" t="s">
        <v>28</v>
      </c>
      <c r="AB786" s="3" t="s">
        <v>29</v>
      </c>
      <c r="AC786" s="3" t="s">
        <v>664</v>
      </c>
      <c r="AD786" s="3" t="s">
        <v>30</v>
      </c>
      <c r="AE786" s="3" t="s">
        <v>31</v>
      </c>
      <c r="AF786" s="3" t="s">
        <v>664</v>
      </c>
      <c r="AG786" s="3" t="s">
        <v>62</v>
      </c>
    </row>
    <row r="787" spans="1:33">
      <c r="A787" s="1">
        <v>45215.655764687501</v>
      </c>
      <c r="B787" s="3" t="s">
        <v>1024</v>
      </c>
      <c r="C787" s="2">
        <v>31050</v>
      </c>
      <c r="D787" s="3">
        <v>38</v>
      </c>
      <c r="E787" s="3" t="s">
        <v>510</v>
      </c>
      <c r="F787" s="3" t="s">
        <v>529</v>
      </c>
      <c r="G787" s="3" t="s">
        <v>540</v>
      </c>
      <c r="H787" s="2">
        <v>44551</v>
      </c>
      <c r="I787" s="3">
        <v>1</v>
      </c>
      <c r="J787" s="3" t="s">
        <v>541</v>
      </c>
      <c r="K787" s="3">
        <v>3020</v>
      </c>
      <c r="L787" s="3">
        <v>37</v>
      </c>
      <c r="M787" s="3">
        <v>90</v>
      </c>
      <c r="N787" s="3">
        <v>95</v>
      </c>
      <c r="O787" s="3">
        <v>158</v>
      </c>
      <c r="P787" s="3" t="s">
        <v>33</v>
      </c>
      <c r="Q787" s="3" t="s">
        <v>26</v>
      </c>
      <c r="S787" s="3" t="s">
        <v>664</v>
      </c>
      <c r="T787" s="3" t="s">
        <v>839</v>
      </c>
      <c r="U787" s="3">
        <v>7</v>
      </c>
      <c r="V787" s="3">
        <v>1</v>
      </c>
      <c r="W787" s="3" t="s">
        <v>26</v>
      </c>
      <c r="AA787" s="3" t="s">
        <v>28</v>
      </c>
      <c r="AB787" s="3" t="s">
        <v>29</v>
      </c>
      <c r="AC787" s="3" t="s">
        <v>664</v>
      </c>
      <c r="AD787" s="3" t="s">
        <v>55</v>
      </c>
      <c r="AE787" s="3" t="s">
        <v>840</v>
      </c>
      <c r="AF787" s="3" t="s">
        <v>664</v>
      </c>
      <c r="AG787" s="3" t="s">
        <v>94</v>
      </c>
    </row>
    <row r="788" spans="1:33">
      <c r="A788" s="1">
        <v>45215.664819062498</v>
      </c>
      <c r="B788" s="3" t="s">
        <v>1024</v>
      </c>
      <c r="C788" s="2">
        <v>33625</v>
      </c>
      <c r="D788" s="3">
        <v>31</v>
      </c>
      <c r="E788" s="3" t="s">
        <v>510</v>
      </c>
      <c r="F788" s="3" t="s">
        <v>521</v>
      </c>
      <c r="G788" s="3" t="s">
        <v>538</v>
      </c>
      <c r="H788" s="2">
        <v>44486</v>
      </c>
      <c r="I788" s="3">
        <v>2</v>
      </c>
      <c r="J788" s="3" t="s">
        <v>541</v>
      </c>
      <c r="K788" s="3">
        <v>3320</v>
      </c>
      <c r="L788" s="3">
        <v>38</v>
      </c>
      <c r="M788" s="3">
        <v>64</v>
      </c>
      <c r="N788" s="3">
        <v>80</v>
      </c>
      <c r="O788" s="3">
        <v>165</v>
      </c>
      <c r="P788" s="3" t="s">
        <v>123</v>
      </c>
      <c r="Q788" s="3" t="s">
        <v>26</v>
      </c>
      <c r="S788" s="3" t="s">
        <v>664</v>
      </c>
      <c r="T788" s="3" t="s">
        <v>41</v>
      </c>
      <c r="U788" s="3">
        <v>7</v>
      </c>
      <c r="V788" s="3">
        <v>1</v>
      </c>
      <c r="W788" s="3" t="s">
        <v>26</v>
      </c>
      <c r="AA788" s="3" t="s">
        <v>49</v>
      </c>
      <c r="AB788" s="3" t="s">
        <v>474</v>
      </c>
      <c r="AC788" s="3" t="s">
        <v>664</v>
      </c>
      <c r="AD788" s="3" t="s">
        <v>55</v>
      </c>
      <c r="AE788" s="3" t="s">
        <v>72</v>
      </c>
      <c r="AF788" s="3" t="s">
        <v>664</v>
      </c>
      <c r="AG788" s="3" t="s">
        <v>32</v>
      </c>
    </row>
    <row r="789" spans="1:33">
      <c r="A789" s="1">
        <v>45215.665497719907</v>
      </c>
      <c r="B789" s="3" t="s">
        <v>1024</v>
      </c>
      <c r="C789" s="2">
        <v>31659</v>
      </c>
      <c r="D789" s="3">
        <v>37</v>
      </c>
      <c r="E789" s="3" t="s">
        <v>510</v>
      </c>
      <c r="F789" s="3" t="s">
        <v>520</v>
      </c>
      <c r="G789" s="3" t="s">
        <v>537</v>
      </c>
      <c r="H789" s="2">
        <v>43730</v>
      </c>
      <c r="I789" s="3">
        <v>2</v>
      </c>
      <c r="J789" s="3" t="s">
        <v>542</v>
      </c>
      <c r="K789" s="3">
        <v>2780</v>
      </c>
      <c r="L789" s="3" t="s">
        <v>841</v>
      </c>
      <c r="M789" s="3">
        <v>64</v>
      </c>
      <c r="N789" s="3">
        <v>72</v>
      </c>
      <c r="O789" s="3">
        <v>152</v>
      </c>
      <c r="P789" s="3" t="s">
        <v>33</v>
      </c>
      <c r="Q789" s="3" t="s">
        <v>26</v>
      </c>
      <c r="S789" s="3" t="s">
        <v>664</v>
      </c>
      <c r="T789" s="3" t="s">
        <v>475</v>
      </c>
      <c r="U789" s="3">
        <v>7</v>
      </c>
      <c r="V789" s="3">
        <v>1</v>
      </c>
      <c r="W789" s="3" t="s">
        <v>26</v>
      </c>
      <c r="AA789" s="3" t="s">
        <v>42</v>
      </c>
      <c r="AB789" s="3" t="s">
        <v>29</v>
      </c>
      <c r="AC789" s="3" t="s">
        <v>664</v>
      </c>
      <c r="AD789" s="3" t="s">
        <v>30</v>
      </c>
      <c r="AE789" s="3" t="s">
        <v>72</v>
      </c>
      <c r="AF789" s="3" t="s">
        <v>664</v>
      </c>
      <c r="AG789" s="3" t="s">
        <v>39</v>
      </c>
    </row>
    <row r="790" spans="1:33">
      <c r="A790" s="1">
        <v>45215.731134363421</v>
      </c>
      <c r="B790" s="3" t="s">
        <v>1024</v>
      </c>
      <c r="C790" s="2">
        <v>30046</v>
      </c>
      <c r="D790" s="3">
        <v>41</v>
      </c>
      <c r="E790" s="3" t="s">
        <v>510</v>
      </c>
      <c r="F790" s="3" t="s">
        <v>525</v>
      </c>
      <c r="G790" s="3" t="s">
        <v>539</v>
      </c>
      <c r="H790" s="2">
        <v>43560</v>
      </c>
      <c r="I790" s="3">
        <v>1</v>
      </c>
      <c r="J790" s="3" t="s">
        <v>541</v>
      </c>
      <c r="K790" s="3" t="s">
        <v>1294</v>
      </c>
      <c r="L790" s="3" t="s">
        <v>627</v>
      </c>
      <c r="M790" s="3">
        <v>70</v>
      </c>
      <c r="N790" s="3">
        <v>73</v>
      </c>
      <c r="O790" s="3">
        <v>153</v>
      </c>
      <c r="P790" s="3" t="s">
        <v>33</v>
      </c>
      <c r="Q790" s="3" t="s">
        <v>26</v>
      </c>
      <c r="R790" s="3" t="s">
        <v>476</v>
      </c>
      <c r="S790" s="3" t="s">
        <v>664</v>
      </c>
      <c r="T790" s="3" t="s">
        <v>56</v>
      </c>
      <c r="U790" s="3">
        <v>7</v>
      </c>
      <c r="V790" s="3">
        <v>1</v>
      </c>
      <c r="W790" s="3" t="s">
        <v>26</v>
      </c>
      <c r="AA790" s="3" t="s">
        <v>42</v>
      </c>
      <c r="AB790" s="3" t="s">
        <v>477</v>
      </c>
      <c r="AC790" s="3" t="s">
        <v>664</v>
      </c>
      <c r="AD790" s="3" t="s">
        <v>30</v>
      </c>
      <c r="AE790" s="3" t="s">
        <v>72</v>
      </c>
      <c r="AF790" s="3" t="s">
        <v>664</v>
      </c>
      <c r="AG790" s="3" t="s">
        <v>32</v>
      </c>
    </row>
    <row r="791" spans="1:33">
      <c r="A791" s="1">
        <v>45215.732074837964</v>
      </c>
      <c r="B791" s="3" t="s">
        <v>1024</v>
      </c>
      <c r="C791" s="2">
        <v>31762</v>
      </c>
      <c r="D791" s="3">
        <v>36</v>
      </c>
      <c r="E791" s="3" t="s">
        <v>510</v>
      </c>
      <c r="F791" s="3" t="s">
        <v>523</v>
      </c>
      <c r="G791" s="3" t="s">
        <v>539</v>
      </c>
      <c r="H791" s="2">
        <v>44772</v>
      </c>
      <c r="I791" s="3">
        <v>1</v>
      </c>
      <c r="J791" s="3" t="s">
        <v>541</v>
      </c>
      <c r="K791" s="3">
        <v>3660</v>
      </c>
      <c r="L791" s="3" t="s">
        <v>709</v>
      </c>
      <c r="M791" s="3">
        <v>72</v>
      </c>
      <c r="N791" s="3">
        <v>78</v>
      </c>
      <c r="O791" s="3">
        <v>170</v>
      </c>
      <c r="P791" s="3" t="s">
        <v>33</v>
      </c>
      <c r="Q791" s="3" t="s">
        <v>26</v>
      </c>
      <c r="S791" s="3" t="s">
        <v>664</v>
      </c>
      <c r="T791" s="3" t="s">
        <v>57</v>
      </c>
      <c r="U791" s="3">
        <v>7</v>
      </c>
      <c r="V791" s="3">
        <v>1</v>
      </c>
      <c r="W791" s="3" t="s">
        <v>34</v>
      </c>
      <c r="X791" s="3" t="s">
        <v>71</v>
      </c>
      <c r="Y791" s="3">
        <v>7</v>
      </c>
      <c r="Z791" s="3">
        <v>1</v>
      </c>
      <c r="AA791" s="3" t="s">
        <v>28</v>
      </c>
      <c r="AB791" s="3" t="s">
        <v>29</v>
      </c>
      <c r="AC791" s="3" t="s">
        <v>664</v>
      </c>
      <c r="AD791" s="3" t="s">
        <v>30</v>
      </c>
      <c r="AE791" s="3" t="s">
        <v>38</v>
      </c>
      <c r="AF791" s="3" t="s">
        <v>664</v>
      </c>
      <c r="AG791" s="3" t="s">
        <v>39</v>
      </c>
    </row>
    <row r="792" spans="1:33">
      <c r="A792" s="1">
        <v>45215.735394143514</v>
      </c>
      <c r="B792" s="3" t="s">
        <v>1024</v>
      </c>
      <c r="C792" s="2">
        <v>33143</v>
      </c>
      <c r="D792" s="3">
        <v>33</v>
      </c>
      <c r="E792" s="3" t="s">
        <v>510</v>
      </c>
      <c r="F792" s="3" t="s">
        <v>530</v>
      </c>
      <c r="G792" s="3" t="s">
        <v>539</v>
      </c>
      <c r="H792" s="2">
        <v>44241</v>
      </c>
      <c r="I792" s="3">
        <v>2</v>
      </c>
      <c r="J792" s="3" t="s">
        <v>541</v>
      </c>
      <c r="K792" s="3">
        <v>2420</v>
      </c>
      <c r="L792" s="3" t="s">
        <v>810</v>
      </c>
      <c r="M792" s="3">
        <v>65</v>
      </c>
      <c r="N792" s="3">
        <v>70</v>
      </c>
      <c r="O792" s="3">
        <v>158</v>
      </c>
      <c r="P792" s="3" t="s">
        <v>44</v>
      </c>
      <c r="Q792" s="3" t="s">
        <v>26</v>
      </c>
      <c r="S792" s="3" t="s">
        <v>664</v>
      </c>
      <c r="T792" s="3" t="s">
        <v>79</v>
      </c>
      <c r="U792" s="3">
        <v>7</v>
      </c>
      <c r="V792" s="3">
        <v>1</v>
      </c>
      <c r="W792" s="3" t="s">
        <v>34</v>
      </c>
      <c r="X792" s="3" t="s">
        <v>61</v>
      </c>
      <c r="Y792" s="3">
        <v>7</v>
      </c>
      <c r="Z792" s="3">
        <v>1</v>
      </c>
      <c r="AA792" s="3" t="s">
        <v>49</v>
      </c>
      <c r="AB792" s="3" t="s">
        <v>478</v>
      </c>
      <c r="AC792" s="3" t="s">
        <v>664</v>
      </c>
      <c r="AD792" s="3" t="s">
        <v>55</v>
      </c>
      <c r="AE792" s="3" t="s">
        <v>31</v>
      </c>
      <c r="AF792" s="3" t="s">
        <v>664</v>
      </c>
      <c r="AG792" s="3" t="s">
        <v>32</v>
      </c>
    </row>
    <row r="793" spans="1:33">
      <c r="A793" s="1">
        <v>45215.743881469913</v>
      </c>
      <c r="B793" s="3" t="s">
        <v>1024</v>
      </c>
      <c r="C793" s="2">
        <v>31554</v>
      </c>
      <c r="D793" s="3">
        <v>37</v>
      </c>
      <c r="E793" s="3" t="s">
        <v>510</v>
      </c>
      <c r="F793" s="3" t="s">
        <v>531</v>
      </c>
      <c r="G793" s="3" t="s">
        <v>539</v>
      </c>
      <c r="H793" s="2">
        <v>44166</v>
      </c>
      <c r="I793" s="3">
        <v>1</v>
      </c>
      <c r="J793" s="3" t="s">
        <v>542</v>
      </c>
      <c r="K793" s="3" t="s">
        <v>1396</v>
      </c>
      <c r="L793" s="3" t="s">
        <v>842</v>
      </c>
      <c r="M793" s="3">
        <v>96</v>
      </c>
      <c r="N793" s="3">
        <v>112</v>
      </c>
      <c r="O793" s="3">
        <v>161</v>
      </c>
      <c r="P793" s="3" t="s">
        <v>33</v>
      </c>
      <c r="Q793" s="3" t="s">
        <v>26</v>
      </c>
      <c r="S793" s="3" t="s">
        <v>664</v>
      </c>
      <c r="T793" s="3" t="s">
        <v>79</v>
      </c>
      <c r="U793" s="3">
        <v>7</v>
      </c>
      <c r="V793" s="3">
        <v>1</v>
      </c>
      <c r="W793" s="3" t="s">
        <v>34</v>
      </c>
      <c r="X793" s="3" t="s">
        <v>281</v>
      </c>
      <c r="Y793" s="3">
        <v>7</v>
      </c>
      <c r="Z793" s="3">
        <v>2</v>
      </c>
      <c r="AA793" s="3" t="s">
        <v>49</v>
      </c>
      <c r="AB793" s="3" t="s">
        <v>479</v>
      </c>
      <c r="AC793" s="3" t="s">
        <v>664</v>
      </c>
      <c r="AD793" s="3" t="s">
        <v>37</v>
      </c>
      <c r="AE793" s="3" t="s">
        <v>87</v>
      </c>
      <c r="AF793" s="3" t="s">
        <v>664</v>
      </c>
      <c r="AG793" s="3" t="s">
        <v>62</v>
      </c>
    </row>
    <row r="794" spans="1:33">
      <c r="A794" s="1">
        <v>45215.75961444444</v>
      </c>
      <c r="B794" s="3" t="s">
        <v>1024</v>
      </c>
      <c r="C794" s="2">
        <v>33276</v>
      </c>
      <c r="D794" s="3">
        <v>32</v>
      </c>
      <c r="E794" s="3" t="s">
        <v>510</v>
      </c>
      <c r="F794" s="3" t="s">
        <v>527</v>
      </c>
      <c r="G794" s="3" t="s">
        <v>539</v>
      </c>
      <c r="H794" s="2">
        <v>45050</v>
      </c>
      <c r="I794" s="3">
        <v>1</v>
      </c>
      <c r="J794" s="3" t="s">
        <v>541</v>
      </c>
      <c r="K794" s="3">
        <v>3540</v>
      </c>
      <c r="L794" s="3" t="s">
        <v>638</v>
      </c>
      <c r="M794" s="3">
        <v>96</v>
      </c>
      <c r="N794" s="3">
        <v>100</v>
      </c>
      <c r="O794" s="3">
        <v>157</v>
      </c>
      <c r="P794" s="3" t="s">
        <v>44</v>
      </c>
      <c r="Q794" s="3" t="s">
        <v>34</v>
      </c>
      <c r="R794" s="3" t="s">
        <v>480</v>
      </c>
      <c r="S794" s="3" t="s">
        <v>664</v>
      </c>
      <c r="T794" s="3" t="s">
        <v>57</v>
      </c>
      <c r="U794" s="3">
        <v>7</v>
      </c>
      <c r="V794" s="3">
        <v>1</v>
      </c>
      <c r="W794" s="3" t="s">
        <v>26</v>
      </c>
      <c r="AA794" s="3" t="s">
        <v>49</v>
      </c>
      <c r="AB794" s="3" t="s">
        <v>481</v>
      </c>
      <c r="AC794" s="3" t="s">
        <v>664</v>
      </c>
      <c r="AD794" s="3" t="s">
        <v>30</v>
      </c>
      <c r="AE794" s="3" t="s">
        <v>38</v>
      </c>
      <c r="AF794" s="3" t="s">
        <v>664</v>
      </c>
      <c r="AG794" s="3" t="s">
        <v>39</v>
      </c>
    </row>
    <row r="795" spans="1:33">
      <c r="A795" s="1">
        <v>45215.773072557873</v>
      </c>
      <c r="B795" s="3" t="s">
        <v>1024</v>
      </c>
      <c r="C795" s="2">
        <v>36879</v>
      </c>
      <c r="D795" s="3">
        <v>22</v>
      </c>
      <c r="E795" s="3" t="s">
        <v>510</v>
      </c>
      <c r="F795" s="3" t="s">
        <v>522</v>
      </c>
      <c r="G795" s="3" t="s">
        <v>538</v>
      </c>
      <c r="H795" s="2">
        <v>44826</v>
      </c>
      <c r="I795" s="3">
        <v>1</v>
      </c>
      <c r="J795" s="3" t="s">
        <v>541</v>
      </c>
      <c r="K795" s="3">
        <v>2870</v>
      </c>
      <c r="L795" s="3" t="s">
        <v>627</v>
      </c>
      <c r="M795" s="3">
        <v>50</v>
      </c>
      <c r="N795" s="3">
        <v>56</v>
      </c>
      <c r="O795" s="3">
        <v>160</v>
      </c>
      <c r="P795" s="3" t="s">
        <v>295</v>
      </c>
      <c r="Q795" s="3" t="s">
        <v>26</v>
      </c>
      <c r="S795" s="3" t="s">
        <v>664</v>
      </c>
      <c r="T795" s="3" t="s">
        <v>79</v>
      </c>
      <c r="U795" s="3">
        <v>7</v>
      </c>
      <c r="V795" s="3">
        <v>1</v>
      </c>
      <c r="W795" s="3" t="s">
        <v>34</v>
      </c>
      <c r="X795" s="3" t="s">
        <v>80</v>
      </c>
      <c r="Y795" s="3">
        <v>7</v>
      </c>
      <c r="Z795" s="3">
        <v>1</v>
      </c>
      <c r="AA795" s="3" t="s">
        <v>28</v>
      </c>
      <c r="AB795" s="3" t="s">
        <v>29</v>
      </c>
      <c r="AC795" s="3" t="s">
        <v>664</v>
      </c>
      <c r="AD795" s="3" t="s">
        <v>55</v>
      </c>
      <c r="AE795" s="3" t="s">
        <v>31</v>
      </c>
      <c r="AF795" s="3" t="s">
        <v>664</v>
      </c>
      <c r="AG795" s="3" t="s">
        <v>32</v>
      </c>
    </row>
    <row r="796" spans="1:33">
      <c r="A796" s="1">
        <v>45215.780051145834</v>
      </c>
      <c r="B796" s="3" t="s">
        <v>1024</v>
      </c>
      <c r="C796" s="2">
        <v>34734</v>
      </c>
      <c r="D796" s="3">
        <v>28</v>
      </c>
      <c r="E796" s="3" t="s">
        <v>510</v>
      </c>
      <c r="F796" s="3" t="s">
        <v>529</v>
      </c>
      <c r="G796" s="3" t="s">
        <v>539</v>
      </c>
      <c r="H796" s="2">
        <v>44871</v>
      </c>
      <c r="I796" s="3">
        <v>1</v>
      </c>
      <c r="J796" s="3" t="s">
        <v>542</v>
      </c>
      <c r="K796" s="3" t="s">
        <v>1397</v>
      </c>
      <c r="L796" s="3" t="s">
        <v>719</v>
      </c>
      <c r="M796" s="3">
        <v>80</v>
      </c>
      <c r="N796" s="3">
        <v>100</v>
      </c>
      <c r="O796" s="3">
        <v>1.5</v>
      </c>
      <c r="P796" s="3" t="s">
        <v>33</v>
      </c>
      <c r="Q796" s="3" t="s">
        <v>26</v>
      </c>
      <c r="S796" s="3" t="s">
        <v>664</v>
      </c>
      <c r="T796" s="3" t="s">
        <v>79</v>
      </c>
      <c r="U796" s="3">
        <v>7</v>
      </c>
      <c r="V796" s="3">
        <v>1</v>
      </c>
      <c r="W796" s="3" t="s">
        <v>26</v>
      </c>
      <c r="AA796" s="3" t="s">
        <v>49</v>
      </c>
      <c r="AB796" s="3" t="s">
        <v>29</v>
      </c>
      <c r="AC796" s="3" t="s">
        <v>664</v>
      </c>
      <c r="AD796" s="3" t="s">
        <v>30</v>
      </c>
      <c r="AE796" s="3" t="s">
        <v>38</v>
      </c>
      <c r="AF796" s="3" t="s">
        <v>664</v>
      </c>
      <c r="AG796" s="3" t="s">
        <v>39</v>
      </c>
    </row>
    <row r="797" spans="1:33">
      <c r="A797" s="1">
        <v>45215.784300219908</v>
      </c>
      <c r="B797" s="3" t="s">
        <v>1024</v>
      </c>
      <c r="C797" s="2">
        <v>33072</v>
      </c>
      <c r="D797" s="3">
        <v>33</v>
      </c>
      <c r="E797" s="3" t="s">
        <v>510</v>
      </c>
      <c r="F797" s="3" t="s">
        <v>530</v>
      </c>
      <c r="G797" s="3" t="s">
        <v>539</v>
      </c>
      <c r="H797" s="2">
        <v>45012</v>
      </c>
      <c r="I797" s="3">
        <v>4</v>
      </c>
      <c r="J797" s="3" t="s">
        <v>542</v>
      </c>
      <c r="K797" s="3">
        <v>3970</v>
      </c>
      <c r="L797" s="3">
        <v>38</v>
      </c>
      <c r="M797" s="3" t="s">
        <v>1398</v>
      </c>
      <c r="N797" s="3">
        <v>87</v>
      </c>
      <c r="O797" s="3">
        <v>173</v>
      </c>
      <c r="P797" s="3" t="s">
        <v>33</v>
      </c>
      <c r="Q797" s="3" t="s">
        <v>26</v>
      </c>
      <c r="S797" s="3" t="s">
        <v>664</v>
      </c>
      <c r="T797" s="3" t="s">
        <v>79</v>
      </c>
      <c r="U797" s="3">
        <v>7</v>
      </c>
      <c r="V797" s="3">
        <v>1</v>
      </c>
      <c r="W797" s="3" t="s">
        <v>26</v>
      </c>
      <c r="AA797" s="3" t="s">
        <v>28</v>
      </c>
      <c r="AB797" s="3" t="s">
        <v>29</v>
      </c>
      <c r="AC797" s="3" t="s">
        <v>664</v>
      </c>
      <c r="AD797" s="3" t="s">
        <v>482</v>
      </c>
      <c r="AE797" s="3" t="s">
        <v>31</v>
      </c>
      <c r="AF797" s="3" t="s">
        <v>664</v>
      </c>
      <c r="AG797" s="3" t="s">
        <v>32</v>
      </c>
    </row>
    <row r="798" spans="1:33">
      <c r="A798" s="1">
        <v>45215.79359238426</v>
      </c>
      <c r="B798" s="3" t="s">
        <v>1024</v>
      </c>
      <c r="C798" s="2">
        <v>31027</v>
      </c>
      <c r="D798" s="3">
        <v>38</v>
      </c>
      <c r="E798" s="3" t="s">
        <v>510</v>
      </c>
      <c r="F798" s="3" t="s">
        <v>531</v>
      </c>
      <c r="G798" s="3" t="s">
        <v>539</v>
      </c>
      <c r="H798" s="2">
        <v>44734</v>
      </c>
      <c r="I798" s="3">
        <v>1</v>
      </c>
      <c r="J798" s="3" t="s">
        <v>541</v>
      </c>
      <c r="K798" s="3">
        <v>3070</v>
      </c>
      <c r="L798" s="3" t="s">
        <v>704</v>
      </c>
      <c r="M798" s="3">
        <v>57</v>
      </c>
      <c r="N798" s="3">
        <v>72</v>
      </c>
      <c r="O798" s="3">
        <v>162</v>
      </c>
      <c r="P798" s="3" t="s">
        <v>106</v>
      </c>
      <c r="Q798" s="3" t="s">
        <v>26</v>
      </c>
      <c r="S798" s="3" t="s">
        <v>664</v>
      </c>
      <c r="T798" s="3" t="s">
        <v>43</v>
      </c>
      <c r="U798" s="3">
        <v>7</v>
      </c>
      <c r="V798" s="3">
        <v>1</v>
      </c>
      <c r="W798" s="3" t="s">
        <v>34</v>
      </c>
      <c r="X798" s="3" t="s">
        <v>483</v>
      </c>
      <c r="Y798" s="3">
        <v>7</v>
      </c>
      <c r="Z798" s="3">
        <v>1</v>
      </c>
      <c r="AA798" s="3" t="s">
        <v>49</v>
      </c>
      <c r="AB798" s="3" t="s">
        <v>83</v>
      </c>
      <c r="AC798" s="3" t="s">
        <v>664</v>
      </c>
      <c r="AD798" s="3" t="s">
        <v>484</v>
      </c>
      <c r="AE798" s="3" t="s">
        <v>38</v>
      </c>
      <c r="AF798" s="3" t="s">
        <v>664</v>
      </c>
      <c r="AG798" s="3" t="s">
        <v>39</v>
      </c>
    </row>
    <row r="799" spans="1:33">
      <c r="A799" s="1">
        <v>45215.799514270839</v>
      </c>
      <c r="B799" s="3" t="s">
        <v>1024</v>
      </c>
      <c r="C799" s="2">
        <v>36230</v>
      </c>
      <c r="D799" s="3">
        <v>33</v>
      </c>
      <c r="E799" s="3" t="s">
        <v>510</v>
      </c>
      <c r="F799" s="3" t="s">
        <v>528</v>
      </c>
      <c r="G799" s="3" t="s">
        <v>539</v>
      </c>
      <c r="H799" s="2">
        <v>43836</v>
      </c>
      <c r="I799" s="3">
        <v>1</v>
      </c>
      <c r="J799" s="3" t="s">
        <v>541</v>
      </c>
      <c r="K799" s="3">
        <v>3330</v>
      </c>
      <c r="L799" s="3" t="s">
        <v>636</v>
      </c>
      <c r="M799" s="3">
        <v>70</v>
      </c>
      <c r="N799" s="3">
        <v>80</v>
      </c>
      <c r="O799" s="3">
        <v>167</v>
      </c>
      <c r="P799" s="3" t="s">
        <v>33</v>
      </c>
      <c r="Q799" s="3" t="s">
        <v>26</v>
      </c>
      <c r="S799" s="3" t="s">
        <v>664</v>
      </c>
      <c r="T799" s="3" t="s">
        <v>27</v>
      </c>
      <c r="U799" s="3">
        <v>7</v>
      </c>
      <c r="V799" s="3">
        <v>1</v>
      </c>
      <c r="W799" s="3" t="s">
        <v>26</v>
      </c>
      <c r="AA799" s="3" t="s">
        <v>49</v>
      </c>
      <c r="AB799" s="3" t="s">
        <v>485</v>
      </c>
      <c r="AC799" s="3" t="s">
        <v>664</v>
      </c>
      <c r="AD799" s="3" t="s">
        <v>30</v>
      </c>
      <c r="AE799" s="3" t="s">
        <v>60</v>
      </c>
      <c r="AF799" s="3" t="s">
        <v>664</v>
      </c>
      <c r="AG799" s="3" t="s">
        <v>39</v>
      </c>
    </row>
    <row r="800" spans="1:33">
      <c r="A800" s="1">
        <v>45215.80179626157</v>
      </c>
      <c r="B800" s="3" t="s">
        <v>1024</v>
      </c>
      <c r="C800" s="2">
        <v>31834</v>
      </c>
      <c r="D800" s="3">
        <v>36</v>
      </c>
      <c r="E800" s="3" t="s">
        <v>510</v>
      </c>
      <c r="F800" s="3" t="s">
        <v>529</v>
      </c>
      <c r="G800" s="3" t="s">
        <v>539</v>
      </c>
      <c r="H800" s="2">
        <v>44851</v>
      </c>
      <c r="I800" s="3">
        <v>2</v>
      </c>
      <c r="J800" s="3" t="s">
        <v>541</v>
      </c>
      <c r="K800" s="3">
        <v>4880</v>
      </c>
      <c r="L800" s="3" t="s">
        <v>627</v>
      </c>
      <c r="M800" s="3">
        <v>80</v>
      </c>
      <c r="N800" s="3">
        <v>94</v>
      </c>
      <c r="O800" s="3">
        <v>162</v>
      </c>
      <c r="P800" s="3" t="s">
        <v>33</v>
      </c>
      <c r="Q800" s="3" t="s">
        <v>26</v>
      </c>
      <c r="S800" s="3" t="s">
        <v>664</v>
      </c>
      <c r="T800" s="3" t="s">
        <v>79</v>
      </c>
      <c r="U800" s="3">
        <v>7</v>
      </c>
      <c r="V800" s="3">
        <v>1</v>
      </c>
      <c r="W800" s="3" t="s">
        <v>26</v>
      </c>
      <c r="AA800" s="3" t="s">
        <v>49</v>
      </c>
      <c r="AB800" s="3" t="s">
        <v>29</v>
      </c>
      <c r="AC800" s="3" t="s">
        <v>664</v>
      </c>
      <c r="AD800" s="3" t="s">
        <v>55</v>
      </c>
      <c r="AE800" s="3" t="s">
        <v>38</v>
      </c>
      <c r="AF800" s="3" t="s">
        <v>664</v>
      </c>
      <c r="AG800" s="3" t="s">
        <v>39</v>
      </c>
    </row>
    <row r="801" spans="1:33">
      <c r="A801" s="1">
        <v>45215.805296840277</v>
      </c>
      <c r="B801" s="3" t="s">
        <v>1024</v>
      </c>
      <c r="C801" s="2">
        <v>32433</v>
      </c>
      <c r="D801" s="3">
        <v>35</v>
      </c>
      <c r="E801" s="3" t="s">
        <v>510</v>
      </c>
      <c r="F801" s="3" t="s">
        <v>520</v>
      </c>
      <c r="G801" s="3" t="s">
        <v>537</v>
      </c>
      <c r="H801" s="2">
        <v>44287</v>
      </c>
      <c r="I801" s="3">
        <v>2</v>
      </c>
      <c r="J801" s="3" t="s">
        <v>541</v>
      </c>
      <c r="K801" s="3">
        <v>4180</v>
      </c>
      <c r="L801" s="3" t="s">
        <v>627</v>
      </c>
      <c r="M801" s="3">
        <v>91</v>
      </c>
      <c r="N801" s="3">
        <v>94</v>
      </c>
      <c r="O801" s="3">
        <v>168</v>
      </c>
      <c r="P801" s="3" t="s">
        <v>33</v>
      </c>
      <c r="Q801" s="3" t="s">
        <v>26</v>
      </c>
      <c r="S801" s="3" t="s">
        <v>664</v>
      </c>
      <c r="T801" s="3" t="s">
        <v>79</v>
      </c>
      <c r="U801" s="3">
        <v>7</v>
      </c>
      <c r="V801" s="3">
        <v>1</v>
      </c>
      <c r="W801" s="3" t="s">
        <v>34</v>
      </c>
      <c r="X801" s="3" t="s">
        <v>61</v>
      </c>
      <c r="Y801" s="3">
        <v>7</v>
      </c>
      <c r="Z801" s="3">
        <v>1</v>
      </c>
      <c r="AA801" s="3" t="s">
        <v>49</v>
      </c>
      <c r="AB801" s="3" t="s">
        <v>486</v>
      </c>
      <c r="AC801" s="3" t="s">
        <v>664</v>
      </c>
      <c r="AD801" s="3" t="s">
        <v>30</v>
      </c>
      <c r="AE801" s="3" t="s">
        <v>72</v>
      </c>
      <c r="AF801" s="3" t="s">
        <v>664</v>
      </c>
      <c r="AG801" s="3" t="s">
        <v>39</v>
      </c>
    </row>
    <row r="802" spans="1:33">
      <c r="A802" s="1">
        <v>45215.815004629629</v>
      </c>
      <c r="B802" s="3" t="s">
        <v>1024</v>
      </c>
      <c r="C802" s="2">
        <v>32725</v>
      </c>
      <c r="D802" s="3">
        <v>34</v>
      </c>
      <c r="E802" s="3" t="s">
        <v>510</v>
      </c>
      <c r="F802" s="3" t="s">
        <v>520</v>
      </c>
      <c r="G802" s="3" t="s">
        <v>539</v>
      </c>
      <c r="H802" s="2">
        <v>43453</v>
      </c>
      <c r="I802" s="3">
        <v>4</v>
      </c>
      <c r="J802" s="3" t="s">
        <v>541</v>
      </c>
      <c r="K802" s="3" t="s">
        <v>1180</v>
      </c>
      <c r="L802" s="3" t="s">
        <v>616</v>
      </c>
      <c r="M802" s="3">
        <v>80.400000000000006</v>
      </c>
      <c r="N802" s="3">
        <v>98</v>
      </c>
      <c r="O802" s="3">
        <v>160</v>
      </c>
      <c r="P802" s="3" t="s">
        <v>33</v>
      </c>
      <c r="Q802" s="3" t="s">
        <v>26</v>
      </c>
      <c r="S802" s="3" t="s">
        <v>664</v>
      </c>
      <c r="T802" s="3" t="s">
        <v>79</v>
      </c>
      <c r="U802" s="3">
        <v>7</v>
      </c>
      <c r="V802" s="3">
        <v>1</v>
      </c>
      <c r="W802" s="3" t="s">
        <v>26</v>
      </c>
      <c r="AA802" s="3" t="s">
        <v>49</v>
      </c>
      <c r="AB802" s="3" t="s">
        <v>29</v>
      </c>
      <c r="AC802" s="3" t="s">
        <v>664</v>
      </c>
      <c r="AD802" s="3" t="s">
        <v>63</v>
      </c>
      <c r="AE802" s="3" t="s">
        <v>31</v>
      </c>
      <c r="AF802" s="3" t="s">
        <v>664</v>
      </c>
      <c r="AG802" s="3" t="s">
        <v>39</v>
      </c>
    </row>
    <row r="803" spans="1:33">
      <c r="A803" s="1">
        <v>45215.822987013889</v>
      </c>
      <c r="B803" s="3" t="s">
        <v>1024</v>
      </c>
      <c r="C803" s="2">
        <v>32389</v>
      </c>
      <c r="D803" s="3" t="s">
        <v>1399</v>
      </c>
      <c r="E803" s="3" t="s">
        <v>510</v>
      </c>
      <c r="F803" s="3" t="s">
        <v>520</v>
      </c>
      <c r="G803" s="3" t="s">
        <v>539</v>
      </c>
      <c r="H803" s="2">
        <v>44812</v>
      </c>
      <c r="I803" s="3">
        <v>4</v>
      </c>
      <c r="J803" s="3" t="s">
        <v>542</v>
      </c>
      <c r="K803" s="3" t="s">
        <v>1400</v>
      </c>
      <c r="L803" s="3" t="s">
        <v>618</v>
      </c>
      <c r="M803" s="3">
        <v>170</v>
      </c>
      <c r="N803" s="3">
        <v>150</v>
      </c>
      <c r="O803" s="3">
        <v>168</v>
      </c>
      <c r="P803" s="3" t="s">
        <v>33</v>
      </c>
      <c r="Q803" s="3" t="s">
        <v>26</v>
      </c>
      <c r="S803" s="3" t="s">
        <v>664</v>
      </c>
      <c r="T803" s="3" t="s">
        <v>79</v>
      </c>
      <c r="U803" s="3">
        <v>3</v>
      </c>
      <c r="V803" s="3">
        <v>1</v>
      </c>
      <c r="W803" s="3" t="s">
        <v>26</v>
      </c>
      <c r="AA803" s="3" t="s">
        <v>49</v>
      </c>
      <c r="AB803" s="3" t="s">
        <v>29</v>
      </c>
      <c r="AC803" s="3" t="s">
        <v>664</v>
      </c>
      <c r="AD803" s="3" t="s">
        <v>30</v>
      </c>
      <c r="AE803" s="3" t="s">
        <v>31</v>
      </c>
      <c r="AF803" s="3" t="s">
        <v>664</v>
      </c>
      <c r="AG803" s="3" t="s">
        <v>32</v>
      </c>
    </row>
    <row r="804" spans="1:33">
      <c r="A804" s="1">
        <v>45215.849118773149</v>
      </c>
      <c r="B804" s="3" t="s">
        <v>1024</v>
      </c>
      <c r="C804" s="2">
        <v>35596</v>
      </c>
      <c r="D804" s="3">
        <v>26</v>
      </c>
      <c r="E804" s="3" t="s">
        <v>510</v>
      </c>
      <c r="F804" s="3" t="s">
        <v>529</v>
      </c>
      <c r="G804" s="3" t="s">
        <v>536</v>
      </c>
      <c r="H804" s="2">
        <v>44080</v>
      </c>
      <c r="I804" s="3">
        <v>3</v>
      </c>
      <c r="J804" s="3" t="s">
        <v>541</v>
      </c>
      <c r="K804" s="3">
        <v>4.2249999999999996</v>
      </c>
      <c r="L804" s="3">
        <v>39</v>
      </c>
      <c r="M804" s="3">
        <v>103</v>
      </c>
      <c r="N804" s="3">
        <v>103</v>
      </c>
      <c r="O804" s="3">
        <v>155</v>
      </c>
      <c r="P804" s="3" t="s">
        <v>33</v>
      </c>
      <c r="Q804" s="3" t="s">
        <v>26</v>
      </c>
      <c r="S804" s="3" t="s">
        <v>664</v>
      </c>
      <c r="T804" s="3" t="s">
        <v>57</v>
      </c>
      <c r="U804" s="3">
        <v>7</v>
      </c>
      <c r="V804" s="3">
        <v>1</v>
      </c>
      <c r="W804" s="3" t="s">
        <v>26</v>
      </c>
      <c r="AA804" s="3" t="s">
        <v>42</v>
      </c>
      <c r="AB804" s="3" t="s">
        <v>29</v>
      </c>
      <c r="AC804" s="3" t="s">
        <v>664</v>
      </c>
      <c r="AD804" s="3" t="s">
        <v>55</v>
      </c>
      <c r="AE804" s="3" t="s">
        <v>72</v>
      </c>
      <c r="AF804" s="3" t="s">
        <v>664</v>
      </c>
      <c r="AG804" s="3" t="s">
        <v>32</v>
      </c>
    </row>
    <row r="805" spans="1:33">
      <c r="A805" s="1">
        <v>45215.852155659726</v>
      </c>
      <c r="B805" s="3" t="s">
        <v>1024</v>
      </c>
      <c r="C805" s="2">
        <v>31162</v>
      </c>
      <c r="D805" s="3">
        <v>38</v>
      </c>
      <c r="E805" s="3" t="s">
        <v>510</v>
      </c>
      <c r="F805" s="3" t="s">
        <v>528</v>
      </c>
      <c r="G805" s="3" t="s">
        <v>540</v>
      </c>
      <c r="H805" s="2">
        <v>43133</v>
      </c>
      <c r="I805" s="3">
        <v>2</v>
      </c>
      <c r="J805" s="3" t="s">
        <v>541</v>
      </c>
      <c r="K805" s="3">
        <v>3625</v>
      </c>
      <c r="L805" s="3">
        <v>40</v>
      </c>
      <c r="M805" s="3">
        <v>65</v>
      </c>
      <c r="N805" s="3">
        <v>84</v>
      </c>
      <c r="O805" s="3">
        <v>160</v>
      </c>
      <c r="P805" s="3" t="s">
        <v>33</v>
      </c>
      <c r="Q805" s="3" t="s">
        <v>26</v>
      </c>
      <c r="S805" s="3" t="s">
        <v>664</v>
      </c>
      <c r="T805" s="3" t="s">
        <v>41</v>
      </c>
      <c r="U805" s="3">
        <v>7</v>
      </c>
      <c r="V805" s="3">
        <v>1</v>
      </c>
      <c r="W805" s="3" t="s">
        <v>34</v>
      </c>
      <c r="X805" s="3" t="s">
        <v>58</v>
      </c>
      <c r="Y805" s="3">
        <v>7</v>
      </c>
      <c r="Z805" s="3">
        <v>1</v>
      </c>
      <c r="AA805" s="3" t="s">
        <v>49</v>
      </c>
      <c r="AB805" s="3" t="s">
        <v>83</v>
      </c>
      <c r="AC805" s="3" t="s">
        <v>664</v>
      </c>
      <c r="AD805" s="3" t="s">
        <v>37</v>
      </c>
      <c r="AE805" s="3" t="s">
        <v>38</v>
      </c>
      <c r="AF805" s="3" t="s">
        <v>664</v>
      </c>
      <c r="AG805" s="3" t="s">
        <v>39</v>
      </c>
    </row>
    <row r="806" spans="1:33">
      <c r="A806" s="1">
        <v>45215.852746157412</v>
      </c>
      <c r="B806" s="3" t="s">
        <v>1024</v>
      </c>
      <c r="C806" s="2">
        <v>34801</v>
      </c>
      <c r="D806" s="3">
        <v>28</v>
      </c>
      <c r="E806" s="3" t="s">
        <v>510</v>
      </c>
      <c r="F806" s="3" t="s">
        <v>522</v>
      </c>
      <c r="G806" s="3" t="s">
        <v>538</v>
      </c>
      <c r="H806" s="2">
        <v>44324</v>
      </c>
      <c r="I806" s="3">
        <v>1</v>
      </c>
      <c r="J806" s="3" t="s">
        <v>542</v>
      </c>
      <c r="K806" s="3" t="s">
        <v>1052</v>
      </c>
      <c r="L806" s="3" t="s">
        <v>790</v>
      </c>
      <c r="M806" s="3">
        <v>68</v>
      </c>
      <c r="N806" s="3">
        <v>75</v>
      </c>
      <c r="O806" s="3">
        <v>160</v>
      </c>
      <c r="P806" s="3" t="s">
        <v>33</v>
      </c>
      <c r="Q806" s="3" t="s">
        <v>26</v>
      </c>
      <c r="S806" s="3" t="s">
        <v>664</v>
      </c>
      <c r="T806" s="3" t="s">
        <v>79</v>
      </c>
      <c r="U806" s="3">
        <v>7</v>
      </c>
      <c r="V806" s="3">
        <v>1</v>
      </c>
      <c r="W806" s="3" t="s">
        <v>26</v>
      </c>
      <c r="AA806" s="3" t="s">
        <v>49</v>
      </c>
      <c r="AB806" s="3" t="s">
        <v>189</v>
      </c>
      <c r="AC806" s="3" t="s">
        <v>664</v>
      </c>
      <c r="AD806" s="3" t="s">
        <v>55</v>
      </c>
      <c r="AE806" s="3" t="s">
        <v>38</v>
      </c>
      <c r="AF806" s="3" t="s">
        <v>664</v>
      </c>
      <c r="AG806" s="3" t="s">
        <v>39</v>
      </c>
    </row>
    <row r="807" spans="1:33">
      <c r="A807" s="1">
        <v>45215.885400266205</v>
      </c>
      <c r="B807" s="3" t="s">
        <v>1024</v>
      </c>
      <c r="C807" s="2">
        <v>31373</v>
      </c>
      <c r="D807" s="3">
        <v>37</v>
      </c>
      <c r="E807" s="3" t="s">
        <v>510</v>
      </c>
      <c r="F807" s="3" t="s">
        <v>520</v>
      </c>
      <c r="G807" s="3" t="s">
        <v>539</v>
      </c>
      <c r="H807" s="2">
        <v>43622</v>
      </c>
      <c r="I807" s="3">
        <v>1</v>
      </c>
      <c r="J807" s="3" t="s">
        <v>542</v>
      </c>
      <c r="K807" s="3">
        <v>2885</v>
      </c>
      <c r="L807" s="3" t="s">
        <v>704</v>
      </c>
      <c r="M807" s="3">
        <v>60</v>
      </c>
      <c r="N807" s="3">
        <v>72</v>
      </c>
      <c r="O807" s="3">
        <v>165</v>
      </c>
      <c r="P807" s="3" t="s">
        <v>33</v>
      </c>
      <c r="Q807" s="3" t="s">
        <v>26</v>
      </c>
      <c r="S807" s="3" t="s">
        <v>664</v>
      </c>
      <c r="T807" s="3" t="s">
        <v>56</v>
      </c>
      <c r="U807" s="3">
        <v>7</v>
      </c>
      <c r="V807" s="3">
        <v>1</v>
      </c>
      <c r="W807" s="3" t="s">
        <v>34</v>
      </c>
      <c r="X807" s="3" t="s">
        <v>843</v>
      </c>
      <c r="Y807" s="3">
        <v>7</v>
      </c>
      <c r="Z807" s="3">
        <v>2</v>
      </c>
      <c r="AA807" s="3" t="s">
        <v>28</v>
      </c>
      <c r="AB807" s="3" t="s">
        <v>29</v>
      </c>
      <c r="AC807" s="3" t="s">
        <v>664</v>
      </c>
      <c r="AD807" s="3" t="s">
        <v>59</v>
      </c>
      <c r="AE807" s="3" t="s">
        <v>60</v>
      </c>
      <c r="AF807" s="3" t="s">
        <v>664</v>
      </c>
      <c r="AG807" s="3" t="s">
        <v>32</v>
      </c>
    </row>
    <row r="808" spans="1:33">
      <c r="A808" s="1">
        <v>45215.892187314814</v>
      </c>
      <c r="B808" s="3" t="s">
        <v>1024</v>
      </c>
      <c r="C808" s="2">
        <v>35081</v>
      </c>
      <c r="D808" s="3">
        <v>27</v>
      </c>
      <c r="E808" s="3" t="s">
        <v>510</v>
      </c>
      <c r="F808" s="3" t="s">
        <v>520</v>
      </c>
      <c r="G808" s="3" t="s">
        <v>539</v>
      </c>
      <c r="H808" s="2">
        <v>44527</v>
      </c>
      <c r="I808" s="3">
        <v>2</v>
      </c>
      <c r="J808" s="3" t="s">
        <v>542</v>
      </c>
      <c r="K808" s="3" t="s">
        <v>1401</v>
      </c>
      <c r="L808" s="3" t="s">
        <v>650</v>
      </c>
      <c r="M808" s="3">
        <v>67</v>
      </c>
      <c r="N808" s="3">
        <v>84</v>
      </c>
      <c r="O808" s="3">
        <v>166</v>
      </c>
      <c r="P808" s="3" t="s">
        <v>33</v>
      </c>
      <c r="Q808" s="3" t="s">
        <v>26</v>
      </c>
      <c r="S808" s="3" t="s">
        <v>664</v>
      </c>
      <c r="T808" s="3" t="s">
        <v>27</v>
      </c>
      <c r="U808" s="3">
        <v>7</v>
      </c>
      <c r="V808" s="3">
        <v>1</v>
      </c>
      <c r="W808" s="3" t="s">
        <v>34</v>
      </c>
      <c r="X808" s="3" t="s">
        <v>58</v>
      </c>
      <c r="Y808" s="3">
        <v>7</v>
      </c>
      <c r="Z808" s="3">
        <v>1</v>
      </c>
      <c r="AA808" s="3" t="s">
        <v>42</v>
      </c>
      <c r="AB808" s="3" t="s">
        <v>29</v>
      </c>
      <c r="AC808" s="3" t="s">
        <v>664</v>
      </c>
      <c r="AD808" s="3" t="s">
        <v>30</v>
      </c>
      <c r="AE808" s="3" t="s">
        <v>31</v>
      </c>
      <c r="AF808" s="3" t="s">
        <v>664</v>
      </c>
      <c r="AG808" s="3" t="s">
        <v>39</v>
      </c>
    </row>
    <row r="809" spans="1:33">
      <c r="A809" s="1">
        <v>45215.893045648147</v>
      </c>
      <c r="B809" s="3" t="s">
        <v>1024</v>
      </c>
      <c r="C809" s="2">
        <v>34694</v>
      </c>
      <c r="D809" s="3">
        <v>28</v>
      </c>
      <c r="E809" s="3" t="s">
        <v>510</v>
      </c>
      <c r="F809" s="3" t="s">
        <v>525</v>
      </c>
      <c r="G809" s="3" t="s">
        <v>539</v>
      </c>
      <c r="H809" s="2">
        <v>44490</v>
      </c>
      <c r="I809" s="3">
        <v>1</v>
      </c>
      <c r="J809" s="3" t="s">
        <v>541</v>
      </c>
      <c r="K809" s="3">
        <v>4480</v>
      </c>
      <c r="L809" s="3" t="s">
        <v>648</v>
      </c>
      <c r="M809" s="3">
        <v>62</v>
      </c>
      <c r="N809" s="3">
        <v>78</v>
      </c>
      <c r="O809" s="3" t="s">
        <v>1352</v>
      </c>
      <c r="P809" s="3" t="s">
        <v>50</v>
      </c>
      <c r="Q809" s="3" t="s">
        <v>34</v>
      </c>
      <c r="R809" s="3" t="s">
        <v>487</v>
      </c>
      <c r="S809" s="3" t="s">
        <v>664</v>
      </c>
      <c r="T809" s="3" t="s">
        <v>79</v>
      </c>
      <c r="U809" s="3">
        <v>4</v>
      </c>
      <c r="V809" s="3">
        <v>1</v>
      </c>
      <c r="W809" s="3" t="s">
        <v>26</v>
      </c>
      <c r="AA809" s="3" t="s">
        <v>49</v>
      </c>
      <c r="AB809" s="3" t="s">
        <v>29</v>
      </c>
      <c r="AC809" s="3" t="s">
        <v>664</v>
      </c>
      <c r="AD809" s="3" t="s">
        <v>55</v>
      </c>
      <c r="AE809" s="3" t="s">
        <v>38</v>
      </c>
      <c r="AF809" s="3" t="s">
        <v>664</v>
      </c>
      <c r="AG809" s="3" t="s">
        <v>48</v>
      </c>
    </row>
    <row r="810" spans="1:33">
      <c r="A810" s="1">
        <v>45215.894337430553</v>
      </c>
      <c r="B810" s="3" t="s">
        <v>1024</v>
      </c>
      <c r="C810" s="2">
        <v>29573</v>
      </c>
      <c r="D810" s="3">
        <v>42</v>
      </c>
      <c r="E810" s="3" t="s">
        <v>510</v>
      </c>
      <c r="F810" s="3" t="s">
        <v>520</v>
      </c>
      <c r="G810" s="3" t="s">
        <v>540</v>
      </c>
      <c r="H810" s="2">
        <v>44341</v>
      </c>
      <c r="I810" s="3">
        <v>1</v>
      </c>
      <c r="J810" s="3" t="s">
        <v>541</v>
      </c>
      <c r="K810" s="3" t="s">
        <v>1402</v>
      </c>
      <c r="L810" s="3">
        <v>39</v>
      </c>
      <c r="M810" s="3">
        <v>50</v>
      </c>
      <c r="N810" s="3">
        <v>59</v>
      </c>
      <c r="O810" s="3">
        <v>157</v>
      </c>
      <c r="P810" s="3" t="s">
        <v>33</v>
      </c>
      <c r="Q810" s="3" t="s">
        <v>26</v>
      </c>
      <c r="S810" s="3" t="s">
        <v>664</v>
      </c>
      <c r="T810" s="3" t="s">
        <v>27</v>
      </c>
      <c r="U810" s="3">
        <v>7</v>
      </c>
      <c r="V810" s="3">
        <v>1</v>
      </c>
      <c r="W810" s="3" t="s">
        <v>26</v>
      </c>
      <c r="AA810" s="3" t="s">
        <v>49</v>
      </c>
      <c r="AB810" s="3" t="s">
        <v>29</v>
      </c>
      <c r="AC810" s="3" t="s">
        <v>664</v>
      </c>
      <c r="AD810" s="3" t="s">
        <v>30</v>
      </c>
      <c r="AE810" s="3" t="s">
        <v>38</v>
      </c>
      <c r="AF810" s="3" t="s">
        <v>664</v>
      </c>
      <c r="AG810" s="3" t="s">
        <v>39</v>
      </c>
    </row>
    <row r="811" spans="1:33">
      <c r="A811" s="1">
        <v>45215.898535960645</v>
      </c>
      <c r="B811" s="3" t="s">
        <v>1024</v>
      </c>
      <c r="C811" s="2">
        <v>30516</v>
      </c>
      <c r="D811" s="3">
        <v>40</v>
      </c>
      <c r="E811" s="3" t="s">
        <v>510</v>
      </c>
      <c r="F811" s="3" t="s">
        <v>520</v>
      </c>
      <c r="G811" s="3" t="s">
        <v>539</v>
      </c>
      <c r="H811" s="2">
        <v>44161</v>
      </c>
      <c r="I811" s="3">
        <v>1</v>
      </c>
      <c r="J811" s="3" t="s">
        <v>541</v>
      </c>
      <c r="K811" s="3">
        <v>3800</v>
      </c>
      <c r="L811" s="3" t="s">
        <v>844</v>
      </c>
      <c r="M811" s="3">
        <v>62</v>
      </c>
      <c r="N811" s="3">
        <v>89</v>
      </c>
      <c r="O811" s="3">
        <v>158</v>
      </c>
      <c r="P811" s="3" t="s">
        <v>25</v>
      </c>
      <c r="Q811" s="3" t="s">
        <v>26</v>
      </c>
      <c r="S811" s="3" t="s">
        <v>26</v>
      </c>
      <c r="T811" s="3" t="s">
        <v>121</v>
      </c>
      <c r="W811" s="3" t="s">
        <v>34</v>
      </c>
      <c r="AA811" s="3" t="s">
        <v>51</v>
      </c>
      <c r="AB811" s="3" t="s">
        <v>29</v>
      </c>
      <c r="AC811" s="3" t="s">
        <v>664</v>
      </c>
      <c r="AD811" s="3" t="s">
        <v>37</v>
      </c>
      <c r="AE811" s="3" t="s">
        <v>38</v>
      </c>
      <c r="AF811" s="3" t="s">
        <v>664</v>
      </c>
      <c r="AG811" s="3" t="s">
        <v>48</v>
      </c>
    </row>
    <row r="812" spans="1:33">
      <c r="A812" s="1">
        <v>45215.922022361112</v>
      </c>
      <c r="B812" s="3" t="s">
        <v>1024</v>
      </c>
      <c r="C812" s="2">
        <v>32782</v>
      </c>
      <c r="D812" s="3">
        <v>34</v>
      </c>
      <c r="E812" s="3" t="s">
        <v>510</v>
      </c>
      <c r="F812" s="3" t="s">
        <v>520</v>
      </c>
      <c r="G812" s="3" t="s">
        <v>539</v>
      </c>
      <c r="H812" s="2">
        <v>42921</v>
      </c>
      <c r="I812" s="3">
        <v>1</v>
      </c>
      <c r="J812" s="3" t="s">
        <v>541</v>
      </c>
      <c r="K812" s="3">
        <v>4280</v>
      </c>
      <c r="L812" s="3" t="s">
        <v>650</v>
      </c>
      <c r="M812" s="3">
        <v>73</v>
      </c>
      <c r="N812" s="3">
        <v>89</v>
      </c>
      <c r="O812" s="3">
        <v>173</v>
      </c>
      <c r="P812" s="3" t="s">
        <v>123</v>
      </c>
      <c r="Q812" s="3" t="s">
        <v>26</v>
      </c>
      <c r="S812" s="3" t="s">
        <v>664</v>
      </c>
      <c r="T812" s="3" t="s">
        <v>79</v>
      </c>
      <c r="U812" s="3">
        <v>7</v>
      </c>
      <c r="V812" s="3">
        <v>1</v>
      </c>
      <c r="W812" s="3" t="s">
        <v>34</v>
      </c>
      <c r="X812" s="3" t="s">
        <v>58</v>
      </c>
      <c r="Y812" s="3">
        <v>7</v>
      </c>
      <c r="Z812" s="3">
        <v>1</v>
      </c>
      <c r="AA812" s="3" t="s">
        <v>49</v>
      </c>
      <c r="AB812" s="3" t="s">
        <v>29</v>
      </c>
      <c r="AC812" s="3" t="s">
        <v>664</v>
      </c>
      <c r="AD812" s="3" t="s">
        <v>30</v>
      </c>
      <c r="AE812" s="3" t="s">
        <v>31</v>
      </c>
      <c r="AF812" s="3" t="s">
        <v>664</v>
      </c>
      <c r="AG812" s="3" t="s">
        <v>32</v>
      </c>
    </row>
    <row r="813" spans="1:33">
      <c r="A813" s="1">
        <v>45215.92219125</v>
      </c>
      <c r="B813" s="3" t="s">
        <v>1024</v>
      </c>
      <c r="C813" s="2">
        <v>35447</v>
      </c>
      <c r="D813" s="3">
        <v>26</v>
      </c>
      <c r="E813" s="3" t="s">
        <v>510</v>
      </c>
      <c r="F813" s="3" t="s">
        <v>520</v>
      </c>
      <c r="G813" s="3" t="s">
        <v>537</v>
      </c>
      <c r="H813" s="2">
        <v>44722</v>
      </c>
      <c r="I813" s="3">
        <v>1</v>
      </c>
      <c r="J813" s="3" t="s">
        <v>541</v>
      </c>
      <c r="K813" s="3">
        <v>2800</v>
      </c>
      <c r="L813" s="3">
        <v>38</v>
      </c>
      <c r="M813" s="3">
        <v>58</v>
      </c>
      <c r="N813" s="3">
        <v>69</v>
      </c>
      <c r="O813" s="3">
        <v>161</v>
      </c>
      <c r="P813" s="3" t="s">
        <v>106</v>
      </c>
      <c r="Q813" s="3" t="s">
        <v>26</v>
      </c>
      <c r="S813" s="3" t="s">
        <v>664</v>
      </c>
      <c r="T813" s="3" t="s">
        <v>79</v>
      </c>
      <c r="U813" s="3">
        <v>7</v>
      </c>
      <c r="V813" s="3">
        <v>1</v>
      </c>
      <c r="W813" s="3" t="s">
        <v>26</v>
      </c>
      <c r="AA813" s="3" t="s">
        <v>42</v>
      </c>
      <c r="AB813" s="3" t="s">
        <v>29</v>
      </c>
      <c r="AC813" s="3" t="s">
        <v>664</v>
      </c>
      <c r="AD813" s="3" t="s">
        <v>30</v>
      </c>
      <c r="AE813" s="3" t="s">
        <v>38</v>
      </c>
      <c r="AF813" s="3" t="s">
        <v>664</v>
      </c>
      <c r="AG813" s="3" t="s">
        <v>48</v>
      </c>
    </row>
    <row r="814" spans="1:33">
      <c r="A814" s="1">
        <v>45215.927821261575</v>
      </c>
      <c r="B814" s="3" t="s">
        <v>1024</v>
      </c>
      <c r="C814" s="2">
        <v>32834</v>
      </c>
      <c r="D814" s="3">
        <v>33</v>
      </c>
      <c r="E814" s="3" t="s">
        <v>510</v>
      </c>
      <c r="F814" s="3" t="s">
        <v>523</v>
      </c>
      <c r="G814" s="3" t="s">
        <v>539</v>
      </c>
      <c r="H814" s="2">
        <v>45090</v>
      </c>
      <c r="I814" s="3">
        <v>1</v>
      </c>
      <c r="J814" s="3" t="s">
        <v>541</v>
      </c>
      <c r="K814" s="3">
        <v>3075</v>
      </c>
      <c r="L814" s="3">
        <v>38</v>
      </c>
      <c r="M814" s="3">
        <v>83.5</v>
      </c>
      <c r="N814" s="3">
        <v>88</v>
      </c>
      <c r="O814" s="3">
        <v>155</v>
      </c>
      <c r="P814" s="3" t="s">
        <v>44</v>
      </c>
      <c r="Q814" s="3" t="s">
        <v>34</v>
      </c>
      <c r="R814" s="3" t="s">
        <v>488</v>
      </c>
      <c r="S814" s="3" t="s">
        <v>664</v>
      </c>
      <c r="T814" s="3" t="s">
        <v>27</v>
      </c>
      <c r="U814" s="3">
        <v>7</v>
      </c>
      <c r="V814" s="3">
        <v>1</v>
      </c>
      <c r="W814" s="3" t="s">
        <v>34</v>
      </c>
      <c r="X814" s="3" t="s">
        <v>217</v>
      </c>
      <c r="Y814" s="3">
        <v>7</v>
      </c>
      <c r="Z814" s="3">
        <v>1</v>
      </c>
      <c r="AA814" s="3" t="s">
        <v>49</v>
      </c>
      <c r="AB814" s="3" t="s">
        <v>29</v>
      </c>
      <c r="AC814" s="3" t="s">
        <v>664</v>
      </c>
      <c r="AD814" s="3" t="s">
        <v>30</v>
      </c>
      <c r="AE814" s="3" t="s">
        <v>38</v>
      </c>
      <c r="AF814" s="3" t="s">
        <v>664</v>
      </c>
      <c r="AG814" s="3" t="s">
        <v>32</v>
      </c>
    </row>
    <row r="815" spans="1:33">
      <c r="A815" s="1">
        <v>45215.933470231481</v>
      </c>
      <c r="B815" s="3" t="s">
        <v>1024</v>
      </c>
      <c r="C815" s="2">
        <v>32914</v>
      </c>
      <c r="D815" s="3">
        <v>33</v>
      </c>
      <c r="E815" s="3" t="s">
        <v>510</v>
      </c>
      <c r="F815" s="3" t="s">
        <v>528</v>
      </c>
      <c r="G815" s="3" t="s">
        <v>539</v>
      </c>
      <c r="H815" s="2">
        <v>43855</v>
      </c>
      <c r="I815" s="3">
        <v>2</v>
      </c>
      <c r="J815" s="3" t="s">
        <v>542</v>
      </c>
      <c r="K815" s="3" t="s">
        <v>1136</v>
      </c>
      <c r="L815" s="3">
        <v>40</v>
      </c>
      <c r="M815" s="3">
        <v>52</v>
      </c>
      <c r="N815" s="3">
        <v>61</v>
      </c>
      <c r="O815" s="3">
        <v>154</v>
      </c>
      <c r="P815" s="3" t="s">
        <v>33</v>
      </c>
      <c r="Q815" s="3" t="s">
        <v>26</v>
      </c>
      <c r="S815" s="3" t="s">
        <v>664</v>
      </c>
      <c r="T815" s="3" t="s">
        <v>79</v>
      </c>
      <c r="U815" s="3">
        <v>7</v>
      </c>
      <c r="V815" s="3">
        <v>1</v>
      </c>
      <c r="W815" s="3" t="s">
        <v>26</v>
      </c>
      <c r="AA815" s="3" t="s">
        <v>49</v>
      </c>
      <c r="AB815" s="3" t="s">
        <v>29</v>
      </c>
      <c r="AC815" s="3" t="s">
        <v>664</v>
      </c>
      <c r="AD815" s="3" t="s">
        <v>30</v>
      </c>
      <c r="AE815" s="3" t="s">
        <v>31</v>
      </c>
      <c r="AF815" s="3" t="s">
        <v>664</v>
      </c>
      <c r="AG815" s="3" t="s">
        <v>39</v>
      </c>
    </row>
    <row r="816" spans="1:33">
      <c r="A816" s="1">
        <v>45215.935370578707</v>
      </c>
      <c r="B816" s="3" t="s">
        <v>1024</v>
      </c>
      <c r="C816" s="2">
        <v>32267</v>
      </c>
      <c r="D816" s="3">
        <v>35</v>
      </c>
      <c r="E816" s="3" t="s">
        <v>510</v>
      </c>
      <c r="F816" s="3" t="s">
        <v>520</v>
      </c>
      <c r="G816" s="3" t="s">
        <v>540</v>
      </c>
      <c r="H816" s="2">
        <v>44620</v>
      </c>
      <c r="I816" s="3">
        <v>2</v>
      </c>
      <c r="J816" s="3" t="s">
        <v>541</v>
      </c>
      <c r="K816" s="3" t="s">
        <v>1403</v>
      </c>
      <c r="L816" s="3" t="s">
        <v>845</v>
      </c>
      <c r="M816" s="3">
        <v>70</v>
      </c>
      <c r="N816" s="3" t="s">
        <v>1290</v>
      </c>
      <c r="O816" s="3">
        <v>164</v>
      </c>
      <c r="P816" s="3" t="s">
        <v>33</v>
      </c>
      <c r="Q816" s="3" t="s">
        <v>26</v>
      </c>
      <c r="S816" s="3" t="s">
        <v>664</v>
      </c>
      <c r="T816" s="3" t="s">
        <v>43</v>
      </c>
      <c r="U816" s="3">
        <v>7</v>
      </c>
      <c r="V816" s="3">
        <v>1</v>
      </c>
      <c r="W816" s="3" t="s">
        <v>34</v>
      </c>
      <c r="X816" s="3" t="s">
        <v>58</v>
      </c>
      <c r="Y816" s="3">
        <v>7</v>
      </c>
      <c r="Z816" s="3">
        <v>1</v>
      </c>
      <c r="AA816" s="3" t="s">
        <v>28</v>
      </c>
      <c r="AB816" s="3" t="s">
        <v>263</v>
      </c>
      <c r="AC816" s="3" t="s">
        <v>664</v>
      </c>
      <c r="AD816" s="3" t="s">
        <v>37</v>
      </c>
      <c r="AE816" s="3" t="s">
        <v>38</v>
      </c>
      <c r="AF816" s="3" t="s">
        <v>664</v>
      </c>
      <c r="AG816" s="3" t="s">
        <v>48</v>
      </c>
    </row>
    <row r="817" spans="1:33">
      <c r="A817" s="1">
        <v>45215.940645625</v>
      </c>
      <c r="B817" s="3" t="s">
        <v>1024</v>
      </c>
      <c r="C817" s="2">
        <v>31975</v>
      </c>
      <c r="D817" s="3">
        <v>36</v>
      </c>
      <c r="E817" s="3" t="s">
        <v>510</v>
      </c>
      <c r="F817" s="3" t="s">
        <v>529</v>
      </c>
      <c r="G817" s="3" t="s">
        <v>537</v>
      </c>
      <c r="H817" s="2">
        <v>44777</v>
      </c>
      <c r="I817" s="3">
        <v>4</v>
      </c>
      <c r="J817" s="3" t="s">
        <v>541</v>
      </c>
      <c r="K817" s="3">
        <v>2800</v>
      </c>
      <c r="L817" s="3">
        <v>37</v>
      </c>
      <c r="M817" s="3">
        <v>108</v>
      </c>
      <c r="N817" s="3">
        <v>103</v>
      </c>
      <c r="O817" s="3">
        <v>159</v>
      </c>
      <c r="P817" s="3" t="s">
        <v>173</v>
      </c>
      <c r="Q817" s="3" t="s">
        <v>34</v>
      </c>
      <c r="R817" s="3" t="s">
        <v>445</v>
      </c>
      <c r="S817" s="3" t="s">
        <v>664</v>
      </c>
      <c r="T817" s="3" t="s">
        <v>79</v>
      </c>
      <c r="U817" s="3">
        <v>7</v>
      </c>
      <c r="V817" s="3">
        <v>1</v>
      </c>
      <c r="W817" s="3" t="s">
        <v>34</v>
      </c>
      <c r="X817" s="3" t="s">
        <v>80</v>
      </c>
      <c r="Y817" s="3">
        <v>7</v>
      </c>
      <c r="Z817" s="3">
        <v>1</v>
      </c>
      <c r="AA817" s="3" t="s">
        <v>49</v>
      </c>
      <c r="AB817" s="3" t="s">
        <v>113</v>
      </c>
      <c r="AC817" s="3" t="s">
        <v>664</v>
      </c>
      <c r="AD817" s="3" t="s">
        <v>37</v>
      </c>
      <c r="AE817" s="3" t="s">
        <v>87</v>
      </c>
      <c r="AF817" s="3" t="s">
        <v>664</v>
      </c>
      <c r="AG817" s="3" t="s">
        <v>39</v>
      </c>
    </row>
    <row r="818" spans="1:33">
      <c r="A818" s="1">
        <v>45215.940831377316</v>
      </c>
      <c r="B818" s="3" t="s">
        <v>1024</v>
      </c>
      <c r="C818" s="2">
        <v>30728</v>
      </c>
      <c r="D818" s="3">
        <v>39</v>
      </c>
      <c r="E818" s="3" t="s">
        <v>510</v>
      </c>
      <c r="F818" s="3" t="s">
        <v>520</v>
      </c>
      <c r="G818" s="3" t="s">
        <v>539</v>
      </c>
      <c r="H818" s="2">
        <v>44795</v>
      </c>
      <c r="I818" s="3">
        <v>2</v>
      </c>
      <c r="J818" s="3" t="s">
        <v>541</v>
      </c>
      <c r="K818" s="3">
        <v>2980</v>
      </c>
      <c r="L818" s="3">
        <v>35</v>
      </c>
      <c r="M818" s="3">
        <v>50</v>
      </c>
      <c r="N818" s="3">
        <v>59</v>
      </c>
      <c r="O818" s="3">
        <v>163</v>
      </c>
      <c r="P818" s="3" t="s">
        <v>33</v>
      </c>
      <c r="Q818" s="3" t="s">
        <v>26</v>
      </c>
      <c r="S818" s="3" t="s">
        <v>664</v>
      </c>
      <c r="T818" s="3" t="s">
        <v>43</v>
      </c>
      <c r="U818" s="3">
        <v>7</v>
      </c>
      <c r="V818" s="3">
        <v>1</v>
      </c>
      <c r="W818" s="3" t="s">
        <v>34</v>
      </c>
      <c r="X818" s="3" t="s">
        <v>58</v>
      </c>
      <c r="Y818" s="3">
        <v>7</v>
      </c>
      <c r="Z818" s="3">
        <v>1</v>
      </c>
      <c r="AA818" s="3" t="s">
        <v>49</v>
      </c>
      <c r="AB818" s="3" t="s">
        <v>189</v>
      </c>
      <c r="AC818" s="3" t="s">
        <v>664</v>
      </c>
      <c r="AD818" s="3" t="s">
        <v>37</v>
      </c>
      <c r="AE818" s="3" t="s">
        <v>38</v>
      </c>
      <c r="AF818" s="3" t="s">
        <v>664</v>
      </c>
      <c r="AG818" s="3" t="s">
        <v>32</v>
      </c>
    </row>
    <row r="819" spans="1:33">
      <c r="A819" s="1">
        <v>45215.948162627319</v>
      </c>
      <c r="B819" s="3" t="s">
        <v>1024</v>
      </c>
      <c r="C819" s="2">
        <v>31331</v>
      </c>
      <c r="D819" s="3">
        <v>38</v>
      </c>
      <c r="E819" s="3" t="s">
        <v>510</v>
      </c>
      <c r="F819" s="3" t="s">
        <v>529</v>
      </c>
      <c r="G819" s="3" t="s">
        <v>540</v>
      </c>
      <c r="H819" s="2">
        <v>44680</v>
      </c>
      <c r="I819" s="3">
        <v>2</v>
      </c>
      <c r="J819" s="3" t="s">
        <v>541</v>
      </c>
      <c r="K819" s="3">
        <v>4150</v>
      </c>
      <c r="L819" s="3" t="s">
        <v>697</v>
      </c>
      <c r="M819" s="3">
        <v>46</v>
      </c>
      <c r="N819" s="3">
        <v>60</v>
      </c>
      <c r="O819" s="3">
        <v>157</v>
      </c>
      <c r="P819" s="3" t="s">
        <v>44</v>
      </c>
      <c r="Q819" s="3" t="s">
        <v>26</v>
      </c>
      <c r="S819" s="3" t="s">
        <v>664</v>
      </c>
      <c r="T819" s="3" t="s">
        <v>41</v>
      </c>
      <c r="U819" s="3">
        <v>7</v>
      </c>
      <c r="V819" s="3">
        <v>1</v>
      </c>
      <c r="W819" s="3" t="s">
        <v>34</v>
      </c>
      <c r="X819" s="3" t="s">
        <v>58</v>
      </c>
      <c r="Y819" s="3">
        <v>7</v>
      </c>
      <c r="Z819" s="3">
        <v>1</v>
      </c>
      <c r="AA819" s="3" t="s">
        <v>49</v>
      </c>
      <c r="AB819" s="3" t="s">
        <v>29</v>
      </c>
      <c r="AC819" s="3" t="s">
        <v>664</v>
      </c>
      <c r="AD819" s="3" t="s">
        <v>30</v>
      </c>
      <c r="AE819" s="3" t="s">
        <v>31</v>
      </c>
      <c r="AF819" s="3" t="s">
        <v>664</v>
      </c>
      <c r="AG819" s="3" t="s">
        <v>94</v>
      </c>
    </row>
    <row r="820" spans="1:33">
      <c r="A820" s="1">
        <v>45215.952638668983</v>
      </c>
      <c r="B820" s="3" t="s">
        <v>1024</v>
      </c>
      <c r="C820" s="2">
        <v>34219</v>
      </c>
      <c r="D820" s="3">
        <v>30</v>
      </c>
      <c r="E820" s="3" t="s">
        <v>510</v>
      </c>
      <c r="F820" s="3" t="s">
        <v>528</v>
      </c>
      <c r="G820" s="3" t="s">
        <v>539</v>
      </c>
      <c r="H820" s="2">
        <v>43625</v>
      </c>
      <c r="I820" s="3">
        <v>1</v>
      </c>
      <c r="J820" s="3" t="s">
        <v>541</v>
      </c>
      <c r="K820" s="3" t="s">
        <v>1404</v>
      </c>
      <c r="L820" s="3" t="s">
        <v>623</v>
      </c>
      <c r="M820" s="3" t="s">
        <v>1405</v>
      </c>
      <c r="N820" s="3" t="s">
        <v>1406</v>
      </c>
      <c r="O820" s="3">
        <v>161</v>
      </c>
      <c r="P820" s="3" t="s">
        <v>44</v>
      </c>
      <c r="Q820" s="3" t="s">
        <v>26</v>
      </c>
      <c r="S820" s="3" t="s">
        <v>664</v>
      </c>
      <c r="T820" s="3" t="s">
        <v>43</v>
      </c>
      <c r="U820" s="3">
        <v>7</v>
      </c>
      <c r="V820" s="3">
        <v>1</v>
      </c>
      <c r="W820" s="3" t="s">
        <v>34</v>
      </c>
      <c r="X820" s="3" t="s">
        <v>186</v>
      </c>
      <c r="Y820" s="3">
        <v>7</v>
      </c>
      <c r="Z820" s="3">
        <v>1</v>
      </c>
      <c r="AA820" s="3" t="s">
        <v>49</v>
      </c>
      <c r="AB820" s="3" t="s">
        <v>189</v>
      </c>
      <c r="AC820" s="3" t="s">
        <v>664</v>
      </c>
      <c r="AD820" s="3" t="s">
        <v>59</v>
      </c>
      <c r="AE820" s="3" t="s">
        <v>38</v>
      </c>
      <c r="AF820" s="3" t="s">
        <v>664</v>
      </c>
      <c r="AG820" s="3" t="s">
        <v>62</v>
      </c>
    </row>
    <row r="821" spans="1:33">
      <c r="A821" s="1">
        <v>45215.955226666665</v>
      </c>
      <c r="B821" s="3" t="s">
        <v>1024</v>
      </c>
      <c r="C821" s="2">
        <v>30538</v>
      </c>
      <c r="D821" s="3">
        <v>40</v>
      </c>
      <c r="E821" s="3" t="s">
        <v>510</v>
      </c>
      <c r="F821" s="3" t="s">
        <v>520</v>
      </c>
      <c r="G821" s="3" t="s">
        <v>539</v>
      </c>
      <c r="H821" s="2" t="s">
        <v>1407</v>
      </c>
      <c r="I821" s="3">
        <v>1</v>
      </c>
      <c r="J821" s="3" t="s">
        <v>541</v>
      </c>
      <c r="K821" s="3">
        <v>2850</v>
      </c>
      <c r="L821" s="3">
        <v>39</v>
      </c>
      <c r="M821" s="3">
        <v>59</v>
      </c>
      <c r="N821" s="3">
        <v>68</v>
      </c>
      <c r="O821" s="3">
        <v>156</v>
      </c>
      <c r="P821" s="3" t="s">
        <v>33</v>
      </c>
      <c r="Q821" s="3" t="s">
        <v>26</v>
      </c>
      <c r="S821" s="3" t="s">
        <v>664</v>
      </c>
      <c r="T821" s="3" t="s">
        <v>56</v>
      </c>
      <c r="U821" s="3">
        <v>7</v>
      </c>
      <c r="V821" s="3">
        <v>1</v>
      </c>
      <c r="W821" s="3" t="s">
        <v>34</v>
      </c>
      <c r="X821" s="3" t="s">
        <v>489</v>
      </c>
      <c r="Y821" s="3">
        <v>1</v>
      </c>
      <c r="Z821" s="3">
        <v>1</v>
      </c>
      <c r="AA821" s="3" t="s">
        <v>49</v>
      </c>
      <c r="AB821" s="3" t="s">
        <v>464</v>
      </c>
      <c r="AC821" s="3" t="s">
        <v>664</v>
      </c>
      <c r="AD821" s="3" t="s">
        <v>30</v>
      </c>
      <c r="AE821" s="3" t="s">
        <v>31</v>
      </c>
      <c r="AF821" s="3" t="s">
        <v>664</v>
      </c>
      <c r="AG821" s="3" t="s">
        <v>39</v>
      </c>
    </row>
    <row r="822" spans="1:33">
      <c r="A822" s="1">
        <v>45215.987837187495</v>
      </c>
      <c r="B822" s="3" t="s">
        <v>1024</v>
      </c>
      <c r="C822" s="2">
        <v>32849</v>
      </c>
      <c r="D822" s="3">
        <v>33</v>
      </c>
      <c r="E822" s="3" t="s">
        <v>510</v>
      </c>
      <c r="F822" s="3" t="s">
        <v>520</v>
      </c>
      <c r="G822" s="3" t="s">
        <v>540</v>
      </c>
      <c r="H822" s="2">
        <v>44909</v>
      </c>
      <c r="I822" s="3">
        <v>1</v>
      </c>
      <c r="J822" s="3" t="s">
        <v>542</v>
      </c>
      <c r="K822" s="3" t="s">
        <v>1408</v>
      </c>
      <c r="L822" s="3" t="s">
        <v>723</v>
      </c>
      <c r="M822" s="3">
        <v>53</v>
      </c>
      <c r="N822" s="3">
        <v>66</v>
      </c>
      <c r="O822" s="3">
        <v>149</v>
      </c>
      <c r="P822" s="3" t="s">
        <v>33</v>
      </c>
      <c r="Q822" s="3" t="s">
        <v>26</v>
      </c>
      <c r="S822" s="3" t="s">
        <v>664</v>
      </c>
      <c r="T822" s="3" t="s">
        <v>56</v>
      </c>
      <c r="U822" s="3">
        <v>7</v>
      </c>
      <c r="V822" s="3">
        <v>1</v>
      </c>
      <c r="W822" s="3" t="s">
        <v>26</v>
      </c>
      <c r="AA822" s="3" t="s">
        <v>28</v>
      </c>
      <c r="AB822" s="3" t="s">
        <v>29</v>
      </c>
      <c r="AC822" s="3" t="s">
        <v>664</v>
      </c>
      <c r="AD822" s="3" t="s">
        <v>55</v>
      </c>
      <c r="AE822" s="3" t="s">
        <v>31</v>
      </c>
      <c r="AF822" s="3" t="s">
        <v>664</v>
      </c>
      <c r="AG822" s="3" t="s">
        <v>39</v>
      </c>
    </row>
    <row r="823" spans="1:33">
      <c r="A823" s="1">
        <v>45215.995140196756</v>
      </c>
      <c r="B823" s="3" t="s">
        <v>1024</v>
      </c>
      <c r="C823" s="2">
        <v>31556</v>
      </c>
      <c r="D823" s="3">
        <v>37</v>
      </c>
      <c r="E823" s="3" t="s">
        <v>510</v>
      </c>
      <c r="F823" s="3" t="s">
        <v>523</v>
      </c>
      <c r="G823" s="3" t="s">
        <v>539</v>
      </c>
      <c r="H823" s="2">
        <v>44328</v>
      </c>
      <c r="I823" s="3">
        <v>3</v>
      </c>
      <c r="J823" s="3" t="s">
        <v>542</v>
      </c>
      <c r="K823" s="3">
        <v>3660</v>
      </c>
      <c r="L823" s="3">
        <v>39</v>
      </c>
      <c r="M823" s="3">
        <v>81</v>
      </c>
      <c r="N823" s="3">
        <v>82</v>
      </c>
      <c r="O823" s="3">
        <v>161</v>
      </c>
      <c r="P823" s="3" t="s">
        <v>33</v>
      </c>
      <c r="Q823" s="3" t="s">
        <v>26</v>
      </c>
      <c r="S823" s="3" t="s">
        <v>664</v>
      </c>
      <c r="T823" s="3" t="s">
        <v>57</v>
      </c>
      <c r="U823" s="3">
        <v>7</v>
      </c>
      <c r="V823" s="3">
        <v>1</v>
      </c>
      <c r="W823" s="3" t="s">
        <v>26</v>
      </c>
      <c r="AA823" s="3" t="s">
        <v>42</v>
      </c>
      <c r="AB823" s="3" t="s">
        <v>29</v>
      </c>
      <c r="AC823" s="3" t="s">
        <v>664</v>
      </c>
      <c r="AD823" s="3" t="s">
        <v>30</v>
      </c>
      <c r="AE823" s="3" t="s">
        <v>31</v>
      </c>
      <c r="AF823" s="3" t="s">
        <v>664</v>
      </c>
      <c r="AG823" s="3" t="s">
        <v>32</v>
      </c>
    </row>
    <row r="824" spans="1:33">
      <c r="A824" s="1">
        <v>45215.998557881947</v>
      </c>
      <c r="B824" s="3" t="s">
        <v>1024</v>
      </c>
      <c r="C824" s="2">
        <v>35011</v>
      </c>
      <c r="D824" s="3">
        <v>27</v>
      </c>
      <c r="E824" s="3" t="s">
        <v>510</v>
      </c>
      <c r="F824" s="3" t="s">
        <v>522</v>
      </c>
      <c r="G824" s="3" t="s">
        <v>540</v>
      </c>
      <c r="H824" s="2">
        <v>44911</v>
      </c>
      <c r="I824" s="3">
        <v>2</v>
      </c>
      <c r="J824" s="3" t="s">
        <v>541</v>
      </c>
      <c r="K824" s="3" t="s">
        <v>1409</v>
      </c>
      <c r="L824" s="3" t="s">
        <v>616</v>
      </c>
      <c r="M824" s="3">
        <v>70</v>
      </c>
      <c r="N824" s="3">
        <v>92</v>
      </c>
      <c r="O824" s="3">
        <v>176</v>
      </c>
      <c r="P824" s="3" t="s">
        <v>33</v>
      </c>
      <c r="Q824" s="3" t="s">
        <v>26</v>
      </c>
      <c r="S824" s="3" t="s">
        <v>664</v>
      </c>
      <c r="T824" s="3" t="s">
        <v>97</v>
      </c>
      <c r="U824" s="3">
        <v>7</v>
      </c>
      <c r="V824" s="3">
        <v>1</v>
      </c>
      <c r="W824" s="3" t="s">
        <v>34</v>
      </c>
      <c r="X824" s="3" t="s">
        <v>490</v>
      </c>
      <c r="Y824" s="3">
        <v>7</v>
      </c>
      <c r="Z824" s="3">
        <v>1</v>
      </c>
      <c r="AA824" s="3" t="s">
        <v>42</v>
      </c>
      <c r="AB824" s="3" t="s">
        <v>263</v>
      </c>
      <c r="AC824" s="3" t="s">
        <v>664</v>
      </c>
      <c r="AD824" s="3" t="s">
        <v>55</v>
      </c>
      <c r="AE824" s="3" t="s">
        <v>60</v>
      </c>
      <c r="AF824" s="3" t="s">
        <v>664</v>
      </c>
      <c r="AG824" s="3" t="s">
        <v>62</v>
      </c>
    </row>
    <row r="825" spans="1:33">
      <c r="A825" s="1">
        <v>45216.068297534723</v>
      </c>
      <c r="B825" s="3" t="s">
        <v>1024</v>
      </c>
      <c r="C825" s="2">
        <v>32378</v>
      </c>
      <c r="D825" s="3">
        <v>35</v>
      </c>
      <c r="E825" s="3" t="s">
        <v>510</v>
      </c>
      <c r="F825" s="3" t="s">
        <v>520</v>
      </c>
      <c r="G825" s="3" t="s">
        <v>539</v>
      </c>
      <c r="H825" s="2">
        <v>42952</v>
      </c>
      <c r="I825" s="3">
        <v>3</v>
      </c>
      <c r="J825" s="3" t="s">
        <v>542</v>
      </c>
      <c r="K825" s="3">
        <v>3380</v>
      </c>
      <c r="L825" s="3">
        <v>39</v>
      </c>
      <c r="M825" s="3">
        <v>74</v>
      </c>
      <c r="N825" s="3">
        <v>88</v>
      </c>
      <c r="O825" s="3">
        <v>158</v>
      </c>
      <c r="P825" s="3" t="s">
        <v>44</v>
      </c>
      <c r="Q825" s="3" t="s">
        <v>34</v>
      </c>
      <c r="R825" s="3" t="s">
        <v>491</v>
      </c>
      <c r="S825" s="3" t="s">
        <v>664</v>
      </c>
      <c r="T825" s="3" t="s">
        <v>43</v>
      </c>
      <c r="U825" s="3">
        <v>7</v>
      </c>
      <c r="V825" s="3">
        <v>1</v>
      </c>
      <c r="W825" s="3" t="s">
        <v>34</v>
      </c>
      <c r="X825" s="3" t="s">
        <v>61</v>
      </c>
      <c r="Y825" s="3">
        <v>7</v>
      </c>
      <c r="Z825" s="3">
        <v>1</v>
      </c>
      <c r="AA825" s="3" t="s">
        <v>49</v>
      </c>
      <c r="AB825" s="3" t="s">
        <v>29</v>
      </c>
      <c r="AC825" s="3" t="s">
        <v>664</v>
      </c>
      <c r="AD825" s="3" t="s">
        <v>30</v>
      </c>
      <c r="AE825" s="3" t="s">
        <v>31</v>
      </c>
      <c r="AF825" s="3" t="s">
        <v>664</v>
      </c>
      <c r="AG825" s="3" t="s">
        <v>32</v>
      </c>
    </row>
    <row r="826" spans="1:33">
      <c r="A826" s="1">
        <v>45216.076940844912</v>
      </c>
      <c r="B826" s="3" t="s">
        <v>1024</v>
      </c>
      <c r="C826" s="2">
        <v>30030</v>
      </c>
      <c r="D826" s="3">
        <v>41</v>
      </c>
      <c r="E826" s="3" t="s">
        <v>510</v>
      </c>
      <c r="F826" s="3" t="s">
        <v>520</v>
      </c>
      <c r="G826" s="3" t="s">
        <v>538</v>
      </c>
      <c r="H826" s="2">
        <v>44192</v>
      </c>
      <c r="I826" s="3">
        <v>3</v>
      </c>
      <c r="J826" s="3" t="s">
        <v>542</v>
      </c>
      <c r="K826" s="3">
        <v>3080</v>
      </c>
      <c r="L826" s="3" t="s">
        <v>638</v>
      </c>
      <c r="M826" s="3">
        <v>70</v>
      </c>
      <c r="N826" s="3">
        <v>78</v>
      </c>
      <c r="O826" s="3">
        <v>164</v>
      </c>
      <c r="P826" s="3" t="s">
        <v>50</v>
      </c>
      <c r="Q826" s="3" t="s">
        <v>26</v>
      </c>
      <c r="S826" s="3" t="s">
        <v>664</v>
      </c>
      <c r="T826" s="3" t="s">
        <v>79</v>
      </c>
      <c r="U826" s="3">
        <v>6</v>
      </c>
      <c r="V826" s="3">
        <v>1</v>
      </c>
      <c r="W826" s="3" t="s">
        <v>26</v>
      </c>
      <c r="AA826" s="3" t="s">
        <v>49</v>
      </c>
      <c r="AB826" s="3" t="s">
        <v>29</v>
      </c>
      <c r="AC826" s="3" t="s">
        <v>664</v>
      </c>
      <c r="AD826" s="3" t="s">
        <v>37</v>
      </c>
      <c r="AE826" s="3" t="s">
        <v>72</v>
      </c>
      <c r="AF826" s="3" t="s">
        <v>664</v>
      </c>
      <c r="AG826" s="3" t="s">
        <v>32</v>
      </c>
    </row>
    <row r="827" spans="1:33">
      <c r="A827" s="1">
        <v>45216.099467453707</v>
      </c>
      <c r="B827" s="3" t="s">
        <v>1024</v>
      </c>
      <c r="C827" s="2">
        <v>35718</v>
      </c>
      <c r="D827" s="3" t="s">
        <v>1125</v>
      </c>
      <c r="E827" s="3" t="s">
        <v>510</v>
      </c>
      <c r="F827" s="3" t="s">
        <v>520</v>
      </c>
      <c r="G827" s="3" t="s">
        <v>538</v>
      </c>
      <c r="H827" s="2">
        <v>44618</v>
      </c>
      <c r="I827" s="3">
        <v>2</v>
      </c>
      <c r="J827" s="3" t="s">
        <v>541</v>
      </c>
      <c r="K827" s="3">
        <v>3540</v>
      </c>
      <c r="L827" s="3" t="s">
        <v>661</v>
      </c>
      <c r="M827" s="3">
        <v>73</v>
      </c>
      <c r="N827" s="3">
        <v>83</v>
      </c>
      <c r="O827" s="3">
        <v>166</v>
      </c>
      <c r="P827" s="3" t="s">
        <v>33</v>
      </c>
      <c r="Q827" s="3" t="s">
        <v>26</v>
      </c>
      <c r="S827" s="3" t="s">
        <v>664</v>
      </c>
      <c r="T827" s="3" t="s">
        <v>43</v>
      </c>
      <c r="U827" s="3">
        <v>7</v>
      </c>
      <c r="V827" s="3">
        <v>1</v>
      </c>
      <c r="W827" s="3" t="s">
        <v>34</v>
      </c>
      <c r="X827" s="3" t="s">
        <v>492</v>
      </c>
      <c r="Y827" s="3">
        <v>7</v>
      </c>
      <c r="Z827" s="3">
        <v>1</v>
      </c>
      <c r="AA827" s="3" t="s">
        <v>114</v>
      </c>
      <c r="AB827" s="3" t="s">
        <v>29</v>
      </c>
      <c r="AC827" s="3" t="s">
        <v>664</v>
      </c>
      <c r="AD827" s="3" t="s">
        <v>30</v>
      </c>
      <c r="AE827" s="3" t="s">
        <v>31</v>
      </c>
      <c r="AF827" s="3" t="s">
        <v>664</v>
      </c>
      <c r="AG827" s="3" t="s">
        <v>48</v>
      </c>
    </row>
    <row r="828" spans="1:33">
      <c r="A828" s="1">
        <v>45216.153157881941</v>
      </c>
      <c r="B828" s="3" t="s">
        <v>1024</v>
      </c>
      <c r="C828" s="2">
        <v>32490</v>
      </c>
      <c r="D828" s="3">
        <v>34</v>
      </c>
      <c r="E828" s="3" t="s">
        <v>510</v>
      </c>
      <c r="F828" s="3" t="s">
        <v>528</v>
      </c>
      <c r="G828" s="3" t="s">
        <v>539</v>
      </c>
      <c r="H828" s="2">
        <v>43377</v>
      </c>
      <c r="I828" s="3">
        <v>2</v>
      </c>
      <c r="J828" s="3" t="s">
        <v>541</v>
      </c>
      <c r="K828" s="3">
        <v>3150</v>
      </c>
      <c r="L828" s="3">
        <v>38</v>
      </c>
      <c r="M828" s="3">
        <v>55</v>
      </c>
      <c r="N828" s="3">
        <v>64</v>
      </c>
      <c r="O828" s="3">
        <v>155</v>
      </c>
      <c r="P828" s="3" t="s">
        <v>33</v>
      </c>
      <c r="Q828" s="3" t="s">
        <v>26</v>
      </c>
      <c r="S828" s="3" t="s">
        <v>664</v>
      </c>
      <c r="T828" s="3" t="s">
        <v>655</v>
      </c>
      <c r="U828" s="3">
        <v>7</v>
      </c>
      <c r="V828" s="3">
        <v>1</v>
      </c>
      <c r="W828" s="3" t="s">
        <v>34</v>
      </c>
      <c r="X828" s="3" t="s">
        <v>336</v>
      </c>
      <c r="Y828" s="3">
        <v>7</v>
      </c>
      <c r="Z828" s="3">
        <v>1</v>
      </c>
      <c r="AA828" s="3" t="s">
        <v>42</v>
      </c>
      <c r="AB828" s="3" t="s">
        <v>29</v>
      </c>
      <c r="AC828" s="3" t="s">
        <v>664</v>
      </c>
      <c r="AD828" s="3" t="s">
        <v>30</v>
      </c>
      <c r="AE828" s="3" t="s">
        <v>60</v>
      </c>
      <c r="AF828" s="3" t="s">
        <v>664</v>
      </c>
      <c r="AG828" s="3" t="s">
        <v>39</v>
      </c>
    </row>
    <row r="829" spans="1:33">
      <c r="A829" s="1">
        <v>45216.256720428239</v>
      </c>
      <c r="B829" s="3" t="s">
        <v>1024</v>
      </c>
      <c r="C829" s="2">
        <v>31215</v>
      </c>
      <c r="D829" s="3">
        <v>38</v>
      </c>
      <c r="E829" s="3" t="s">
        <v>510</v>
      </c>
      <c r="F829" s="3" t="s">
        <v>520</v>
      </c>
      <c r="G829" s="3" t="s">
        <v>540</v>
      </c>
      <c r="H829" s="2">
        <v>43933</v>
      </c>
      <c r="I829" s="3">
        <v>1</v>
      </c>
      <c r="J829" s="3" t="s">
        <v>542</v>
      </c>
      <c r="K829" s="3" t="s">
        <v>1410</v>
      </c>
      <c r="L829" s="3" t="s">
        <v>846</v>
      </c>
      <c r="M829" s="3" t="s">
        <v>1085</v>
      </c>
      <c r="N829" s="3" t="s">
        <v>1411</v>
      </c>
      <c r="O829" s="3">
        <v>157</v>
      </c>
      <c r="P829" s="3" t="s">
        <v>33</v>
      </c>
      <c r="Q829" s="3" t="s">
        <v>26</v>
      </c>
      <c r="S829" s="3" t="s">
        <v>664</v>
      </c>
      <c r="T829" s="3" t="s">
        <v>43</v>
      </c>
      <c r="U829" s="3">
        <v>7</v>
      </c>
      <c r="V829" s="3">
        <v>1</v>
      </c>
      <c r="W829" s="3" t="s">
        <v>34</v>
      </c>
      <c r="X829" s="3" t="s">
        <v>98</v>
      </c>
      <c r="Y829" s="3">
        <v>7</v>
      </c>
      <c r="Z829" s="3">
        <v>2</v>
      </c>
      <c r="AA829" s="3" t="s">
        <v>28</v>
      </c>
      <c r="AB829" s="3" t="s">
        <v>29</v>
      </c>
      <c r="AC829" s="3" t="s">
        <v>664</v>
      </c>
      <c r="AD829" s="3" t="s">
        <v>59</v>
      </c>
      <c r="AE829" s="3" t="s">
        <v>72</v>
      </c>
      <c r="AF829" s="3" t="s">
        <v>664</v>
      </c>
      <c r="AG829" s="3" t="s">
        <v>94</v>
      </c>
    </row>
    <row r="830" spans="1:33">
      <c r="A830" s="1">
        <v>45216.326126550921</v>
      </c>
      <c r="B830" s="3" t="s">
        <v>1024</v>
      </c>
      <c r="C830" s="2">
        <v>35620</v>
      </c>
      <c r="D830" s="3">
        <v>26</v>
      </c>
      <c r="E830" s="3" t="s">
        <v>510</v>
      </c>
      <c r="F830" s="3" t="s">
        <v>520</v>
      </c>
      <c r="G830" s="3" t="s">
        <v>539</v>
      </c>
      <c r="H830" s="2">
        <v>44124</v>
      </c>
      <c r="I830" s="3">
        <v>1</v>
      </c>
      <c r="J830" s="3" t="s">
        <v>542</v>
      </c>
      <c r="K830" s="3">
        <v>3650</v>
      </c>
      <c r="L830" s="3" t="s">
        <v>735</v>
      </c>
      <c r="M830" s="3">
        <v>68</v>
      </c>
      <c r="N830" s="3">
        <v>84</v>
      </c>
      <c r="O830" s="3">
        <v>163</v>
      </c>
      <c r="P830" s="3" t="s">
        <v>33</v>
      </c>
      <c r="Q830" s="3" t="s">
        <v>26</v>
      </c>
      <c r="S830" s="3" t="s">
        <v>664</v>
      </c>
      <c r="T830" s="3" t="s">
        <v>79</v>
      </c>
      <c r="U830" s="3">
        <v>7</v>
      </c>
      <c r="V830" s="3">
        <v>1</v>
      </c>
      <c r="W830" s="3" t="s">
        <v>34</v>
      </c>
      <c r="X830" s="3" t="s">
        <v>334</v>
      </c>
      <c r="Y830" s="3">
        <v>7</v>
      </c>
      <c r="Z830" s="3">
        <v>1</v>
      </c>
      <c r="AA830" s="3" t="s">
        <v>49</v>
      </c>
      <c r="AB830" s="3" t="s">
        <v>29</v>
      </c>
      <c r="AC830" s="3" t="s">
        <v>664</v>
      </c>
      <c r="AD830" s="3" t="s">
        <v>55</v>
      </c>
      <c r="AE830" s="3" t="s">
        <v>72</v>
      </c>
      <c r="AF830" s="3" t="s">
        <v>664</v>
      </c>
      <c r="AG830" s="3" t="s">
        <v>32</v>
      </c>
    </row>
    <row r="831" spans="1:33">
      <c r="A831" s="1">
        <v>45216.403668182873</v>
      </c>
      <c r="B831" s="3" t="s">
        <v>1024</v>
      </c>
      <c r="C831" s="2">
        <v>33115</v>
      </c>
      <c r="D831" s="3">
        <v>33</v>
      </c>
      <c r="E831" s="3" t="s">
        <v>1157</v>
      </c>
      <c r="F831" s="3" t="s">
        <v>521</v>
      </c>
      <c r="G831" s="3" t="s">
        <v>539</v>
      </c>
      <c r="H831" s="2">
        <v>44991</v>
      </c>
      <c r="I831" s="3">
        <v>2</v>
      </c>
      <c r="J831" s="3" t="s">
        <v>541</v>
      </c>
      <c r="K831" s="3" t="s">
        <v>1412</v>
      </c>
      <c r="L831" s="3" t="s">
        <v>661</v>
      </c>
      <c r="M831" s="3" t="s">
        <v>1398</v>
      </c>
      <c r="N831" s="3">
        <v>75</v>
      </c>
      <c r="O831" s="3">
        <v>147</v>
      </c>
      <c r="P831" s="3" t="s">
        <v>33</v>
      </c>
      <c r="Q831" s="3" t="s">
        <v>26</v>
      </c>
      <c r="S831" s="3" t="s">
        <v>664</v>
      </c>
      <c r="T831" s="3" t="s">
        <v>57</v>
      </c>
      <c r="U831" s="3">
        <v>7</v>
      </c>
      <c r="V831" s="3">
        <v>1</v>
      </c>
      <c r="W831" s="3" t="s">
        <v>34</v>
      </c>
      <c r="X831" s="3" t="s">
        <v>58</v>
      </c>
      <c r="Y831" s="3">
        <v>7</v>
      </c>
      <c r="Z831" s="3">
        <v>1</v>
      </c>
      <c r="AA831" s="3" t="s">
        <v>49</v>
      </c>
      <c r="AB831" s="3" t="s">
        <v>29</v>
      </c>
      <c r="AC831" s="3" t="s">
        <v>664</v>
      </c>
      <c r="AD831" s="3" t="s">
        <v>30</v>
      </c>
      <c r="AE831" s="3" t="s">
        <v>72</v>
      </c>
      <c r="AF831" s="3" t="s">
        <v>664</v>
      </c>
      <c r="AG831" s="3" t="s">
        <v>39</v>
      </c>
    </row>
    <row r="832" spans="1:33">
      <c r="A832" s="1">
        <v>45216.427955601852</v>
      </c>
      <c r="B832" s="3" t="s">
        <v>1024</v>
      </c>
      <c r="C832" s="2">
        <v>30045</v>
      </c>
      <c r="D832" s="3">
        <v>41</v>
      </c>
      <c r="E832" s="3" t="s">
        <v>510</v>
      </c>
      <c r="F832" s="3" t="s">
        <v>533</v>
      </c>
      <c r="G832" s="3" t="s">
        <v>539</v>
      </c>
      <c r="H832" s="2">
        <v>44880</v>
      </c>
      <c r="I832" s="3">
        <v>3</v>
      </c>
      <c r="J832" s="3" t="s">
        <v>542</v>
      </c>
      <c r="K832" s="3">
        <v>3410</v>
      </c>
      <c r="L832" s="3" t="s">
        <v>662</v>
      </c>
      <c r="M832" s="3">
        <v>83</v>
      </c>
      <c r="N832" s="3">
        <v>76</v>
      </c>
      <c r="O832" s="3">
        <v>177</v>
      </c>
      <c r="P832" s="3" t="s">
        <v>44</v>
      </c>
      <c r="Q832" s="3" t="s">
        <v>26</v>
      </c>
      <c r="S832" s="3" t="s">
        <v>664</v>
      </c>
      <c r="T832" s="3" t="s">
        <v>43</v>
      </c>
      <c r="U832" s="3">
        <v>7</v>
      </c>
      <c r="V832" s="3">
        <v>1</v>
      </c>
      <c r="W832" s="3" t="s">
        <v>34</v>
      </c>
      <c r="X832" s="3" t="s">
        <v>71</v>
      </c>
      <c r="Y832" s="3">
        <v>7</v>
      </c>
      <c r="Z832" s="3">
        <v>1</v>
      </c>
      <c r="AA832" s="3" t="s">
        <v>49</v>
      </c>
      <c r="AB832" s="3" t="s">
        <v>185</v>
      </c>
      <c r="AC832" s="3" t="s">
        <v>664</v>
      </c>
      <c r="AD832" s="3" t="s">
        <v>59</v>
      </c>
      <c r="AE832" s="3" t="s">
        <v>38</v>
      </c>
      <c r="AF832" s="3" t="s">
        <v>664</v>
      </c>
      <c r="AG832" s="3" t="s">
        <v>39</v>
      </c>
    </row>
    <row r="833" spans="1:33">
      <c r="A833" s="1">
        <v>45216.434464641206</v>
      </c>
      <c r="B833" s="3" t="s">
        <v>1024</v>
      </c>
      <c r="C833" s="2">
        <v>35044</v>
      </c>
      <c r="D833" s="3">
        <v>27</v>
      </c>
      <c r="E833" s="3" t="s">
        <v>510</v>
      </c>
      <c r="F833" s="3" t="s">
        <v>520</v>
      </c>
      <c r="G833" s="3" t="s">
        <v>537</v>
      </c>
      <c r="H833" s="2">
        <v>42867</v>
      </c>
      <c r="I833" s="3">
        <v>1</v>
      </c>
      <c r="J833" s="3" t="s">
        <v>542</v>
      </c>
      <c r="K833" s="3">
        <v>3585</v>
      </c>
      <c r="L833" s="3" t="s">
        <v>643</v>
      </c>
      <c r="M833" s="3">
        <v>84</v>
      </c>
      <c r="N833" s="3">
        <v>92</v>
      </c>
      <c r="O833" s="3">
        <v>170</v>
      </c>
      <c r="P833" s="3" t="s">
        <v>50</v>
      </c>
      <c r="Q833" s="3" t="s">
        <v>26</v>
      </c>
      <c r="S833" s="3" t="s">
        <v>664</v>
      </c>
      <c r="T833" s="3" t="s">
        <v>847</v>
      </c>
      <c r="U833" s="3">
        <v>7</v>
      </c>
      <c r="V833" s="3">
        <v>1</v>
      </c>
      <c r="W833" s="3" t="s">
        <v>34</v>
      </c>
      <c r="X833" s="3" t="s">
        <v>848</v>
      </c>
      <c r="Y833" s="3">
        <v>7</v>
      </c>
      <c r="Z833" s="3">
        <v>1</v>
      </c>
      <c r="AA833" s="3" t="s">
        <v>42</v>
      </c>
      <c r="AB833" s="3" t="s">
        <v>29</v>
      </c>
      <c r="AC833" s="3" t="s">
        <v>664</v>
      </c>
      <c r="AD833" s="3" t="s">
        <v>596</v>
      </c>
      <c r="AE833" s="3" t="s">
        <v>60</v>
      </c>
      <c r="AF833" s="3" t="s">
        <v>664</v>
      </c>
      <c r="AG833" s="3" t="s">
        <v>32</v>
      </c>
    </row>
    <row r="834" spans="1:33">
      <c r="A834" s="1">
        <v>45216.443407037033</v>
      </c>
      <c r="B834" s="3" t="s">
        <v>1024</v>
      </c>
      <c r="C834" s="2">
        <v>33872</v>
      </c>
      <c r="D834" s="3">
        <v>31</v>
      </c>
      <c r="E834" s="3" t="s">
        <v>510</v>
      </c>
      <c r="F834" s="3" t="s">
        <v>520</v>
      </c>
      <c r="G834" s="3" t="s">
        <v>538</v>
      </c>
      <c r="H834" s="2">
        <v>44557</v>
      </c>
      <c r="I834" s="3">
        <v>2</v>
      </c>
      <c r="J834" s="3" t="s">
        <v>542</v>
      </c>
      <c r="K834" s="3" t="s">
        <v>1413</v>
      </c>
      <c r="L834" s="3" t="s">
        <v>697</v>
      </c>
      <c r="M834" s="3">
        <v>85</v>
      </c>
      <c r="N834" s="3">
        <v>82</v>
      </c>
      <c r="O834" s="3">
        <v>154</v>
      </c>
      <c r="P834" s="3" t="s">
        <v>33</v>
      </c>
      <c r="Q834" s="3" t="s">
        <v>26</v>
      </c>
      <c r="S834" s="3" t="s">
        <v>664</v>
      </c>
      <c r="T834" s="3" t="s">
        <v>56</v>
      </c>
      <c r="U834" s="3">
        <v>7</v>
      </c>
      <c r="V834" s="3">
        <v>1</v>
      </c>
      <c r="W834" s="3" t="s">
        <v>26</v>
      </c>
      <c r="AA834" s="3" t="s">
        <v>49</v>
      </c>
      <c r="AB834" s="3" t="s">
        <v>29</v>
      </c>
      <c r="AC834" s="3" t="s">
        <v>664</v>
      </c>
      <c r="AD834" s="3" t="s">
        <v>30</v>
      </c>
      <c r="AE834" s="3" t="s">
        <v>38</v>
      </c>
      <c r="AF834" s="3" t="s">
        <v>664</v>
      </c>
      <c r="AG834" s="3" t="s">
        <v>39</v>
      </c>
    </row>
    <row r="835" spans="1:33">
      <c r="A835" s="1">
        <v>45216.48162416667</v>
      </c>
      <c r="B835" s="3" t="s">
        <v>1024</v>
      </c>
      <c r="C835" s="2">
        <v>30674</v>
      </c>
      <c r="D835" s="3">
        <v>39</v>
      </c>
      <c r="E835" s="3" t="s">
        <v>510</v>
      </c>
      <c r="F835" s="3" t="s">
        <v>520</v>
      </c>
      <c r="G835" s="3" t="s">
        <v>539</v>
      </c>
      <c r="H835" s="2">
        <v>43941</v>
      </c>
      <c r="I835" s="3">
        <v>1</v>
      </c>
      <c r="J835" s="3" t="s">
        <v>542</v>
      </c>
      <c r="K835" s="3" t="s">
        <v>1414</v>
      </c>
      <c r="L835" s="3" t="s">
        <v>616</v>
      </c>
      <c r="M835" s="3">
        <v>68</v>
      </c>
      <c r="N835" s="3">
        <v>78</v>
      </c>
      <c r="O835" s="3">
        <v>168</v>
      </c>
      <c r="P835" s="3" t="s">
        <v>33</v>
      </c>
      <c r="Q835" s="3" t="s">
        <v>34</v>
      </c>
      <c r="R835" s="3" t="s">
        <v>493</v>
      </c>
      <c r="S835" s="3" t="s">
        <v>664</v>
      </c>
      <c r="T835" s="3" t="s">
        <v>98</v>
      </c>
      <c r="U835" s="3">
        <v>7</v>
      </c>
      <c r="V835" s="3">
        <v>1</v>
      </c>
      <c r="W835" s="3" t="s">
        <v>34</v>
      </c>
      <c r="X835" s="3" t="s">
        <v>98</v>
      </c>
      <c r="Y835" s="3">
        <v>7</v>
      </c>
      <c r="Z835" s="3">
        <v>1</v>
      </c>
      <c r="AA835" s="3" t="s">
        <v>42</v>
      </c>
      <c r="AB835" s="3" t="s">
        <v>83</v>
      </c>
      <c r="AC835" s="3" t="s">
        <v>664</v>
      </c>
      <c r="AD835" s="3" t="s">
        <v>63</v>
      </c>
      <c r="AE835" s="3" t="s">
        <v>31</v>
      </c>
      <c r="AF835" s="3" t="s">
        <v>664</v>
      </c>
      <c r="AG835" s="3" t="s">
        <v>48</v>
      </c>
    </row>
    <row r="836" spans="1:33">
      <c r="A836" s="1">
        <v>45216.489431782407</v>
      </c>
      <c r="B836" s="3" t="s">
        <v>1024</v>
      </c>
      <c r="C836" s="2">
        <v>31744</v>
      </c>
      <c r="D836" s="3">
        <v>36</v>
      </c>
      <c r="E836" s="3" t="s">
        <v>510</v>
      </c>
      <c r="F836" s="3" t="s">
        <v>520</v>
      </c>
      <c r="G836" s="3" t="s">
        <v>539</v>
      </c>
      <c r="H836" s="2">
        <v>44428</v>
      </c>
      <c r="I836" s="3">
        <v>1</v>
      </c>
      <c r="J836" s="3" t="s">
        <v>542</v>
      </c>
      <c r="K836" s="3">
        <v>2850</v>
      </c>
      <c r="L836" s="3" t="s">
        <v>849</v>
      </c>
      <c r="M836" s="3" t="s">
        <v>1415</v>
      </c>
      <c r="N836" s="3" t="s">
        <v>1319</v>
      </c>
      <c r="O836" s="3">
        <v>160</v>
      </c>
      <c r="P836" s="3" t="s">
        <v>33</v>
      </c>
      <c r="Q836" s="3" t="s">
        <v>26</v>
      </c>
      <c r="S836" s="3" t="s">
        <v>664</v>
      </c>
      <c r="T836" s="3" t="s">
        <v>504</v>
      </c>
      <c r="U836" s="3">
        <v>7</v>
      </c>
      <c r="V836" s="3">
        <v>1</v>
      </c>
      <c r="W836" s="3" t="s">
        <v>34</v>
      </c>
      <c r="X836" s="3" t="s">
        <v>850</v>
      </c>
      <c r="Y836" s="3">
        <v>7</v>
      </c>
      <c r="Z836" s="3">
        <v>2</v>
      </c>
      <c r="AA836" s="3" t="s">
        <v>42</v>
      </c>
      <c r="AB836" s="3" t="s">
        <v>29</v>
      </c>
      <c r="AC836" s="3" t="s">
        <v>664</v>
      </c>
      <c r="AD836" s="3" t="s">
        <v>597</v>
      </c>
      <c r="AE836" s="3" t="s">
        <v>38</v>
      </c>
      <c r="AF836" s="3" t="s">
        <v>664</v>
      </c>
      <c r="AG836" s="3" t="s">
        <v>32</v>
      </c>
    </row>
    <row r="837" spans="1:33">
      <c r="A837" s="1">
        <v>45216.50324928241</v>
      </c>
      <c r="B837" s="3" t="s">
        <v>1024</v>
      </c>
      <c r="C837" s="2">
        <v>31058</v>
      </c>
      <c r="D837" s="3">
        <v>38</v>
      </c>
      <c r="E837" s="3" t="s">
        <v>510</v>
      </c>
      <c r="F837" s="3" t="s">
        <v>520</v>
      </c>
      <c r="G837" s="3" t="s">
        <v>539</v>
      </c>
      <c r="H837" s="2">
        <v>43650</v>
      </c>
      <c r="I837" s="3">
        <v>1</v>
      </c>
      <c r="J837" s="3" t="s">
        <v>542</v>
      </c>
      <c r="K837" s="3" t="s">
        <v>1416</v>
      </c>
      <c r="L837" s="3" t="s">
        <v>851</v>
      </c>
      <c r="M837" s="3">
        <v>54</v>
      </c>
      <c r="N837" s="3">
        <v>64</v>
      </c>
      <c r="O837" s="3">
        <v>159</v>
      </c>
      <c r="P837" s="3" t="s">
        <v>33</v>
      </c>
      <c r="Q837" s="3" t="s">
        <v>26</v>
      </c>
      <c r="S837" s="3" t="s">
        <v>664</v>
      </c>
      <c r="T837" s="3" t="s">
        <v>79</v>
      </c>
      <c r="U837" s="3">
        <v>7</v>
      </c>
      <c r="V837" s="3">
        <v>1</v>
      </c>
      <c r="W837" s="3" t="s">
        <v>34</v>
      </c>
      <c r="X837" s="3" t="s">
        <v>58</v>
      </c>
      <c r="Y837" s="3">
        <v>7</v>
      </c>
      <c r="Z837" s="3">
        <v>1</v>
      </c>
      <c r="AA837" s="3" t="s">
        <v>49</v>
      </c>
      <c r="AB837" s="3" t="s">
        <v>29</v>
      </c>
      <c r="AC837" s="3" t="s">
        <v>664</v>
      </c>
      <c r="AD837" s="3" t="s">
        <v>30</v>
      </c>
      <c r="AE837" s="3" t="s">
        <v>38</v>
      </c>
      <c r="AF837" s="3" t="s">
        <v>664</v>
      </c>
      <c r="AG837" s="3" t="s">
        <v>32</v>
      </c>
    </row>
    <row r="838" spans="1:33">
      <c r="A838" s="1">
        <v>45216.509633229165</v>
      </c>
      <c r="B838" s="3" t="s">
        <v>1024</v>
      </c>
      <c r="C838" s="2">
        <v>34638</v>
      </c>
      <c r="D838" s="3">
        <v>28</v>
      </c>
      <c r="E838" s="3" t="s">
        <v>510</v>
      </c>
      <c r="F838" s="3" t="s">
        <v>525</v>
      </c>
      <c r="G838" s="3" t="s">
        <v>538</v>
      </c>
      <c r="H838" s="2">
        <v>45007</v>
      </c>
      <c r="I838" s="3">
        <v>2</v>
      </c>
      <c r="J838" s="3" t="s">
        <v>541</v>
      </c>
      <c r="K838" s="3" t="s">
        <v>1390</v>
      </c>
      <c r="L838" s="3">
        <v>38</v>
      </c>
      <c r="M838" s="3" t="s">
        <v>1417</v>
      </c>
      <c r="N838" s="3" t="s">
        <v>1418</v>
      </c>
      <c r="O838" s="3">
        <v>163</v>
      </c>
      <c r="P838" s="3" t="s">
        <v>33</v>
      </c>
      <c r="Q838" s="3" t="s">
        <v>26</v>
      </c>
      <c r="S838" s="3" t="s">
        <v>664</v>
      </c>
      <c r="T838" s="3" t="s">
        <v>317</v>
      </c>
      <c r="U838" s="3">
        <v>7</v>
      </c>
      <c r="V838" s="3">
        <v>1</v>
      </c>
      <c r="W838" s="3" t="s">
        <v>26</v>
      </c>
      <c r="AA838" s="3" t="s">
        <v>36</v>
      </c>
      <c r="AB838" s="3" t="s">
        <v>29</v>
      </c>
      <c r="AC838" s="3" t="s">
        <v>664</v>
      </c>
      <c r="AD838" s="3" t="s">
        <v>30</v>
      </c>
      <c r="AE838" s="3" t="s">
        <v>31</v>
      </c>
      <c r="AF838" s="3" t="s">
        <v>664</v>
      </c>
      <c r="AG838" s="3" t="s">
        <v>39</v>
      </c>
    </row>
    <row r="839" spans="1:33">
      <c r="A839" s="1">
        <v>45216.510895486106</v>
      </c>
      <c r="B839" s="3" t="s">
        <v>1024</v>
      </c>
      <c r="C839" s="2">
        <v>34493</v>
      </c>
      <c r="D839" s="3">
        <v>29</v>
      </c>
      <c r="E839" s="3" t="s">
        <v>510</v>
      </c>
      <c r="F839" s="3" t="s">
        <v>520</v>
      </c>
      <c r="G839" s="3" t="s">
        <v>538</v>
      </c>
      <c r="H839" s="2">
        <v>43263</v>
      </c>
      <c r="I839" s="3">
        <v>1</v>
      </c>
      <c r="J839" s="3" t="s">
        <v>542</v>
      </c>
      <c r="K839" s="3">
        <v>3050</v>
      </c>
      <c r="L839" s="3" t="s">
        <v>852</v>
      </c>
      <c r="M839" s="3">
        <v>60</v>
      </c>
      <c r="N839" s="3">
        <v>79</v>
      </c>
      <c r="O839" s="3">
        <v>159</v>
      </c>
      <c r="P839" s="3" t="s">
        <v>33</v>
      </c>
      <c r="Q839" s="3" t="s">
        <v>26</v>
      </c>
      <c r="S839" s="3" t="s">
        <v>664</v>
      </c>
      <c r="T839" s="3" t="s">
        <v>79</v>
      </c>
      <c r="U839" s="3">
        <v>7</v>
      </c>
      <c r="V839" s="3">
        <v>1</v>
      </c>
      <c r="W839" s="3" t="s">
        <v>26</v>
      </c>
      <c r="AA839" s="3" t="s">
        <v>49</v>
      </c>
      <c r="AB839" s="3" t="s">
        <v>185</v>
      </c>
      <c r="AC839" s="3" t="s">
        <v>664</v>
      </c>
      <c r="AD839" s="3" t="s">
        <v>55</v>
      </c>
      <c r="AE839" s="3" t="s">
        <v>72</v>
      </c>
      <c r="AF839" s="3" t="s">
        <v>664</v>
      </c>
      <c r="AG839" s="3" t="s">
        <v>32</v>
      </c>
    </row>
    <row r="840" spans="1:33">
      <c r="A840" s="1">
        <v>45216.522880868055</v>
      </c>
      <c r="B840" s="3" t="s">
        <v>1024</v>
      </c>
      <c r="C840" s="2">
        <v>30527</v>
      </c>
      <c r="D840" s="3">
        <v>40</v>
      </c>
      <c r="E840" s="3" t="s">
        <v>510</v>
      </c>
      <c r="F840" s="3" t="s">
        <v>520</v>
      </c>
      <c r="G840" s="3" t="s">
        <v>539</v>
      </c>
      <c r="H840" s="2">
        <v>44023</v>
      </c>
      <c r="I840" s="3">
        <v>1</v>
      </c>
      <c r="J840" s="3" t="s">
        <v>541</v>
      </c>
      <c r="K840" s="3" t="s">
        <v>1419</v>
      </c>
      <c r="L840" s="3" t="s">
        <v>627</v>
      </c>
      <c r="M840" s="3">
        <v>55</v>
      </c>
      <c r="N840" s="3">
        <v>80</v>
      </c>
      <c r="O840" s="3">
        <v>157</v>
      </c>
      <c r="P840" s="3" t="s">
        <v>50</v>
      </c>
      <c r="Q840" s="3" t="s">
        <v>26</v>
      </c>
      <c r="S840" s="3" t="s">
        <v>664</v>
      </c>
      <c r="T840" s="3" t="s">
        <v>41</v>
      </c>
      <c r="U840" s="3">
        <v>7</v>
      </c>
      <c r="V840" s="3">
        <v>1</v>
      </c>
      <c r="W840" s="3" t="s">
        <v>34</v>
      </c>
      <c r="X840" s="3" t="s">
        <v>58</v>
      </c>
      <c r="Y840" s="3">
        <v>7</v>
      </c>
      <c r="Z840" s="3">
        <v>1</v>
      </c>
      <c r="AA840" s="3" t="s">
        <v>42</v>
      </c>
      <c r="AB840" s="3" t="s">
        <v>29</v>
      </c>
      <c r="AC840" s="3" t="s">
        <v>664</v>
      </c>
      <c r="AD840" s="3" t="s">
        <v>55</v>
      </c>
      <c r="AE840" s="3" t="s">
        <v>72</v>
      </c>
      <c r="AF840" s="3" t="s">
        <v>664</v>
      </c>
      <c r="AG840" s="3" t="s">
        <v>32</v>
      </c>
    </row>
    <row r="841" spans="1:33">
      <c r="A841" s="1">
        <v>45216.558429537035</v>
      </c>
      <c r="B841" s="3" t="s">
        <v>1024</v>
      </c>
      <c r="C841" s="2">
        <v>35464</v>
      </c>
      <c r="D841" s="3">
        <v>26</v>
      </c>
      <c r="E841" s="3" t="s">
        <v>510</v>
      </c>
      <c r="F841" s="3" t="s">
        <v>521</v>
      </c>
      <c r="G841" s="3" t="s">
        <v>540</v>
      </c>
      <c r="H841" s="2">
        <v>44748</v>
      </c>
      <c r="I841" s="3">
        <v>1</v>
      </c>
      <c r="J841" s="3" t="s">
        <v>541</v>
      </c>
      <c r="K841" s="3" t="s">
        <v>1034</v>
      </c>
      <c r="L841" s="3" t="s">
        <v>661</v>
      </c>
      <c r="M841" s="3">
        <v>58</v>
      </c>
      <c r="N841" s="3">
        <v>61</v>
      </c>
      <c r="O841" s="3">
        <v>154</v>
      </c>
      <c r="P841" s="3" t="s">
        <v>33</v>
      </c>
      <c r="Q841" s="3" t="s">
        <v>26</v>
      </c>
      <c r="S841" s="3" t="s">
        <v>664</v>
      </c>
      <c r="T841" s="3" t="s">
        <v>27</v>
      </c>
      <c r="U841" s="3">
        <v>4</v>
      </c>
      <c r="V841" s="3">
        <v>1</v>
      </c>
      <c r="W841" s="3" t="s">
        <v>34</v>
      </c>
      <c r="X841" s="3" t="s">
        <v>35</v>
      </c>
      <c r="Y841" s="3">
        <v>7</v>
      </c>
      <c r="Z841" s="3">
        <v>1</v>
      </c>
      <c r="AA841" s="3" t="s">
        <v>49</v>
      </c>
      <c r="AB841" s="3" t="s">
        <v>494</v>
      </c>
      <c r="AC841" s="3" t="s">
        <v>664</v>
      </c>
      <c r="AD841" s="3" t="s">
        <v>55</v>
      </c>
      <c r="AE841" s="3" t="s">
        <v>31</v>
      </c>
      <c r="AF841" s="3" t="s">
        <v>664</v>
      </c>
      <c r="AG841" s="3" t="s">
        <v>62</v>
      </c>
    </row>
    <row r="842" spans="1:33">
      <c r="A842" s="1">
        <v>45216.637336504631</v>
      </c>
      <c r="B842" s="3" t="s">
        <v>1024</v>
      </c>
      <c r="C842" s="2">
        <v>35233</v>
      </c>
      <c r="D842" s="3">
        <v>27</v>
      </c>
      <c r="E842" s="3" t="s">
        <v>510</v>
      </c>
      <c r="F842" s="3" t="s">
        <v>531</v>
      </c>
      <c r="G842" s="3" t="s">
        <v>539</v>
      </c>
      <c r="H842" s="2">
        <v>44763</v>
      </c>
      <c r="I842" s="3">
        <v>1</v>
      </c>
      <c r="J842" s="3" t="s">
        <v>542</v>
      </c>
      <c r="K842" s="3" t="s">
        <v>1420</v>
      </c>
      <c r="L842" s="3" t="s">
        <v>818</v>
      </c>
      <c r="M842" s="3">
        <v>57</v>
      </c>
      <c r="N842" s="3">
        <v>62</v>
      </c>
      <c r="O842" s="3">
        <v>168</v>
      </c>
      <c r="P842" s="3" t="s">
        <v>33</v>
      </c>
      <c r="Q842" s="3" t="s">
        <v>26</v>
      </c>
      <c r="S842" s="3" t="s">
        <v>664</v>
      </c>
      <c r="T842" s="3" t="s">
        <v>79</v>
      </c>
      <c r="U842" s="3">
        <v>7</v>
      </c>
      <c r="V842" s="3">
        <v>1</v>
      </c>
      <c r="W842" s="3" t="s">
        <v>34</v>
      </c>
      <c r="Y842" s="3">
        <v>7</v>
      </c>
      <c r="Z842" s="3">
        <v>1</v>
      </c>
      <c r="AA842" s="3" t="s">
        <v>49</v>
      </c>
      <c r="AB842" s="3" t="s">
        <v>556</v>
      </c>
      <c r="AC842" s="3" t="s">
        <v>664</v>
      </c>
      <c r="AD842" s="3" t="s">
        <v>37</v>
      </c>
      <c r="AE842" s="3" t="s">
        <v>38</v>
      </c>
      <c r="AF842" s="3" t="s">
        <v>664</v>
      </c>
      <c r="AG842" s="3" t="s">
        <v>32</v>
      </c>
    </row>
    <row r="843" spans="1:33">
      <c r="A843" s="1">
        <v>45216.655774814819</v>
      </c>
      <c r="B843" s="3" t="s">
        <v>1024</v>
      </c>
      <c r="C843" s="2">
        <v>30810</v>
      </c>
      <c r="D843" s="3">
        <v>39</v>
      </c>
      <c r="E843" s="3" t="s">
        <v>510</v>
      </c>
      <c r="F843" s="3" t="s">
        <v>520</v>
      </c>
      <c r="G843" s="3" t="s">
        <v>538</v>
      </c>
      <c r="H843" s="2">
        <v>44247</v>
      </c>
      <c r="I843" s="3">
        <v>4</v>
      </c>
      <c r="J843" s="3" t="s">
        <v>542</v>
      </c>
      <c r="K843" s="3">
        <v>3300</v>
      </c>
      <c r="L843" s="3">
        <v>39</v>
      </c>
      <c r="M843" s="3">
        <v>59</v>
      </c>
      <c r="N843" s="3">
        <v>69</v>
      </c>
      <c r="O843" s="3">
        <v>158</v>
      </c>
      <c r="P843" s="3" t="s">
        <v>44</v>
      </c>
      <c r="Q843" s="3" t="s">
        <v>26</v>
      </c>
      <c r="S843" s="3" t="s">
        <v>664</v>
      </c>
      <c r="T843" s="3" t="s">
        <v>57</v>
      </c>
      <c r="U843" s="3">
        <v>7</v>
      </c>
      <c r="V843" s="3">
        <v>1</v>
      </c>
      <c r="W843" s="3" t="s">
        <v>26</v>
      </c>
      <c r="AA843" s="3" t="s">
        <v>49</v>
      </c>
      <c r="AB843" s="3" t="s">
        <v>29</v>
      </c>
      <c r="AC843" s="3" t="s">
        <v>664</v>
      </c>
      <c r="AD843" s="3" t="s">
        <v>59</v>
      </c>
      <c r="AE843" s="3" t="s">
        <v>72</v>
      </c>
      <c r="AF843" s="3" t="s">
        <v>664</v>
      </c>
      <c r="AG843" s="3" t="s">
        <v>32</v>
      </c>
    </row>
    <row r="844" spans="1:33">
      <c r="A844" s="1">
        <v>45216.659665254629</v>
      </c>
      <c r="B844" s="3" t="s">
        <v>1024</v>
      </c>
      <c r="C844" s="2">
        <v>29734</v>
      </c>
      <c r="D844" s="3">
        <v>42</v>
      </c>
      <c r="E844" s="3" t="s">
        <v>510</v>
      </c>
      <c r="F844" s="3" t="s">
        <v>531</v>
      </c>
      <c r="G844" s="3" t="s">
        <v>539</v>
      </c>
      <c r="H844" s="2">
        <v>44542</v>
      </c>
      <c r="I844" s="3">
        <v>1</v>
      </c>
      <c r="J844" s="3" t="s">
        <v>542</v>
      </c>
      <c r="K844" s="3" t="s">
        <v>1079</v>
      </c>
      <c r="L844" s="3" t="s">
        <v>853</v>
      </c>
      <c r="M844" s="3">
        <v>73</v>
      </c>
      <c r="N844" s="3" t="s">
        <v>1421</v>
      </c>
      <c r="O844" s="3">
        <v>158</v>
      </c>
      <c r="P844" s="3" t="s">
        <v>44</v>
      </c>
      <c r="Q844" s="3" t="s">
        <v>26</v>
      </c>
      <c r="S844" s="3" t="s">
        <v>664</v>
      </c>
      <c r="T844" s="3" t="s">
        <v>43</v>
      </c>
      <c r="U844" s="3">
        <v>7</v>
      </c>
      <c r="V844" s="3">
        <v>1</v>
      </c>
      <c r="W844" s="3" t="s">
        <v>34</v>
      </c>
      <c r="X844" s="3" t="s">
        <v>58</v>
      </c>
      <c r="Y844" s="3">
        <v>7</v>
      </c>
      <c r="Z844" s="3">
        <v>1</v>
      </c>
      <c r="AA844" s="3" t="s">
        <v>28</v>
      </c>
      <c r="AB844" s="3" t="s">
        <v>495</v>
      </c>
      <c r="AC844" s="3" t="s">
        <v>664</v>
      </c>
      <c r="AD844" s="3" t="s">
        <v>594</v>
      </c>
      <c r="AE844" s="3" t="s">
        <v>31</v>
      </c>
      <c r="AF844" s="3" t="s">
        <v>664</v>
      </c>
      <c r="AG844" s="3" t="s">
        <v>32</v>
      </c>
    </row>
    <row r="845" spans="1:33">
      <c r="A845" s="1">
        <v>45216.667375138888</v>
      </c>
      <c r="B845" s="3" t="s">
        <v>1024</v>
      </c>
      <c r="C845" s="2">
        <v>35687</v>
      </c>
      <c r="D845" s="3">
        <v>26</v>
      </c>
      <c r="E845" s="3" t="s">
        <v>510</v>
      </c>
      <c r="F845" s="3" t="s">
        <v>520</v>
      </c>
      <c r="G845" s="3" t="s">
        <v>539</v>
      </c>
      <c r="H845" s="2">
        <v>44838</v>
      </c>
      <c r="I845" s="3">
        <v>1</v>
      </c>
      <c r="J845" s="3" t="s">
        <v>542</v>
      </c>
      <c r="K845" s="3" t="s">
        <v>1231</v>
      </c>
      <c r="L845" s="3" t="s">
        <v>616</v>
      </c>
      <c r="M845" s="3">
        <v>73</v>
      </c>
      <c r="N845" s="3">
        <v>86</v>
      </c>
      <c r="O845" s="3">
        <v>153</v>
      </c>
      <c r="P845" s="3" t="s">
        <v>33</v>
      </c>
      <c r="Q845" s="3" t="s">
        <v>26</v>
      </c>
      <c r="S845" s="3" t="s">
        <v>664</v>
      </c>
      <c r="T845" s="3" t="s">
        <v>56</v>
      </c>
      <c r="U845" s="3">
        <v>5</v>
      </c>
      <c r="V845" s="3">
        <v>1</v>
      </c>
      <c r="W845" s="3" t="s">
        <v>34</v>
      </c>
      <c r="X845" s="3" t="s">
        <v>496</v>
      </c>
      <c r="Y845" s="3">
        <v>4</v>
      </c>
      <c r="Z845" s="3">
        <v>1</v>
      </c>
      <c r="AA845" s="3" t="s">
        <v>49</v>
      </c>
      <c r="AB845" s="3" t="s">
        <v>497</v>
      </c>
      <c r="AC845" s="3" t="s">
        <v>664</v>
      </c>
      <c r="AD845" s="3" t="s">
        <v>30</v>
      </c>
      <c r="AE845" s="3" t="s">
        <v>31</v>
      </c>
      <c r="AF845" s="3" t="s">
        <v>664</v>
      </c>
      <c r="AG845" s="3" t="s">
        <v>48</v>
      </c>
    </row>
    <row r="846" spans="1:33">
      <c r="A846" s="1">
        <v>45216.676770219907</v>
      </c>
      <c r="B846" s="3" t="s">
        <v>1024</v>
      </c>
      <c r="C846" s="2">
        <v>33197</v>
      </c>
      <c r="D846" s="3">
        <v>32</v>
      </c>
      <c r="E846" s="3" t="s">
        <v>510</v>
      </c>
      <c r="F846" s="3" t="s">
        <v>520</v>
      </c>
      <c r="G846" s="3" t="s">
        <v>540</v>
      </c>
      <c r="H846" s="2">
        <v>45133</v>
      </c>
      <c r="I846" s="3">
        <v>1</v>
      </c>
      <c r="J846" s="3" t="s">
        <v>541</v>
      </c>
      <c r="K846" s="3">
        <v>3250</v>
      </c>
      <c r="L846" s="3">
        <v>38</v>
      </c>
      <c r="M846" s="3">
        <v>74</v>
      </c>
      <c r="N846" s="3">
        <v>74</v>
      </c>
      <c r="O846" s="3">
        <v>156</v>
      </c>
      <c r="P846" s="3" t="s">
        <v>33</v>
      </c>
      <c r="Q846" s="3" t="s">
        <v>26</v>
      </c>
      <c r="S846" s="3" t="s">
        <v>664</v>
      </c>
      <c r="T846" s="3" t="s">
        <v>56</v>
      </c>
      <c r="U846" s="3">
        <v>7</v>
      </c>
      <c r="V846" s="3">
        <v>1</v>
      </c>
      <c r="W846" s="3" t="s">
        <v>34</v>
      </c>
      <c r="X846" s="3" t="s">
        <v>58</v>
      </c>
      <c r="Y846" s="3">
        <v>7</v>
      </c>
      <c r="Z846" s="3">
        <v>1</v>
      </c>
      <c r="AA846" s="3" t="s">
        <v>42</v>
      </c>
      <c r="AB846" s="3" t="s">
        <v>29</v>
      </c>
      <c r="AC846" s="3" t="s">
        <v>664</v>
      </c>
      <c r="AD846" s="3" t="s">
        <v>37</v>
      </c>
      <c r="AE846" s="3" t="s">
        <v>72</v>
      </c>
      <c r="AF846" s="3" t="s">
        <v>664</v>
      </c>
      <c r="AG846" s="3" t="s">
        <v>39</v>
      </c>
    </row>
    <row r="847" spans="1:33">
      <c r="A847" s="1">
        <v>45216.872306377314</v>
      </c>
      <c r="B847" s="3" t="s">
        <v>1024</v>
      </c>
      <c r="C847" s="2">
        <v>32078</v>
      </c>
      <c r="D847" s="3">
        <v>35</v>
      </c>
      <c r="E847" s="3" t="s">
        <v>510</v>
      </c>
      <c r="F847" s="3" t="s">
        <v>528</v>
      </c>
      <c r="G847" s="3" t="s">
        <v>539</v>
      </c>
      <c r="H847" s="2">
        <v>44298</v>
      </c>
      <c r="I847" s="3">
        <v>2</v>
      </c>
      <c r="J847" s="3" t="s">
        <v>542</v>
      </c>
      <c r="K847" s="3">
        <v>3950</v>
      </c>
      <c r="L847" s="3">
        <v>40</v>
      </c>
      <c r="M847" s="3">
        <v>59</v>
      </c>
      <c r="N847" s="3">
        <v>73</v>
      </c>
      <c r="O847" s="3">
        <v>159</v>
      </c>
      <c r="P847" s="3" t="s">
        <v>33</v>
      </c>
      <c r="Q847" s="3" t="s">
        <v>26</v>
      </c>
      <c r="S847" s="3" t="s">
        <v>664</v>
      </c>
      <c r="T847" s="3" t="s">
        <v>43</v>
      </c>
      <c r="U847" s="3">
        <v>7</v>
      </c>
      <c r="V847" s="3">
        <v>1</v>
      </c>
      <c r="W847" s="3" t="s">
        <v>26</v>
      </c>
      <c r="AA847" s="3" t="s">
        <v>28</v>
      </c>
      <c r="AB847" s="3" t="s">
        <v>498</v>
      </c>
      <c r="AC847" s="3" t="s">
        <v>664</v>
      </c>
      <c r="AD847" s="3" t="s">
        <v>30</v>
      </c>
      <c r="AE847" s="3" t="s">
        <v>31</v>
      </c>
      <c r="AF847" s="3" t="s">
        <v>664</v>
      </c>
      <c r="AG847" s="3" t="s">
        <v>76</v>
      </c>
    </row>
    <row r="848" spans="1:33">
      <c r="A848" s="1">
        <v>45216.900226631944</v>
      </c>
      <c r="B848" s="3" t="s">
        <v>1024</v>
      </c>
      <c r="C848" s="2">
        <v>33472</v>
      </c>
      <c r="D848" s="3">
        <v>32</v>
      </c>
      <c r="E848" s="3" t="s">
        <v>510</v>
      </c>
      <c r="F848" s="3" t="s">
        <v>520</v>
      </c>
      <c r="G848" s="3" t="s">
        <v>537</v>
      </c>
      <c r="H848" s="2">
        <v>44724</v>
      </c>
      <c r="I848" s="3">
        <v>1</v>
      </c>
      <c r="J848" s="3" t="s">
        <v>541</v>
      </c>
      <c r="K848" s="3">
        <v>3.75</v>
      </c>
      <c r="L848" s="3" t="s">
        <v>658</v>
      </c>
      <c r="M848" s="3">
        <v>47.5</v>
      </c>
      <c r="N848" s="3">
        <v>63</v>
      </c>
      <c r="O848" s="3">
        <v>164</v>
      </c>
      <c r="P848" s="3" t="s">
        <v>33</v>
      </c>
      <c r="Q848" s="3" t="s">
        <v>26</v>
      </c>
      <c r="S848" s="3" t="s">
        <v>664</v>
      </c>
      <c r="T848" s="3" t="s">
        <v>79</v>
      </c>
      <c r="U848" s="3">
        <v>7</v>
      </c>
      <c r="V848" s="3">
        <v>1</v>
      </c>
      <c r="W848" s="3" t="s">
        <v>34</v>
      </c>
      <c r="X848" s="3" t="s">
        <v>499</v>
      </c>
      <c r="Y848" s="3">
        <v>7</v>
      </c>
      <c r="Z848" s="3">
        <v>1</v>
      </c>
      <c r="AA848" s="3" t="s">
        <v>42</v>
      </c>
      <c r="AB848" s="3" t="s">
        <v>154</v>
      </c>
      <c r="AC848" s="3" t="s">
        <v>664</v>
      </c>
      <c r="AD848" s="3" t="s">
        <v>30</v>
      </c>
      <c r="AE848" s="3" t="s">
        <v>31</v>
      </c>
      <c r="AF848" s="3" t="s">
        <v>664</v>
      </c>
      <c r="AG848" s="3" t="s">
        <v>32</v>
      </c>
    </row>
  </sheetData>
  <autoFilter ref="A1:AG848" xr:uid="{F6574FAB-491C-8C4B-96E9-795C343D0A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B519-6C48-7248-ABD0-6B55FF5C5939}">
  <dimension ref="A1:BZ855"/>
  <sheetViews>
    <sheetView tabSelected="1" zoomScale="169" zoomScaleNormal="12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RowHeight="14"/>
  <cols>
    <col min="1" max="1" width="19.59765625" customWidth="1"/>
    <col min="4" max="4" width="11" style="10"/>
    <col min="9" max="9" width="11" style="10"/>
    <col min="15" max="15" width="11" style="10"/>
    <col min="29" max="29" width="76" customWidth="1"/>
    <col min="30" max="30" width="15.3984375" customWidth="1"/>
    <col min="32" max="32" width="22.59765625" customWidth="1"/>
    <col min="34" max="34" width="16.3984375" customWidth="1"/>
    <col min="35" max="35" width="11.796875" customWidth="1"/>
    <col min="36" max="36" width="6" customWidth="1"/>
    <col min="37" max="38" width="7.19921875" customWidth="1"/>
    <col min="39" max="39" width="22.3984375" customWidth="1"/>
    <col min="40" max="40" width="53.796875" customWidth="1"/>
    <col min="41" max="41" width="14.59765625" customWidth="1"/>
    <col min="48" max="48" width="13" customWidth="1"/>
    <col min="49" max="49" width="35.796875" customWidth="1"/>
    <col min="50" max="50" width="15.796875" customWidth="1"/>
    <col min="57" max="57" width="16.796875" customWidth="1"/>
    <col min="58" max="58" width="21.796875" customWidth="1"/>
    <col min="59" max="59" width="14.3984375" customWidth="1"/>
    <col min="62" max="62" width="13.796875" customWidth="1"/>
    <col min="66" max="66" width="26.59765625" customWidth="1"/>
    <col min="67" max="67" width="13.59765625" customWidth="1"/>
    <col min="68" max="68" width="15.796875" customWidth="1"/>
    <col min="71" max="71" width="12" customWidth="1"/>
    <col min="72" max="72" width="37" customWidth="1"/>
  </cols>
  <sheetData>
    <row r="1" spans="1:78">
      <c r="A1" s="3" t="s">
        <v>0</v>
      </c>
      <c r="B1" t="s">
        <v>872</v>
      </c>
      <c r="C1" t="s">
        <v>932</v>
      </c>
      <c r="D1" s="10" t="s">
        <v>921</v>
      </c>
      <c r="E1" t="s">
        <v>920</v>
      </c>
      <c r="F1" t="s">
        <v>928</v>
      </c>
      <c r="G1" t="s">
        <v>929</v>
      </c>
      <c r="H1" t="s">
        <v>930</v>
      </c>
      <c r="I1" s="10" t="s">
        <v>925</v>
      </c>
      <c r="J1" t="s">
        <v>922</v>
      </c>
      <c r="K1" t="s">
        <v>927</v>
      </c>
      <c r="L1" t="s">
        <v>931</v>
      </c>
      <c r="M1" t="s">
        <v>926</v>
      </c>
      <c r="N1" t="s">
        <v>933</v>
      </c>
      <c r="O1" s="10" t="s">
        <v>3</v>
      </c>
      <c r="P1" t="s">
        <v>934</v>
      </c>
      <c r="Q1" t="s">
        <v>935</v>
      </c>
      <c r="R1" t="s">
        <v>936</v>
      </c>
      <c r="S1" t="s">
        <v>942</v>
      </c>
      <c r="T1" t="s">
        <v>945</v>
      </c>
      <c r="U1" t="s">
        <v>943</v>
      </c>
      <c r="V1" t="s">
        <v>944</v>
      </c>
      <c r="W1" t="s">
        <v>946</v>
      </c>
      <c r="X1" t="s">
        <v>6</v>
      </c>
      <c r="Y1" t="s">
        <v>952</v>
      </c>
      <c r="Z1" t="s">
        <v>7</v>
      </c>
      <c r="AA1" t="s">
        <v>953</v>
      </c>
      <c r="AB1" t="s">
        <v>954</v>
      </c>
      <c r="AC1" t="s">
        <v>956</v>
      </c>
      <c r="AD1" t="s">
        <v>955</v>
      </c>
      <c r="AE1" t="s">
        <v>957</v>
      </c>
      <c r="AF1" t="s">
        <v>10</v>
      </c>
      <c r="AG1" t="s">
        <v>958</v>
      </c>
      <c r="AH1" t="s">
        <v>873</v>
      </c>
      <c r="AI1" t="s">
        <v>906</v>
      </c>
      <c r="AJ1" t="s">
        <v>907</v>
      </c>
      <c r="AK1" t="s">
        <v>908</v>
      </c>
      <c r="AL1" t="s">
        <v>965</v>
      </c>
      <c r="AM1" t="s">
        <v>966</v>
      </c>
      <c r="AN1" t="s">
        <v>976</v>
      </c>
      <c r="AO1" t="s">
        <v>874</v>
      </c>
      <c r="AP1" t="s">
        <v>967</v>
      </c>
      <c r="AQ1" t="s">
        <v>909</v>
      </c>
      <c r="AR1" t="s">
        <v>875</v>
      </c>
      <c r="AS1" t="s">
        <v>910</v>
      </c>
      <c r="AT1" t="s">
        <v>968</v>
      </c>
      <c r="AU1" t="s">
        <v>969</v>
      </c>
      <c r="AV1" t="s">
        <v>970</v>
      </c>
      <c r="AW1" t="s">
        <v>977</v>
      </c>
      <c r="AX1" t="s">
        <v>901</v>
      </c>
      <c r="AY1" t="s">
        <v>971</v>
      </c>
      <c r="AZ1" t="s">
        <v>904</v>
      </c>
      <c r="BA1" t="s">
        <v>905</v>
      </c>
      <c r="BB1" t="s">
        <v>972</v>
      </c>
      <c r="BC1" t="s">
        <v>973</v>
      </c>
      <c r="BD1" t="s">
        <v>974</v>
      </c>
      <c r="BE1" t="s">
        <v>975</v>
      </c>
      <c r="BF1" t="s">
        <v>978</v>
      </c>
      <c r="BG1" t="s">
        <v>902</v>
      </c>
      <c r="BH1" t="s">
        <v>913</v>
      </c>
      <c r="BI1" t="s">
        <v>979</v>
      </c>
      <c r="BJ1" t="s">
        <v>981</v>
      </c>
      <c r="BK1" t="s">
        <v>980</v>
      </c>
      <c r="BL1" t="s">
        <v>983</v>
      </c>
      <c r="BM1" t="s">
        <v>984</v>
      </c>
      <c r="BN1" t="s">
        <v>986</v>
      </c>
      <c r="BO1" t="s">
        <v>987</v>
      </c>
      <c r="BP1" t="s">
        <v>1017</v>
      </c>
      <c r="BQ1" t="s">
        <v>988</v>
      </c>
      <c r="BR1" t="s">
        <v>989</v>
      </c>
      <c r="BS1" t="s">
        <v>990</v>
      </c>
      <c r="BT1" t="s">
        <v>991</v>
      </c>
      <c r="BU1" t="s">
        <v>992</v>
      </c>
      <c r="BV1" t="s">
        <v>993</v>
      </c>
      <c r="BW1" t="s">
        <v>995</v>
      </c>
      <c r="BX1" t="s">
        <v>994</v>
      </c>
      <c r="BY1" t="s">
        <v>997</v>
      </c>
      <c r="BZ1" t="s">
        <v>996</v>
      </c>
    </row>
    <row r="2" spans="1:78">
      <c r="A2" s="1">
        <v>45146.857127129631</v>
      </c>
      <c r="B2" s="6"/>
      <c r="C2">
        <v>1</v>
      </c>
      <c r="D2" s="10">
        <v>31767</v>
      </c>
      <c r="E2">
        <v>36</v>
      </c>
      <c r="F2">
        <v>1</v>
      </c>
      <c r="G2">
        <v>2</v>
      </c>
      <c r="H2">
        <v>5</v>
      </c>
      <c r="I2" s="10">
        <v>44606</v>
      </c>
      <c r="J2">
        <v>1</v>
      </c>
      <c r="K2">
        <v>1</v>
      </c>
      <c r="L2">
        <v>2</v>
      </c>
      <c r="M2">
        <v>1880</v>
      </c>
      <c r="N2">
        <v>1</v>
      </c>
      <c r="O2" s="10">
        <v>44368</v>
      </c>
      <c r="P2">
        <v>1</v>
      </c>
      <c r="Q2">
        <v>34</v>
      </c>
      <c r="R2">
        <v>3</v>
      </c>
      <c r="S2">
        <v>52</v>
      </c>
      <c r="T2">
        <v>155</v>
      </c>
      <c r="U2">
        <v>65</v>
      </c>
      <c r="V2">
        <v>13</v>
      </c>
      <c r="W2">
        <v>2</v>
      </c>
      <c r="X2">
        <v>21.644120707596251</v>
      </c>
      <c r="Y2">
        <v>27.055150884495315</v>
      </c>
      <c r="Z2">
        <v>5.4110301768990645</v>
      </c>
      <c r="AA2">
        <v>2</v>
      </c>
      <c r="AB2">
        <v>3</v>
      </c>
      <c r="AC2" t="s">
        <v>25</v>
      </c>
      <c r="AD2">
        <v>1</v>
      </c>
      <c r="AE2">
        <v>0</v>
      </c>
      <c r="AG2">
        <v>5</v>
      </c>
      <c r="AH2">
        <v>1</v>
      </c>
      <c r="AI2">
        <v>5</v>
      </c>
      <c r="AJ2">
        <v>5</v>
      </c>
      <c r="AK2">
        <v>7</v>
      </c>
      <c r="AL2">
        <v>1</v>
      </c>
      <c r="AM2">
        <f>AJ2*AK2*AL2/7</f>
        <v>5</v>
      </c>
      <c r="AN2" t="s">
        <v>27</v>
      </c>
      <c r="AO2">
        <v>0</v>
      </c>
      <c r="AV2">
        <f>AU2+AM2</f>
        <v>5</v>
      </c>
      <c r="AX2">
        <v>0</v>
      </c>
      <c r="BE2">
        <f>AM2+AU2+BD2</f>
        <v>5</v>
      </c>
      <c r="BG2">
        <v>0</v>
      </c>
      <c r="BJ2" t="s">
        <v>28</v>
      </c>
      <c r="BK2">
        <v>3</v>
      </c>
      <c r="BL2">
        <v>1</v>
      </c>
      <c r="BM2">
        <v>1</v>
      </c>
      <c r="BN2" t="s">
        <v>30</v>
      </c>
      <c r="BO2">
        <v>1</v>
      </c>
      <c r="BP2">
        <v>168</v>
      </c>
      <c r="BQ2">
        <v>0.13</v>
      </c>
      <c r="BR2">
        <v>2</v>
      </c>
      <c r="BS2">
        <v>0.26</v>
      </c>
      <c r="BT2">
        <f>BS2+BD2+AU2+AM2</f>
        <v>5.26</v>
      </c>
      <c r="BU2">
        <v>1</v>
      </c>
      <c r="BV2">
        <v>2</v>
      </c>
      <c r="BW2">
        <v>293</v>
      </c>
      <c r="BX2">
        <f>BW2/7</f>
        <v>41.857142857142854</v>
      </c>
      <c r="BY2">
        <f>0.00077*BX2</f>
        <v>3.2229999999999995E-2</v>
      </c>
      <c r="BZ2">
        <f>BS2+BD2+AU2+AM2+BY2</f>
        <v>5.29223</v>
      </c>
    </row>
    <row r="3" spans="1:78">
      <c r="A3" s="1">
        <v>45147.348693136577</v>
      </c>
      <c r="B3" s="6"/>
      <c r="C3" s="54">
        <v>2</v>
      </c>
      <c r="D3" s="10">
        <v>30940</v>
      </c>
      <c r="E3">
        <v>38</v>
      </c>
      <c r="F3">
        <v>2</v>
      </c>
      <c r="G3">
        <v>1</v>
      </c>
      <c r="H3">
        <v>5</v>
      </c>
      <c r="I3" s="10">
        <v>45051</v>
      </c>
      <c r="J3">
        <v>3</v>
      </c>
      <c r="K3">
        <v>0</v>
      </c>
      <c r="L3">
        <v>2</v>
      </c>
      <c r="M3">
        <v>3480</v>
      </c>
      <c r="N3">
        <v>2</v>
      </c>
      <c r="O3" s="10">
        <v>44781</v>
      </c>
      <c r="P3">
        <v>0</v>
      </c>
      <c r="Q3">
        <v>38.571428571428569</v>
      </c>
      <c r="R3">
        <v>2</v>
      </c>
      <c r="S3">
        <v>68</v>
      </c>
      <c r="T3">
        <v>162</v>
      </c>
      <c r="U3">
        <v>79</v>
      </c>
      <c r="V3">
        <v>11</v>
      </c>
      <c r="W3">
        <v>2</v>
      </c>
      <c r="X3">
        <v>25.910684346898332</v>
      </c>
      <c r="Y3">
        <v>30.102118579484827</v>
      </c>
      <c r="Z3">
        <v>4.1914342325864951</v>
      </c>
      <c r="AA3">
        <v>3</v>
      </c>
      <c r="AB3">
        <v>4</v>
      </c>
      <c r="AC3" t="s">
        <v>33</v>
      </c>
      <c r="AD3">
        <v>3</v>
      </c>
      <c r="AE3">
        <v>0</v>
      </c>
      <c r="AG3">
        <v>5</v>
      </c>
      <c r="AH3">
        <v>1</v>
      </c>
      <c r="AI3">
        <v>5</v>
      </c>
      <c r="AJ3">
        <v>5</v>
      </c>
      <c r="AK3">
        <v>7</v>
      </c>
      <c r="AL3">
        <v>1</v>
      </c>
      <c r="AM3">
        <f>AJ3*AK3*AL3/7</f>
        <v>5</v>
      </c>
      <c r="AN3" t="s">
        <v>27</v>
      </c>
      <c r="AO3">
        <v>0</v>
      </c>
      <c r="AV3">
        <f>AU3+AM3</f>
        <v>5</v>
      </c>
      <c r="AW3" t="s">
        <v>35</v>
      </c>
      <c r="AX3">
        <v>1</v>
      </c>
      <c r="AY3" t="s">
        <v>35</v>
      </c>
      <c r="AZ3">
        <v>12</v>
      </c>
      <c r="BA3">
        <v>0.4</v>
      </c>
      <c r="BB3">
        <v>7</v>
      </c>
      <c r="BC3">
        <v>1</v>
      </c>
      <c r="BD3">
        <f>BA3*BB3*1/7</f>
        <v>0.4</v>
      </c>
      <c r="BE3">
        <f>AM3+AU3+BD3</f>
        <v>5.4</v>
      </c>
      <c r="BF3" t="s">
        <v>35</v>
      </c>
      <c r="BG3">
        <v>0</v>
      </c>
      <c r="BH3">
        <v>7</v>
      </c>
      <c r="BI3">
        <v>1</v>
      </c>
      <c r="BJ3" t="s">
        <v>36</v>
      </c>
      <c r="BK3">
        <v>4</v>
      </c>
      <c r="BL3">
        <v>1</v>
      </c>
      <c r="BM3">
        <v>1</v>
      </c>
      <c r="BN3" t="s">
        <v>37</v>
      </c>
      <c r="BO3">
        <v>4</v>
      </c>
      <c r="BP3">
        <v>55</v>
      </c>
      <c r="BQ3">
        <v>0.05</v>
      </c>
      <c r="BR3">
        <v>1</v>
      </c>
      <c r="BS3">
        <v>0.05</v>
      </c>
      <c r="BT3">
        <v>1</v>
      </c>
      <c r="BU3">
        <v>1</v>
      </c>
      <c r="BV3">
        <v>146.5</v>
      </c>
      <c r="BW3">
        <f>BV3/7</f>
        <v>20.928571428571427</v>
      </c>
      <c r="BX3">
        <f>0.00077*BW3</f>
        <v>1.6114999999999997E-2</v>
      </c>
      <c r="BY3">
        <f>BS3+BD3+AU3+AM3+BX3</f>
        <v>5.4661150000000003</v>
      </c>
    </row>
    <row r="4" spans="1:78">
      <c r="A4" s="1">
        <v>45147.416003124999</v>
      </c>
      <c r="B4" s="8" t="s">
        <v>864</v>
      </c>
      <c r="C4">
        <v>3</v>
      </c>
      <c r="D4" s="10">
        <v>30206</v>
      </c>
      <c r="E4">
        <v>40</v>
      </c>
      <c r="F4">
        <v>1</v>
      </c>
      <c r="G4">
        <v>1</v>
      </c>
      <c r="H4">
        <v>5</v>
      </c>
      <c r="I4" s="10">
        <v>30201</v>
      </c>
      <c r="J4">
        <v>1</v>
      </c>
      <c r="K4">
        <v>1</v>
      </c>
      <c r="L4">
        <v>1</v>
      </c>
      <c r="M4">
        <v>2560</v>
      </c>
      <c r="N4">
        <v>2</v>
      </c>
      <c r="O4" s="10">
        <v>29928</v>
      </c>
      <c r="P4">
        <v>0</v>
      </c>
      <c r="Q4">
        <v>39</v>
      </c>
      <c r="R4">
        <v>2</v>
      </c>
      <c r="S4">
        <v>62</v>
      </c>
      <c r="T4">
        <v>168</v>
      </c>
      <c r="U4">
        <v>67</v>
      </c>
      <c r="V4">
        <v>5</v>
      </c>
      <c r="W4">
        <v>1</v>
      </c>
      <c r="X4">
        <v>21.9671201814059</v>
      </c>
      <c r="Y4">
        <v>23.738662131519277</v>
      </c>
      <c r="Z4">
        <v>1.7715419501133773</v>
      </c>
      <c r="AA4">
        <v>2</v>
      </c>
      <c r="AB4">
        <v>2</v>
      </c>
      <c r="AC4" t="s">
        <v>33</v>
      </c>
      <c r="AD4">
        <v>3</v>
      </c>
      <c r="AE4">
        <v>0</v>
      </c>
      <c r="AG4">
        <v>5</v>
      </c>
      <c r="AH4">
        <v>1</v>
      </c>
      <c r="AI4">
        <v>4</v>
      </c>
      <c r="AJ4">
        <v>1</v>
      </c>
      <c r="AK4">
        <v>7</v>
      </c>
      <c r="AL4">
        <v>1</v>
      </c>
      <c r="AM4">
        <f>AJ4*AK4*AL4/7</f>
        <v>1</v>
      </c>
      <c r="AN4" t="s">
        <v>43</v>
      </c>
      <c r="AO4">
        <v>0</v>
      </c>
      <c r="AV4">
        <f>AU4+AM4</f>
        <v>1</v>
      </c>
      <c r="AW4" t="s">
        <v>617</v>
      </c>
      <c r="AX4">
        <v>0</v>
      </c>
      <c r="BE4">
        <f>AM4+AU4+BD4</f>
        <v>1</v>
      </c>
      <c r="BF4" t="s">
        <v>617</v>
      </c>
      <c r="BG4">
        <v>1</v>
      </c>
      <c r="BH4">
        <v>7</v>
      </c>
      <c r="BI4">
        <v>1</v>
      </c>
      <c r="BJ4" t="s">
        <v>28</v>
      </c>
      <c r="BK4">
        <v>3</v>
      </c>
      <c r="BL4">
        <v>1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f>BS4+BD4+AU4+AM4</f>
        <v>1</v>
      </c>
      <c r="BU4">
        <v>0</v>
      </c>
      <c r="BW4">
        <v>0</v>
      </c>
      <c r="BX4">
        <f>BW4/7</f>
        <v>0</v>
      </c>
      <c r="BY4">
        <f>0.00077*BX4</f>
        <v>0</v>
      </c>
      <c r="BZ4">
        <f t="shared" ref="BZ4:BZ67" si="0">BS4+BD4+AU4+AM4+BY4</f>
        <v>1</v>
      </c>
    </row>
    <row r="5" spans="1:78">
      <c r="A5" s="1">
        <v>45147.467711226855</v>
      </c>
      <c r="C5">
        <v>4</v>
      </c>
      <c r="D5" s="10">
        <v>30825</v>
      </c>
      <c r="E5">
        <v>39</v>
      </c>
      <c r="F5">
        <v>1</v>
      </c>
      <c r="G5">
        <v>1</v>
      </c>
      <c r="H5">
        <v>3</v>
      </c>
      <c r="I5" s="10">
        <v>44922</v>
      </c>
      <c r="J5">
        <v>3</v>
      </c>
      <c r="K5">
        <v>0</v>
      </c>
      <c r="L5">
        <v>1</v>
      </c>
      <c r="M5">
        <v>3190</v>
      </c>
      <c r="N5">
        <v>2</v>
      </c>
      <c r="O5" s="10">
        <v>44656</v>
      </c>
      <c r="P5">
        <v>0</v>
      </c>
      <c r="Q5">
        <v>38</v>
      </c>
      <c r="R5">
        <v>2</v>
      </c>
      <c r="S5">
        <v>68</v>
      </c>
      <c r="T5">
        <v>159</v>
      </c>
      <c r="U5">
        <v>76</v>
      </c>
      <c r="V5">
        <v>8</v>
      </c>
      <c r="W5">
        <v>2</v>
      </c>
      <c r="X5">
        <v>26.897670187097027</v>
      </c>
      <c r="Y5">
        <v>30.062101973814325</v>
      </c>
      <c r="Z5">
        <v>3.164431786717298</v>
      </c>
      <c r="AA5">
        <v>3</v>
      </c>
      <c r="AB5">
        <v>4</v>
      </c>
      <c r="AC5" t="s">
        <v>40</v>
      </c>
      <c r="AD5">
        <v>2</v>
      </c>
      <c r="AE5">
        <v>0</v>
      </c>
      <c r="AG5">
        <v>5</v>
      </c>
      <c r="AH5">
        <v>0</v>
      </c>
      <c r="AI5">
        <v>0</v>
      </c>
      <c r="AN5" t="s">
        <v>41</v>
      </c>
      <c r="AO5">
        <v>0</v>
      </c>
      <c r="AX5">
        <v>1</v>
      </c>
      <c r="AY5" t="s">
        <v>876</v>
      </c>
      <c r="AZ5">
        <v>1</v>
      </c>
      <c r="BA5">
        <v>0.8</v>
      </c>
      <c r="BB5">
        <v>7</v>
      </c>
      <c r="BC5">
        <v>1</v>
      </c>
      <c r="BD5">
        <f>BA5*BB5*1/7</f>
        <v>0.8</v>
      </c>
      <c r="BE5">
        <f>AM5+AU5+BD5</f>
        <v>0.8</v>
      </c>
      <c r="BF5" t="s">
        <v>876</v>
      </c>
      <c r="BG5">
        <v>0</v>
      </c>
      <c r="BH5">
        <v>7</v>
      </c>
      <c r="BI5">
        <v>1</v>
      </c>
      <c r="BJ5" t="s">
        <v>42</v>
      </c>
      <c r="BK5">
        <v>6</v>
      </c>
      <c r="BL5">
        <v>1</v>
      </c>
      <c r="BM5">
        <v>1</v>
      </c>
      <c r="BN5" t="s">
        <v>37</v>
      </c>
      <c r="BO5">
        <v>4</v>
      </c>
      <c r="BP5">
        <v>55</v>
      </c>
      <c r="BQ5">
        <v>0.05</v>
      </c>
      <c r="BR5">
        <v>1</v>
      </c>
      <c r="BS5">
        <v>0.05</v>
      </c>
      <c r="BT5">
        <f>BS5+BD5+AU5+AM5</f>
        <v>0.85000000000000009</v>
      </c>
      <c r="BU5">
        <v>1</v>
      </c>
      <c r="BV5">
        <v>2</v>
      </c>
      <c r="BW5">
        <v>293</v>
      </c>
      <c r="BX5">
        <f>BW5/7</f>
        <v>41.857142857142854</v>
      </c>
      <c r="BY5">
        <f>0.00077*BX5</f>
        <v>3.2229999999999995E-2</v>
      </c>
      <c r="BZ5">
        <f t="shared" si="0"/>
        <v>0.88223000000000007</v>
      </c>
    </row>
    <row r="6" spans="1:78">
      <c r="A6" s="1">
        <v>45147.482076215281</v>
      </c>
      <c r="C6">
        <v>5</v>
      </c>
      <c r="D6" s="10">
        <v>30215</v>
      </c>
      <c r="E6">
        <v>40</v>
      </c>
      <c r="F6">
        <v>1</v>
      </c>
      <c r="G6">
        <v>1</v>
      </c>
      <c r="H6">
        <v>4</v>
      </c>
      <c r="I6" s="10">
        <v>43911</v>
      </c>
      <c r="J6">
        <v>2</v>
      </c>
      <c r="K6">
        <v>0</v>
      </c>
      <c r="L6">
        <v>1</v>
      </c>
      <c r="M6">
        <v>3600</v>
      </c>
      <c r="N6">
        <v>2</v>
      </c>
      <c r="O6" s="10">
        <v>43643</v>
      </c>
      <c r="P6">
        <v>0</v>
      </c>
      <c r="Q6">
        <v>38.285714285714285</v>
      </c>
      <c r="R6">
        <v>2</v>
      </c>
      <c r="S6">
        <v>55</v>
      </c>
      <c r="T6">
        <v>155</v>
      </c>
      <c r="U6">
        <v>61</v>
      </c>
      <c r="V6">
        <v>6</v>
      </c>
      <c r="W6">
        <v>1</v>
      </c>
      <c r="X6">
        <v>22.892819979188342</v>
      </c>
      <c r="Y6">
        <v>25.390218522372525</v>
      </c>
      <c r="Z6">
        <v>2.4973985431841825</v>
      </c>
      <c r="AA6">
        <v>2</v>
      </c>
      <c r="AB6">
        <v>3</v>
      </c>
      <c r="AC6" t="s">
        <v>33</v>
      </c>
      <c r="AD6">
        <v>3</v>
      </c>
      <c r="AE6">
        <v>0</v>
      </c>
      <c r="AG6">
        <v>5</v>
      </c>
      <c r="AH6">
        <v>1</v>
      </c>
      <c r="AI6">
        <v>4</v>
      </c>
      <c r="AJ6">
        <v>1</v>
      </c>
      <c r="AK6">
        <v>7</v>
      </c>
      <c r="AL6">
        <v>1</v>
      </c>
      <c r="AM6">
        <f>AJ6*AK6*AL6/7</f>
        <v>1</v>
      </c>
      <c r="AN6" t="s">
        <v>43</v>
      </c>
      <c r="AO6">
        <v>0</v>
      </c>
      <c r="AV6">
        <f>AU6+AM6</f>
        <v>1</v>
      </c>
      <c r="AX6">
        <v>0</v>
      </c>
      <c r="BE6">
        <f>AM6+AU6+BD6</f>
        <v>1</v>
      </c>
      <c r="BG6">
        <v>0</v>
      </c>
      <c r="BJ6" t="s">
        <v>28</v>
      </c>
      <c r="BK6">
        <v>3</v>
      </c>
      <c r="BL6">
        <v>1</v>
      </c>
      <c r="BM6">
        <v>1</v>
      </c>
      <c r="BN6" t="s">
        <v>30</v>
      </c>
      <c r="BO6">
        <v>1</v>
      </c>
      <c r="BP6">
        <v>84</v>
      </c>
      <c r="BQ6">
        <v>0.13</v>
      </c>
      <c r="BR6">
        <v>1</v>
      </c>
      <c r="BS6">
        <v>0.13</v>
      </c>
      <c r="BT6">
        <f>BS6+BD6+AU6+AM6</f>
        <v>1.1299999999999999</v>
      </c>
      <c r="BU6">
        <v>1</v>
      </c>
      <c r="BV6">
        <v>1</v>
      </c>
      <c r="BW6">
        <v>146.5</v>
      </c>
      <c r="BX6">
        <f>BW6/7</f>
        <v>20.928571428571427</v>
      </c>
      <c r="BY6">
        <f>0.00077*BX6</f>
        <v>1.6114999999999997E-2</v>
      </c>
      <c r="BZ6">
        <f t="shared" si="0"/>
        <v>1.146115</v>
      </c>
    </row>
    <row r="7" spans="1:78">
      <c r="A7" s="1">
        <v>45147.491144085652</v>
      </c>
      <c r="C7">
        <v>6</v>
      </c>
      <c r="D7" s="10">
        <v>33045</v>
      </c>
      <c r="E7">
        <v>33</v>
      </c>
      <c r="F7">
        <v>1</v>
      </c>
      <c r="G7">
        <v>1</v>
      </c>
      <c r="H7">
        <v>5</v>
      </c>
      <c r="I7" s="10">
        <v>45118</v>
      </c>
      <c r="J7">
        <v>2</v>
      </c>
      <c r="K7">
        <v>0</v>
      </c>
      <c r="L7">
        <v>2</v>
      </c>
      <c r="M7">
        <v>3660</v>
      </c>
      <c r="N7">
        <v>2</v>
      </c>
      <c r="O7" s="10">
        <v>44852</v>
      </c>
      <c r="P7">
        <v>0</v>
      </c>
      <c r="Q7">
        <v>38</v>
      </c>
      <c r="R7">
        <v>2</v>
      </c>
      <c r="S7">
        <v>94</v>
      </c>
      <c r="T7">
        <v>166</v>
      </c>
      <c r="U7">
        <v>102</v>
      </c>
      <c r="V7">
        <v>8</v>
      </c>
      <c r="W7">
        <v>2</v>
      </c>
      <c r="X7">
        <v>34.112353026564087</v>
      </c>
      <c r="Y7">
        <v>37.015532007548266</v>
      </c>
      <c r="Z7">
        <v>2.9031789809841797</v>
      </c>
      <c r="AA7">
        <v>4</v>
      </c>
      <c r="AB7">
        <v>4</v>
      </c>
      <c r="AC7" t="s">
        <v>44</v>
      </c>
      <c r="AD7">
        <v>1</v>
      </c>
      <c r="AE7">
        <v>0</v>
      </c>
      <c r="AG7">
        <v>5</v>
      </c>
      <c r="AH7">
        <v>1</v>
      </c>
      <c r="AI7">
        <v>5</v>
      </c>
      <c r="AJ7">
        <v>5</v>
      </c>
      <c r="AK7">
        <v>7</v>
      </c>
      <c r="AL7">
        <v>1</v>
      </c>
      <c r="AM7">
        <f>AJ7*AK7*AL7/7</f>
        <v>5</v>
      </c>
      <c r="AN7" t="s">
        <v>27</v>
      </c>
      <c r="AO7">
        <v>0</v>
      </c>
      <c r="AV7">
        <f>AU7+AM7</f>
        <v>5</v>
      </c>
      <c r="AW7" t="s">
        <v>45</v>
      </c>
      <c r="AX7">
        <v>0</v>
      </c>
      <c r="BE7">
        <f>AM7+AU7+BD7</f>
        <v>5</v>
      </c>
      <c r="BF7" t="s">
        <v>45</v>
      </c>
      <c r="BG7">
        <v>1</v>
      </c>
      <c r="BH7">
        <v>7</v>
      </c>
      <c r="BI7">
        <v>1</v>
      </c>
      <c r="BJ7" t="s">
        <v>28</v>
      </c>
      <c r="BK7">
        <v>3</v>
      </c>
      <c r="BL7">
        <v>3</v>
      </c>
      <c r="BM7">
        <v>1</v>
      </c>
      <c r="BN7" t="s">
        <v>47</v>
      </c>
      <c r="BO7">
        <v>14</v>
      </c>
      <c r="BP7">
        <v>73.384615384615387</v>
      </c>
      <c r="BQ7">
        <v>0.1</v>
      </c>
      <c r="BR7">
        <v>1</v>
      </c>
      <c r="BS7">
        <v>0.1</v>
      </c>
      <c r="BT7">
        <f>BS7+BD7+AU7+AM7</f>
        <v>5.0999999999999996</v>
      </c>
      <c r="BU7">
        <v>1</v>
      </c>
      <c r="BV7">
        <v>3</v>
      </c>
      <c r="BW7">
        <v>439.5</v>
      </c>
      <c r="BX7">
        <f>BW7/7</f>
        <v>62.785714285714285</v>
      </c>
      <c r="BY7">
        <f>0.00077*BX7</f>
        <v>4.8344999999999999E-2</v>
      </c>
      <c r="BZ7">
        <f t="shared" si="0"/>
        <v>5.1483449999999999</v>
      </c>
    </row>
    <row r="8" spans="1:78">
      <c r="A8" s="1">
        <v>45147.493912962964</v>
      </c>
      <c r="C8">
        <v>7</v>
      </c>
      <c r="D8" s="10">
        <v>32362</v>
      </c>
      <c r="E8">
        <v>35</v>
      </c>
      <c r="F8">
        <v>1</v>
      </c>
      <c r="G8">
        <v>1</v>
      </c>
      <c r="H8">
        <v>5</v>
      </c>
      <c r="I8" s="10">
        <v>44674</v>
      </c>
      <c r="J8">
        <v>2</v>
      </c>
      <c r="K8">
        <v>0</v>
      </c>
      <c r="L8">
        <v>2</v>
      </c>
      <c r="M8">
        <v>4030</v>
      </c>
      <c r="N8">
        <v>3</v>
      </c>
      <c r="O8" s="10">
        <v>44401</v>
      </c>
      <c r="P8">
        <v>1</v>
      </c>
      <c r="Q8">
        <v>39</v>
      </c>
      <c r="R8">
        <v>2</v>
      </c>
      <c r="S8">
        <v>62</v>
      </c>
      <c r="T8">
        <v>158</v>
      </c>
      <c r="U8">
        <v>82</v>
      </c>
      <c r="V8">
        <v>20</v>
      </c>
      <c r="W8">
        <v>3</v>
      </c>
      <c r="X8">
        <v>24.835763499439189</v>
      </c>
      <c r="Y8">
        <v>32.847300112161506</v>
      </c>
      <c r="Z8">
        <v>8.0115366127223169</v>
      </c>
      <c r="AA8">
        <v>2</v>
      </c>
      <c r="AB8">
        <v>4</v>
      </c>
      <c r="AC8" t="s">
        <v>33</v>
      </c>
      <c r="AD8">
        <v>3</v>
      </c>
      <c r="AE8">
        <v>0</v>
      </c>
      <c r="AG8">
        <v>5</v>
      </c>
      <c r="AH8">
        <v>1</v>
      </c>
      <c r="AI8">
        <v>4</v>
      </c>
      <c r="AJ8">
        <v>1</v>
      </c>
      <c r="AK8">
        <v>6</v>
      </c>
      <c r="AL8">
        <v>1</v>
      </c>
      <c r="AM8">
        <f>AJ8*AK8*AL8/7</f>
        <v>0.8571428571428571</v>
      </c>
      <c r="AN8" t="s">
        <v>43</v>
      </c>
      <c r="AO8">
        <v>0</v>
      </c>
      <c r="AV8">
        <f>AU8+AM8</f>
        <v>0.8571428571428571</v>
      </c>
      <c r="AX8">
        <v>0</v>
      </c>
      <c r="BE8">
        <f>AM8+AU8+BD8</f>
        <v>0.8571428571428571</v>
      </c>
      <c r="BG8">
        <v>0</v>
      </c>
      <c r="BJ8" t="s">
        <v>49</v>
      </c>
      <c r="BK8">
        <v>5</v>
      </c>
      <c r="BL8">
        <v>1</v>
      </c>
      <c r="BM8">
        <v>1</v>
      </c>
      <c r="BN8" t="s">
        <v>30</v>
      </c>
      <c r="BO8">
        <v>1</v>
      </c>
      <c r="BP8">
        <v>84</v>
      </c>
      <c r="BQ8">
        <v>0.13</v>
      </c>
      <c r="BR8">
        <v>1</v>
      </c>
      <c r="BS8">
        <v>0.13</v>
      </c>
      <c r="BT8">
        <f>BS8+BD8+AU8+AM8</f>
        <v>0.9871428571428571</v>
      </c>
      <c r="BU8">
        <v>1</v>
      </c>
      <c r="BV8">
        <v>1</v>
      </c>
      <c r="BW8">
        <v>146.5</v>
      </c>
      <c r="BX8">
        <f>BW8/7</f>
        <v>20.928571428571427</v>
      </c>
      <c r="BY8">
        <f>0.00077*BX8</f>
        <v>1.6114999999999997E-2</v>
      </c>
      <c r="BZ8">
        <f t="shared" si="0"/>
        <v>1.0032578571428572</v>
      </c>
    </row>
    <row r="9" spans="1:78">
      <c r="A9" s="1">
        <v>45155.875914629629</v>
      </c>
      <c r="B9" t="s">
        <v>865</v>
      </c>
      <c r="C9">
        <v>8</v>
      </c>
      <c r="D9" s="10">
        <v>33900</v>
      </c>
      <c r="E9">
        <v>30</v>
      </c>
      <c r="F9">
        <v>1</v>
      </c>
      <c r="G9">
        <v>4</v>
      </c>
      <c r="H9">
        <v>5</v>
      </c>
      <c r="I9" s="10">
        <v>43304</v>
      </c>
      <c r="J9">
        <v>1</v>
      </c>
      <c r="K9">
        <v>1</v>
      </c>
      <c r="L9">
        <v>1</v>
      </c>
      <c r="M9">
        <v>3520</v>
      </c>
      <c r="N9">
        <v>2</v>
      </c>
      <c r="O9" s="10">
        <v>43031</v>
      </c>
      <c r="P9">
        <v>0</v>
      </c>
      <c r="Q9">
        <v>39</v>
      </c>
      <c r="R9">
        <v>2</v>
      </c>
      <c r="S9">
        <v>71</v>
      </c>
      <c r="T9">
        <v>170</v>
      </c>
      <c r="U9">
        <v>80</v>
      </c>
      <c r="V9">
        <v>9</v>
      </c>
      <c r="W9">
        <v>1</v>
      </c>
      <c r="X9">
        <v>24.567474048442911</v>
      </c>
      <c r="Y9">
        <v>27.681660899653981</v>
      </c>
      <c r="Z9">
        <v>3.1141868512110698</v>
      </c>
      <c r="AA9">
        <v>2</v>
      </c>
      <c r="AB9">
        <v>3</v>
      </c>
      <c r="AC9" t="s">
        <v>33</v>
      </c>
      <c r="AD9">
        <v>3</v>
      </c>
      <c r="AE9">
        <v>0</v>
      </c>
      <c r="AG9">
        <v>5</v>
      </c>
      <c r="AH9">
        <v>1</v>
      </c>
      <c r="AI9">
        <v>13</v>
      </c>
      <c r="AJ9">
        <v>1</v>
      </c>
      <c r="AK9">
        <v>1</v>
      </c>
      <c r="AL9">
        <v>1</v>
      </c>
      <c r="AM9">
        <f>AJ9*AK9*AL9/7</f>
        <v>0.14285714285714285</v>
      </c>
      <c r="AN9" t="s">
        <v>620</v>
      </c>
      <c r="AO9">
        <v>0</v>
      </c>
      <c r="AV9">
        <f>AU9+AM9</f>
        <v>0.14285714285714285</v>
      </c>
      <c r="AW9" t="s">
        <v>621</v>
      </c>
      <c r="AX9">
        <v>0</v>
      </c>
      <c r="BE9">
        <f>AM9+AU9+BD9</f>
        <v>0.14285714285714285</v>
      </c>
      <c r="BG9">
        <v>0</v>
      </c>
      <c r="BJ9" t="s">
        <v>49</v>
      </c>
      <c r="BK9">
        <v>5</v>
      </c>
      <c r="BL9">
        <v>3</v>
      </c>
      <c r="BM9">
        <v>1</v>
      </c>
      <c r="BN9" t="s">
        <v>589</v>
      </c>
      <c r="BO9">
        <v>9</v>
      </c>
      <c r="BP9">
        <v>118</v>
      </c>
      <c r="BQ9">
        <v>0.09</v>
      </c>
      <c r="BR9">
        <v>2</v>
      </c>
      <c r="BS9">
        <v>0.18</v>
      </c>
      <c r="BT9">
        <f>BS9+BD9+AU9+AM9</f>
        <v>0.32285714285714284</v>
      </c>
      <c r="BU9">
        <v>1</v>
      </c>
      <c r="BV9">
        <v>3</v>
      </c>
      <c r="BW9">
        <v>439.5</v>
      </c>
      <c r="BX9">
        <f>BW9/7</f>
        <v>62.785714285714285</v>
      </c>
      <c r="BY9">
        <f>0.00077*BX9</f>
        <v>4.8344999999999999E-2</v>
      </c>
      <c r="BZ9">
        <f t="shared" si="0"/>
        <v>0.37120214285714281</v>
      </c>
    </row>
    <row r="10" spans="1:78">
      <c r="A10" s="1">
        <v>45155.886183148148</v>
      </c>
      <c r="C10">
        <v>9</v>
      </c>
      <c r="D10" s="10">
        <v>34347</v>
      </c>
      <c r="E10">
        <v>29</v>
      </c>
      <c r="F10">
        <v>1</v>
      </c>
      <c r="G10">
        <v>4</v>
      </c>
      <c r="H10">
        <v>4</v>
      </c>
      <c r="I10" s="10">
        <v>43347</v>
      </c>
      <c r="J10">
        <v>1</v>
      </c>
      <c r="K10">
        <v>1</v>
      </c>
      <c r="L10">
        <v>1</v>
      </c>
      <c r="M10">
        <v>2950</v>
      </c>
      <c r="N10">
        <v>2</v>
      </c>
      <c r="O10" s="10">
        <v>43088</v>
      </c>
      <c r="P10">
        <v>0</v>
      </c>
      <c r="Q10">
        <v>37</v>
      </c>
      <c r="R10">
        <v>2</v>
      </c>
      <c r="S10">
        <v>68</v>
      </c>
      <c r="T10">
        <v>168</v>
      </c>
      <c r="U10">
        <v>75</v>
      </c>
      <c r="V10">
        <v>7</v>
      </c>
      <c r="W10">
        <v>1</v>
      </c>
      <c r="X10">
        <v>24.092970521541954</v>
      </c>
      <c r="Y10">
        <v>26.573129251700685</v>
      </c>
      <c r="Z10">
        <v>2.4801587301587311</v>
      </c>
      <c r="AA10">
        <v>2</v>
      </c>
      <c r="AB10">
        <v>3</v>
      </c>
      <c r="AC10" t="s">
        <v>50</v>
      </c>
      <c r="AD10">
        <v>2</v>
      </c>
      <c r="AE10">
        <v>0</v>
      </c>
      <c r="AG10">
        <v>5</v>
      </c>
      <c r="AH10">
        <v>0</v>
      </c>
      <c r="AI10">
        <v>0</v>
      </c>
      <c r="AO10">
        <v>0</v>
      </c>
      <c r="AX10">
        <v>0</v>
      </c>
      <c r="BG10">
        <v>0</v>
      </c>
      <c r="BJ10" t="s">
        <v>51</v>
      </c>
      <c r="BK10">
        <v>1</v>
      </c>
      <c r="BL10">
        <v>4</v>
      </c>
      <c r="BM10">
        <v>1</v>
      </c>
      <c r="BN10" t="s">
        <v>30</v>
      </c>
      <c r="BO10">
        <v>1</v>
      </c>
      <c r="BP10">
        <v>168</v>
      </c>
      <c r="BQ10">
        <v>0.13</v>
      </c>
      <c r="BR10">
        <v>2</v>
      </c>
      <c r="BS10">
        <v>0.26</v>
      </c>
      <c r="BT10">
        <f>BS10+BD10+AU10+AM10</f>
        <v>0.26</v>
      </c>
      <c r="BU10">
        <v>1</v>
      </c>
      <c r="BV10">
        <v>1</v>
      </c>
      <c r="BW10">
        <v>146.5</v>
      </c>
      <c r="BX10">
        <f>BW10/7</f>
        <v>20.928571428571427</v>
      </c>
      <c r="BY10">
        <f>0.00077*BX10</f>
        <v>1.6114999999999997E-2</v>
      </c>
      <c r="BZ10">
        <f t="shared" si="0"/>
        <v>0.276115</v>
      </c>
    </row>
    <row r="11" spans="1:78">
      <c r="A11" s="1">
        <v>45156.83887644676</v>
      </c>
      <c r="B11" s="6"/>
      <c r="C11">
        <v>10</v>
      </c>
      <c r="D11" s="10">
        <v>31377</v>
      </c>
      <c r="E11">
        <v>37</v>
      </c>
      <c r="F11">
        <v>1</v>
      </c>
      <c r="G11">
        <v>4</v>
      </c>
      <c r="H11">
        <v>5</v>
      </c>
      <c r="I11" s="10">
        <v>44938</v>
      </c>
      <c r="J11">
        <v>1</v>
      </c>
      <c r="K11">
        <v>1</v>
      </c>
      <c r="L11">
        <v>1</v>
      </c>
      <c r="M11">
        <v>3720</v>
      </c>
      <c r="N11">
        <v>2</v>
      </c>
      <c r="O11" s="10">
        <v>44672</v>
      </c>
      <c r="P11">
        <v>0</v>
      </c>
      <c r="Q11">
        <v>38</v>
      </c>
      <c r="R11">
        <v>2</v>
      </c>
      <c r="S11">
        <v>88</v>
      </c>
      <c r="T11">
        <v>166</v>
      </c>
      <c r="U11">
        <v>97</v>
      </c>
      <c r="V11">
        <v>9</v>
      </c>
      <c r="W11">
        <v>2</v>
      </c>
      <c r="X11">
        <v>31.934968790825955</v>
      </c>
      <c r="Y11">
        <v>35.201045144433159</v>
      </c>
      <c r="Z11">
        <v>3.2660763536072039</v>
      </c>
      <c r="AA11">
        <v>4</v>
      </c>
      <c r="AB11">
        <v>4</v>
      </c>
      <c r="AC11" t="s">
        <v>33</v>
      </c>
      <c r="AD11">
        <v>3</v>
      </c>
      <c r="AE11">
        <v>0</v>
      </c>
      <c r="AG11">
        <v>5</v>
      </c>
      <c r="AH11">
        <v>0</v>
      </c>
      <c r="AI11">
        <v>0</v>
      </c>
      <c r="AN11" t="s">
        <v>53</v>
      </c>
      <c r="AO11">
        <v>0</v>
      </c>
      <c r="AW11" t="s">
        <v>35</v>
      </c>
      <c r="AX11">
        <v>1</v>
      </c>
      <c r="AY11" t="s">
        <v>877</v>
      </c>
      <c r="AZ11">
        <v>12</v>
      </c>
      <c r="BA11">
        <v>0.35</v>
      </c>
      <c r="BB11">
        <v>7</v>
      </c>
      <c r="BC11">
        <v>1</v>
      </c>
      <c r="BD11">
        <f>BA11*BB11*1/7</f>
        <v>0.35</v>
      </c>
      <c r="BE11">
        <f>AM11+AU11+BD11</f>
        <v>0.35</v>
      </c>
      <c r="BF11" t="s">
        <v>877</v>
      </c>
      <c r="BG11">
        <v>0</v>
      </c>
      <c r="BH11">
        <v>7</v>
      </c>
      <c r="BI11">
        <v>1</v>
      </c>
      <c r="BJ11" t="s">
        <v>54</v>
      </c>
      <c r="BK11">
        <v>2</v>
      </c>
      <c r="BL11">
        <v>1</v>
      </c>
      <c r="BM11">
        <v>1</v>
      </c>
      <c r="BN11" t="s">
        <v>55</v>
      </c>
      <c r="BO11">
        <v>2</v>
      </c>
      <c r="BP11">
        <v>67</v>
      </c>
      <c r="BQ11">
        <v>0.1</v>
      </c>
      <c r="BR11">
        <v>1</v>
      </c>
      <c r="BS11">
        <v>0.1</v>
      </c>
      <c r="BT11">
        <f>BS11+BD11+AU11+AM11</f>
        <v>0.44999999999999996</v>
      </c>
      <c r="BU11">
        <v>1</v>
      </c>
      <c r="BV11">
        <v>1</v>
      </c>
      <c r="BW11">
        <v>146.5</v>
      </c>
      <c r="BX11">
        <f>BW11/7</f>
        <v>20.928571428571427</v>
      </c>
      <c r="BY11">
        <f>0.00077*BX11</f>
        <v>1.6114999999999997E-2</v>
      </c>
      <c r="BZ11">
        <f t="shared" si="0"/>
        <v>0.46611499999999995</v>
      </c>
    </row>
    <row r="12" spans="1:78">
      <c r="A12" s="1">
        <v>45160.580439942132</v>
      </c>
      <c r="B12" t="s">
        <v>865</v>
      </c>
      <c r="C12">
        <v>11</v>
      </c>
      <c r="D12" s="10">
        <v>31577</v>
      </c>
      <c r="E12">
        <v>37</v>
      </c>
      <c r="F12">
        <v>1</v>
      </c>
      <c r="G12">
        <v>1</v>
      </c>
      <c r="H12">
        <v>5</v>
      </c>
      <c r="I12" s="10">
        <v>43044</v>
      </c>
      <c r="J12">
        <v>2</v>
      </c>
      <c r="K12">
        <v>0</v>
      </c>
      <c r="L12">
        <v>1</v>
      </c>
      <c r="M12">
        <v>3410</v>
      </c>
      <c r="N12">
        <v>2</v>
      </c>
      <c r="O12" s="10">
        <v>42778</v>
      </c>
      <c r="P12">
        <v>0</v>
      </c>
      <c r="Q12">
        <v>38</v>
      </c>
      <c r="R12">
        <v>2</v>
      </c>
      <c r="S12">
        <v>55</v>
      </c>
      <c r="T12">
        <v>162</v>
      </c>
      <c r="U12">
        <v>69</v>
      </c>
      <c r="V12">
        <v>14</v>
      </c>
      <c r="W12">
        <v>2</v>
      </c>
      <c r="X12">
        <v>20.957171162932475</v>
      </c>
      <c r="Y12">
        <v>26.291723822588015</v>
      </c>
      <c r="Z12">
        <v>5.3345526596555395</v>
      </c>
      <c r="AA12">
        <v>2</v>
      </c>
      <c r="AB12">
        <v>3</v>
      </c>
      <c r="AC12" t="s">
        <v>33</v>
      </c>
      <c r="AD12">
        <v>3</v>
      </c>
      <c r="AE12">
        <v>0</v>
      </c>
      <c r="AG12">
        <v>5</v>
      </c>
      <c r="AH12">
        <v>1</v>
      </c>
      <c r="AI12">
        <v>5</v>
      </c>
      <c r="AJ12">
        <v>5</v>
      </c>
      <c r="AK12">
        <v>7</v>
      </c>
      <c r="AL12">
        <v>1</v>
      </c>
      <c r="AM12">
        <f>AJ12*AK12*AL12/7</f>
        <v>5</v>
      </c>
      <c r="AN12" t="s">
        <v>27</v>
      </c>
      <c r="AO12">
        <v>0</v>
      </c>
      <c r="AV12">
        <f>AU12+AM12</f>
        <v>5</v>
      </c>
      <c r="AW12" t="s">
        <v>95</v>
      </c>
      <c r="AX12">
        <v>1</v>
      </c>
      <c r="AY12" t="s">
        <v>878</v>
      </c>
      <c r="AZ12">
        <v>16</v>
      </c>
      <c r="BB12">
        <v>7</v>
      </c>
      <c r="BC12">
        <v>1</v>
      </c>
      <c r="BE12">
        <f>AM12+AU12+BD12</f>
        <v>5</v>
      </c>
      <c r="BF12" t="s">
        <v>878</v>
      </c>
      <c r="BG12" t="s">
        <v>258</v>
      </c>
      <c r="BH12">
        <v>7</v>
      </c>
      <c r="BI12">
        <v>1</v>
      </c>
      <c r="BJ12" t="s">
        <v>54</v>
      </c>
      <c r="BK12">
        <v>2</v>
      </c>
      <c r="BL12">
        <v>1</v>
      </c>
      <c r="BM12">
        <v>1</v>
      </c>
      <c r="BN12" t="s">
        <v>59</v>
      </c>
      <c r="BO12">
        <v>3</v>
      </c>
      <c r="BP12">
        <v>112</v>
      </c>
      <c r="BQ12">
        <v>0.08</v>
      </c>
      <c r="BR12">
        <v>2</v>
      </c>
      <c r="BS12">
        <v>0.16</v>
      </c>
      <c r="BT12">
        <f>BS12+BD12+AU12+AM12</f>
        <v>5.16</v>
      </c>
      <c r="BU12">
        <v>1</v>
      </c>
      <c r="BV12">
        <v>3</v>
      </c>
      <c r="BW12">
        <v>439.5</v>
      </c>
      <c r="BX12">
        <f>BW12/7</f>
        <v>62.785714285714285</v>
      </c>
      <c r="BY12">
        <f>0.00077*BX12</f>
        <v>4.8344999999999999E-2</v>
      </c>
      <c r="BZ12">
        <f t="shared" si="0"/>
        <v>5.2083450000000004</v>
      </c>
    </row>
    <row r="13" spans="1:78">
      <c r="A13" s="1">
        <v>45160.584606203702</v>
      </c>
      <c r="B13" s="9"/>
      <c r="C13">
        <v>12</v>
      </c>
      <c r="D13" s="10">
        <v>29403</v>
      </c>
      <c r="E13">
        <v>43</v>
      </c>
      <c r="F13">
        <v>1</v>
      </c>
      <c r="G13">
        <v>1</v>
      </c>
      <c r="H13">
        <v>5</v>
      </c>
      <c r="I13" s="10">
        <v>42884</v>
      </c>
      <c r="J13">
        <v>2</v>
      </c>
      <c r="K13">
        <v>0</v>
      </c>
      <c r="L13">
        <v>1</v>
      </c>
      <c r="M13">
        <v>4050</v>
      </c>
      <c r="N13">
        <v>3</v>
      </c>
      <c r="O13" s="10">
        <v>42601</v>
      </c>
      <c r="P13">
        <v>0</v>
      </c>
      <c r="Q13">
        <v>40.428571428571431</v>
      </c>
      <c r="R13">
        <v>2</v>
      </c>
      <c r="S13">
        <v>67</v>
      </c>
      <c r="T13">
        <v>158</v>
      </c>
      <c r="U13">
        <v>75</v>
      </c>
      <c r="V13">
        <v>8</v>
      </c>
      <c r="W13">
        <v>2</v>
      </c>
      <c r="X13">
        <v>26.83864765261977</v>
      </c>
      <c r="Y13">
        <v>30.043262297708697</v>
      </c>
      <c r="Z13">
        <v>3.2046146450889275</v>
      </c>
      <c r="AA13">
        <v>3</v>
      </c>
      <c r="AB13">
        <v>4</v>
      </c>
      <c r="AC13" t="s">
        <v>33</v>
      </c>
      <c r="AD13">
        <v>3</v>
      </c>
      <c r="AE13">
        <v>0</v>
      </c>
      <c r="AG13">
        <v>5</v>
      </c>
      <c r="AH13">
        <v>1</v>
      </c>
      <c r="AI13">
        <v>5</v>
      </c>
      <c r="AJ13">
        <v>5</v>
      </c>
      <c r="AK13">
        <v>7</v>
      </c>
      <c r="AL13">
        <v>1</v>
      </c>
      <c r="AM13">
        <f>AJ13*AK13*AL13/7</f>
        <v>5</v>
      </c>
      <c r="AN13" t="s">
        <v>27</v>
      </c>
      <c r="AO13">
        <v>0</v>
      </c>
      <c r="AV13">
        <f>AU13+AM13</f>
        <v>5</v>
      </c>
      <c r="AX13">
        <v>0</v>
      </c>
      <c r="BE13">
        <f>AM13+AU13+BD13</f>
        <v>5</v>
      </c>
      <c r="BG13">
        <v>0</v>
      </c>
      <c r="BJ13" t="s">
        <v>49</v>
      </c>
      <c r="BK13">
        <v>5</v>
      </c>
      <c r="BL13">
        <v>1</v>
      </c>
      <c r="BM13">
        <v>1</v>
      </c>
      <c r="BN13" t="s">
        <v>30</v>
      </c>
      <c r="BO13">
        <v>1</v>
      </c>
      <c r="BP13">
        <v>168</v>
      </c>
      <c r="BQ13">
        <v>0.13</v>
      </c>
      <c r="BR13">
        <v>2</v>
      </c>
      <c r="BS13">
        <v>0.26</v>
      </c>
      <c r="BT13">
        <f>BS13+BD13+AU13+AM13</f>
        <v>5.26</v>
      </c>
      <c r="BU13">
        <v>1</v>
      </c>
      <c r="BV13">
        <v>1</v>
      </c>
      <c r="BW13">
        <v>146.5</v>
      </c>
      <c r="BX13">
        <f>BW13/7</f>
        <v>20.928571428571427</v>
      </c>
      <c r="BY13">
        <f>0.00077*BX13</f>
        <v>1.6114999999999997E-2</v>
      </c>
      <c r="BZ13">
        <f t="shared" si="0"/>
        <v>5.2761149999999999</v>
      </c>
    </row>
    <row r="14" spans="1:78">
      <c r="A14" s="1">
        <v>45160.588644502313</v>
      </c>
      <c r="B14" s="9" t="s">
        <v>866</v>
      </c>
      <c r="C14">
        <v>13</v>
      </c>
      <c r="D14" s="10">
        <v>33163</v>
      </c>
      <c r="E14">
        <v>32</v>
      </c>
      <c r="F14">
        <v>1</v>
      </c>
      <c r="G14">
        <v>1</v>
      </c>
      <c r="H14">
        <v>5</v>
      </c>
      <c r="I14" s="10">
        <v>44920</v>
      </c>
      <c r="J14">
        <v>1</v>
      </c>
      <c r="K14">
        <v>1</v>
      </c>
      <c r="L14">
        <v>2</v>
      </c>
      <c r="M14">
        <v>3610</v>
      </c>
      <c r="N14">
        <v>2</v>
      </c>
      <c r="O14" s="10">
        <v>44638</v>
      </c>
      <c r="P14">
        <v>0</v>
      </c>
      <c r="Q14">
        <v>40.285714285714285</v>
      </c>
      <c r="R14">
        <v>2</v>
      </c>
      <c r="S14">
        <v>61</v>
      </c>
      <c r="T14">
        <v>163</v>
      </c>
      <c r="U14">
        <v>79</v>
      </c>
      <c r="V14">
        <v>18</v>
      </c>
      <c r="W14">
        <v>3</v>
      </c>
      <c r="X14">
        <v>22.959087658549439</v>
      </c>
      <c r="Y14">
        <v>29.733900410252552</v>
      </c>
      <c r="Z14">
        <v>6.7748127517031129</v>
      </c>
      <c r="AA14">
        <v>2</v>
      </c>
      <c r="AB14">
        <v>3</v>
      </c>
      <c r="AC14" t="s">
        <v>33</v>
      </c>
      <c r="AD14">
        <v>3</v>
      </c>
      <c r="AE14">
        <v>0</v>
      </c>
      <c r="AG14">
        <v>5</v>
      </c>
      <c r="AH14">
        <v>1</v>
      </c>
      <c r="AI14" t="s">
        <v>258</v>
      </c>
      <c r="AJ14" t="s">
        <v>258</v>
      </c>
      <c r="AK14">
        <v>7</v>
      </c>
      <c r="AL14">
        <v>1</v>
      </c>
      <c r="AM14" t="s">
        <v>258</v>
      </c>
      <c r="AN14" t="s">
        <v>95</v>
      </c>
      <c r="AO14">
        <v>0</v>
      </c>
      <c r="AX14">
        <v>0</v>
      </c>
      <c r="BE14" t="s">
        <v>258</v>
      </c>
      <c r="BG14">
        <v>0</v>
      </c>
      <c r="BJ14" t="s">
        <v>28</v>
      </c>
      <c r="BK14">
        <v>3</v>
      </c>
      <c r="BL14">
        <v>1</v>
      </c>
      <c r="BM14">
        <v>1</v>
      </c>
      <c r="BN14" t="s">
        <v>37</v>
      </c>
      <c r="BO14">
        <v>4</v>
      </c>
      <c r="BP14">
        <v>55</v>
      </c>
      <c r="BQ14">
        <v>0.05</v>
      </c>
      <c r="BR14">
        <v>1</v>
      </c>
      <c r="BS14">
        <v>0.05</v>
      </c>
      <c r="BT14" t="e">
        <f>BS14+BD14+AU14+AM14</f>
        <v>#VALUE!</v>
      </c>
      <c r="BU14">
        <v>1</v>
      </c>
      <c r="BV14">
        <v>1</v>
      </c>
      <c r="BW14">
        <v>146.5</v>
      </c>
      <c r="BX14">
        <f>BW14/7</f>
        <v>20.928571428571427</v>
      </c>
      <c r="BY14">
        <f>0.00077*BX14</f>
        <v>1.6114999999999997E-2</v>
      </c>
      <c r="BZ14" t="e">
        <f t="shared" si="0"/>
        <v>#VALUE!</v>
      </c>
    </row>
    <row r="15" spans="1:78">
      <c r="A15" s="1">
        <v>45160.5930090162</v>
      </c>
      <c r="B15" s="6"/>
      <c r="C15">
        <v>14</v>
      </c>
      <c r="D15" s="10">
        <v>29924</v>
      </c>
      <c r="E15">
        <v>42</v>
      </c>
      <c r="F15">
        <v>1</v>
      </c>
      <c r="G15">
        <v>8</v>
      </c>
      <c r="H15">
        <v>4</v>
      </c>
      <c r="I15" s="10">
        <v>43522</v>
      </c>
      <c r="J15">
        <v>1</v>
      </c>
      <c r="K15">
        <v>1</v>
      </c>
      <c r="L15">
        <v>2</v>
      </c>
      <c r="M15">
        <v>3350</v>
      </c>
      <c r="N15">
        <v>2</v>
      </c>
      <c r="O15" s="10">
        <v>43263</v>
      </c>
      <c r="P15">
        <v>0</v>
      </c>
      <c r="Q15">
        <v>37</v>
      </c>
      <c r="R15">
        <v>2</v>
      </c>
      <c r="S15">
        <v>62</v>
      </c>
      <c r="T15">
        <v>159</v>
      </c>
      <c r="U15">
        <v>85</v>
      </c>
      <c r="V15">
        <v>23</v>
      </c>
      <c r="W15">
        <v>3</v>
      </c>
      <c r="X15">
        <v>24.524346347059055</v>
      </c>
      <c r="Y15">
        <v>33.622087733871282</v>
      </c>
      <c r="Z15">
        <v>9.0977413868122277</v>
      </c>
      <c r="AA15">
        <v>2</v>
      </c>
      <c r="AB15">
        <v>4</v>
      </c>
      <c r="AC15" t="s">
        <v>25</v>
      </c>
      <c r="AD15">
        <v>1</v>
      </c>
      <c r="AE15">
        <v>0</v>
      </c>
      <c r="AG15">
        <v>5</v>
      </c>
      <c r="AH15">
        <v>1</v>
      </c>
      <c r="AI15">
        <v>1</v>
      </c>
      <c r="AJ15">
        <v>1</v>
      </c>
      <c r="AK15">
        <v>7</v>
      </c>
      <c r="AL15">
        <v>1</v>
      </c>
      <c r="AM15">
        <f>AJ15*AK15*AL15/7</f>
        <v>1</v>
      </c>
      <c r="AN15" t="s">
        <v>56</v>
      </c>
      <c r="AO15">
        <v>0</v>
      </c>
      <c r="AV15">
        <f>AU15+AM15</f>
        <v>1</v>
      </c>
      <c r="AX15">
        <v>0</v>
      </c>
      <c r="BE15">
        <f>AM15+AU15+BD15</f>
        <v>1</v>
      </c>
      <c r="BG15">
        <v>0</v>
      </c>
      <c r="BJ15" t="s">
        <v>49</v>
      </c>
      <c r="BK15">
        <v>5</v>
      </c>
      <c r="BL15">
        <v>1</v>
      </c>
      <c r="BM15">
        <v>1</v>
      </c>
      <c r="BN15" t="s">
        <v>37</v>
      </c>
      <c r="BO15">
        <v>4</v>
      </c>
      <c r="BP15">
        <v>110</v>
      </c>
      <c r="BQ15">
        <v>0.05</v>
      </c>
      <c r="BR15">
        <v>2</v>
      </c>
      <c r="BS15">
        <v>0.1</v>
      </c>
      <c r="BT15">
        <f>BS15+BD15+AU15+AM15</f>
        <v>1.1000000000000001</v>
      </c>
      <c r="BU15">
        <v>1</v>
      </c>
      <c r="BV15">
        <v>1</v>
      </c>
      <c r="BW15">
        <v>146.5</v>
      </c>
      <c r="BX15">
        <f>BW15/7</f>
        <v>20.928571428571427</v>
      </c>
      <c r="BY15">
        <f>0.00077*BX15</f>
        <v>1.6114999999999997E-2</v>
      </c>
      <c r="BZ15">
        <f t="shared" si="0"/>
        <v>1.1161150000000002</v>
      </c>
    </row>
    <row r="16" spans="1:78">
      <c r="A16" s="1">
        <v>45160.60805840278</v>
      </c>
      <c r="B16" t="s">
        <v>865</v>
      </c>
      <c r="C16">
        <v>15</v>
      </c>
      <c r="D16" s="10">
        <v>31112</v>
      </c>
      <c r="E16">
        <v>38</v>
      </c>
      <c r="F16">
        <v>2</v>
      </c>
      <c r="G16">
        <v>4</v>
      </c>
      <c r="H16">
        <v>5</v>
      </c>
      <c r="I16" s="10">
        <v>44750</v>
      </c>
      <c r="J16">
        <v>3</v>
      </c>
      <c r="K16">
        <v>0</v>
      </c>
      <c r="L16">
        <v>2</v>
      </c>
      <c r="M16">
        <v>2860</v>
      </c>
      <c r="N16">
        <v>2</v>
      </c>
      <c r="O16" s="10">
        <v>44491</v>
      </c>
      <c r="P16">
        <v>0</v>
      </c>
      <c r="Q16">
        <v>37</v>
      </c>
      <c r="R16">
        <v>2</v>
      </c>
      <c r="S16">
        <v>75</v>
      </c>
      <c r="T16">
        <v>164</v>
      </c>
      <c r="U16">
        <v>81</v>
      </c>
      <c r="V16">
        <v>6</v>
      </c>
      <c r="W16">
        <v>1</v>
      </c>
      <c r="X16">
        <v>27.885187388459254</v>
      </c>
      <c r="Y16">
        <v>30.116002379535995</v>
      </c>
      <c r="Z16">
        <v>2.2308149910767412</v>
      </c>
      <c r="AA16">
        <v>3</v>
      </c>
      <c r="AB16">
        <v>4</v>
      </c>
      <c r="AC16" t="s">
        <v>33</v>
      </c>
      <c r="AD16">
        <v>3</v>
      </c>
      <c r="AE16">
        <v>0</v>
      </c>
      <c r="AG16">
        <v>5</v>
      </c>
      <c r="AH16">
        <v>1</v>
      </c>
      <c r="AI16">
        <v>2</v>
      </c>
      <c r="AJ16">
        <v>5</v>
      </c>
      <c r="AK16">
        <v>7</v>
      </c>
      <c r="AL16">
        <v>1</v>
      </c>
      <c r="AM16">
        <f>AJ16*AK16*AL16/7</f>
        <v>5</v>
      </c>
      <c r="AN16" t="s">
        <v>57</v>
      </c>
      <c r="AO16">
        <v>0</v>
      </c>
      <c r="AV16">
        <f>AU16+AM16</f>
        <v>5</v>
      </c>
      <c r="AW16" t="s">
        <v>95</v>
      </c>
      <c r="AX16">
        <v>1</v>
      </c>
      <c r="AY16" t="s">
        <v>878</v>
      </c>
      <c r="AZ16">
        <v>16</v>
      </c>
      <c r="BA16" t="s">
        <v>258</v>
      </c>
      <c r="BB16">
        <v>7</v>
      </c>
      <c r="BC16">
        <v>1</v>
      </c>
      <c r="BE16">
        <f>AM16+AU16+BD16</f>
        <v>5</v>
      </c>
      <c r="BF16" t="s">
        <v>878</v>
      </c>
      <c r="BG16" t="s">
        <v>258</v>
      </c>
      <c r="BH16">
        <v>7</v>
      </c>
      <c r="BI16">
        <v>1</v>
      </c>
      <c r="BJ16" t="s">
        <v>49</v>
      </c>
      <c r="BK16">
        <v>5</v>
      </c>
      <c r="BL16">
        <v>3</v>
      </c>
      <c r="BM16">
        <v>1</v>
      </c>
      <c r="BN16" t="s">
        <v>37</v>
      </c>
      <c r="BO16">
        <v>4</v>
      </c>
      <c r="BP16">
        <v>110</v>
      </c>
      <c r="BQ16">
        <v>0.05</v>
      </c>
      <c r="BR16">
        <v>2</v>
      </c>
      <c r="BS16">
        <v>0.1</v>
      </c>
      <c r="BT16">
        <f>BS16+BD16+AU16+AM16</f>
        <v>5.0999999999999996</v>
      </c>
      <c r="BU16">
        <v>1</v>
      </c>
      <c r="BV16">
        <v>2</v>
      </c>
      <c r="BW16">
        <v>293</v>
      </c>
      <c r="BX16">
        <f>BW16/7</f>
        <v>41.857142857142854</v>
      </c>
      <c r="BY16">
        <f>0.00077*BX16</f>
        <v>3.2229999999999995E-2</v>
      </c>
      <c r="BZ16">
        <f t="shared" si="0"/>
        <v>5.1322299999999998</v>
      </c>
    </row>
    <row r="17" spans="1:78">
      <c r="A17" s="1">
        <v>45160.622336655091</v>
      </c>
      <c r="B17" s="8" t="s">
        <v>864</v>
      </c>
      <c r="C17">
        <v>16</v>
      </c>
      <c r="D17" s="10">
        <v>34400</v>
      </c>
      <c r="E17">
        <v>29</v>
      </c>
      <c r="F17">
        <v>1</v>
      </c>
      <c r="G17">
        <v>1</v>
      </c>
      <c r="H17">
        <v>5</v>
      </c>
      <c r="I17" s="10">
        <v>34461</v>
      </c>
      <c r="J17">
        <v>1</v>
      </c>
      <c r="K17">
        <v>1</v>
      </c>
      <c r="L17">
        <v>1</v>
      </c>
      <c r="M17">
        <v>2640</v>
      </c>
      <c r="N17">
        <v>2</v>
      </c>
      <c r="O17" s="10">
        <v>34202</v>
      </c>
      <c r="P17">
        <v>0</v>
      </c>
      <c r="Q17">
        <v>37</v>
      </c>
      <c r="R17">
        <v>2</v>
      </c>
      <c r="S17">
        <v>52</v>
      </c>
      <c r="T17">
        <v>150</v>
      </c>
      <c r="U17">
        <v>58</v>
      </c>
      <c r="V17">
        <v>6</v>
      </c>
      <c r="W17">
        <v>1</v>
      </c>
      <c r="X17">
        <v>23.111111111111111</v>
      </c>
      <c r="Y17">
        <v>25.777777777777779</v>
      </c>
      <c r="Z17">
        <v>2.6666666666666679</v>
      </c>
      <c r="AA17">
        <v>2</v>
      </c>
      <c r="AB17">
        <v>3</v>
      </c>
      <c r="AC17" t="s">
        <v>33</v>
      </c>
      <c r="AD17">
        <v>3</v>
      </c>
      <c r="AE17">
        <v>1</v>
      </c>
      <c r="AF17" t="s">
        <v>626</v>
      </c>
      <c r="AG17" t="e">
        <v>#N/A</v>
      </c>
      <c r="AH17">
        <v>0</v>
      </c>
      <c r="AI17">
        <v>0</v>
      </c>
      <c r="AN17" t="s">
        <v>71</v>
      </c>
      <c r="AO17">
        <v>0</v>
      </c>
      <c r="AW17" t="s">
        <v>71</v>
      </c>
      <c r="AX17">
        <v>1</v>
      </c>
      <c r="AY17" t="s">
        <v>71</v>
      </c>
      <c r="AZ17">
        <v>5</v>
      </c>
      <c r="BA17">
        <v>0.4</v>
      </c>
      <c r="BB17">
        <v>5</v>
      </c>
      <c r="BC17">
        <v>1</v>
      </c>
      <c r="BD17">
        <f>BA17*BB17*1/7</f>
        <v>0.2857142857142857</v>
      </c>
      <c r="BE17">
        <f>AM17+AU17+BD17</f>
        <v>0.2857142857142857</v>
      </c>
      <c r="BF17" t="s">
        <v>71</v>
      </c>
      <c r="BG17">
        <v>0</v>
      </c>
      <c r="BH17">
        <v>5</v>
      </c>
      <c r="BI17">
        <v>1</v>
      </c>
      <c r="BJ17" t="s">
        <v>36</v>
      </c>
      <c r="BK17">
        <v>4</v>
      </c>
      <c r="BL17">
        <v>3</v>
      </c>
      <c r="BM17">
        <v>1</v>
      </c>
      <c r="BN17" t="s">
        <v>55</v>
      </c>
      <c r="BO17">
        <v>2</v>
      </c>
      <c r="BP17">
        <v>134</v>
      </c>
      <c r="BQ17">
        <v>0.1</v>
      </c>
      <c r="BR17">
        <v>2</v>
      </c>
      <c r="BS17">
        <v>0.2</v>
      </c>
      <c r="BT17">
        <f>BS17+BD17+AU17+AM17</f>
        <v>0.48571428571428571</v>
      </c>
      <c r="BU17">
        <v>1</v>
      </c>
      <c r="BV17">
        <v>3</v>
      </c>
      <c r="BW17">
        <v>439.5</v>
      </c>
      <c r="BX17">
        <f>BW17/7</f>
        <v>62.785714285714285</v>
      </c>
      <c r="BY17">
        <f>0.00077*BX17</f>
        <v>4.8344999999999999E-2</v>
      </c>
      <c r="BZ17">
        <f t="shared" si="0"/>
        <v>0.53405928571428574</v>
      </c>
    </row>
    <row r="18" spans="1:78">
      <c r="A18" s="1">
        <v>45160.631214699075</v>
      </c>
      <c r="B18" s="6"/>
      <c r="C18">
        <v>17</v>
      </c>
      <c r="D18" s="10">
        <v>33857</v>
      </c>
      <c r="E18">
        <v>30</v>
      </c>
      <c r="F18">
        <v>1</v>
      </c>
      <c r="G18">
        <v>1</v>
      </c>
      <c r="H18">
        <v>4</v>
      </c>
      <c r="I18" s="10">
        <v>45079</v>
      </c>
      <c r="J18">
        <v>2</v>
      </c>
      <c r="K18">
        <v>0</v>
      </c>
      <c r="L18">
        <v>1</v>
      </c>
      <c r="M18">
        <v>2610</v>
      </c>
      <c r="N18">
        <v>2</v>
      </c>
      <c r="O18" s="10">
        <v>44820</v>
      </c>
      <c r="P18">
        <v>0</v>
      </c>
      <c r="Q18">
        <v>37</v>
      </c>
      <c r="R18">
        <v>2</v>
      </c>
      <c r="S18">
        <v>50</v>
      </c>
      <c r="T18">
        <v>159</v>
      </c>
      <c r="U18">
        <v>58</v>
      </c>
      <c r="V18">
        <v>8</v>
      </c>
      <c r="W18">
        <v>1</v>
      </c>
      <c r="X18">
        <v>19.77769866698311</v>
      </c>
      <c r="Y18">
        <v>22.942130453700404</v>
      </c>
      <c r="Z18">
        <v>3.1644317867172944</v>
      </c>
      <c r="AA18">
        <v>2</v>
      </c>
      <c r="AB18">
        <v>2</v>
      </c>
      <c r="AC18" t="s">
        <v>33</v>
      </c>
      <c r="AD18">
        <v>3</v>
      </c>
      <c r="AE18">
        <v>0</v>
      </c>
      <c r="AG18">
        <v>5</v>
      </c>
      <c r="AH18">
        <v>1</v>
      </c>
      <c r="AI18">
        <v>2</v>
      </c>
      <c r="AJ18">
        <v>5</v>
      </c>
      <c r="AK18">
        <v>7</v>
      </c>
      <c r="AL18">
        <v>1</v>
      </c>
      <c r="AM18">
        <f>AJ18*AK18*AL18/7</f>
        <v>5</v>
      </c>
      <c r="AN18" t="s">
        <v>57</v>
      </c>
      <c r="AO18">
        <v>0</v>
      </c>
      <c r="AV18">
        <f>AU18+AM18</f>
        <v>5</v>
      </c>
      <c r="AW18" t="s">
        <v>58</v>
      </c>
      <c r="AX18">
        <v>1</v>
      </c>
      <c r="AY18" t="s">
        <v>58</v>
      </c>
      <c r="AZ18">
        <v>1</v>
      </c>
      <c r="BA18">
        <v>0.8</v>
      </c>
      <c r="BB18">
        <v>7</v>
      </c>
      <c r="BC18">
        <v>1</v>
      </c>
      <c r="BD18">
        <f>BA18*BB18*1/7</f>
        <v>0.8</v>
      </c>
      <c r="BE18">
        <f>AM18+AU18+BD18</f>
        <v>5.8</v>
      </c>
      <c r="BF18" t="s">
        <v>58</v>
      </c>
      <c r="BG18">
        <v>0</v>
      </c>
      <c r="BH18">
        <v>7</v>
      </c>
      <c r="BI18">
        <v>1</v>
      </c>
      <c r="BJ18" t="s">
        <v>49</v>
      </c>
      <c r="BK18">
        <v>5</v>
      </c>
      <c r="BL18">
        <v>1</v>
      </c>
      <c r="BM18">
        <v>1</v>
      </c>
      <c r="BN18" t="s">
        <v>59</v>
      </c>
      <c r="BO18">
        <v>3</v>
      </c>
      <c r="BP18">
        <v>28</v>
      </c>
      <c r="BQ18">
        <v>0.08</v>
      </c>
      <c r="BR18">
        <v>0.5</v>
      </c>
      <c r="BS18">
        <v>0.04</v>
      </c>
      <c r="BT18">
        <f>BS18+BD18+AU18+AM18</f>
        <v>5.84</v>
      </c>
      <c r="BU18">
        <v>1</v>
      </c>
      <c r="BV18">
        <v>2</v>
      </c>
      <c r="BW18">
        <v>293</v>
      </c>
      <c r="BX18">
        <f>BW18/7</f>
        <v>41.857142857142854</v>
      </c>
      <c r="BY18">
        <f>0.00077*BX18</f>
        <v>3.2229999999999995E-2</v>
      </c>
      <c r="BZ18">
        <f t="shared" si="0"/>
        <v>5.8722300000000001</v>
      </c>
    </row>
    <row r="19" spans="1:78">
      <c r="A19" s="1">
        <v>45160.631515879628</v>
      </c>
      <c r="B19" s="6"/>
      <c r="C19">
        <v>18</v>
      </c>
      <c r="D19" s="10">
        <v>30750</v>
      </c>
      <c r="E19">
        <v>39</v>
      </c>
      <c r="F19">
        <v>1</v>
      </c>
      <c r="G19">
        <v>1</v>
      </c>
      <c r="H19">
        <v>4</v>
      </c>
      <c r="I19" s="10">
        <v>44841</v>
      </c>
      <c r="J19">
        <v>3</v>
      </c>
      <c r="K19">
        <v>0</v>
      </c>
      <c r="L19">
        <v>2</v>
      </c>
      <c r="M19">
        <v>4300</v>
      </c>
      <c r="N19">
        <v>3</v>
      </c>
      <c r="O19" s="10">
        <v>44568</v>
      </c>
      <c r="P19">
        <v>0</v>
      </c>
      <c r="Q19">
        <v>39</v>
      </c>
      <c r="R19">
        <v>2</v>
      </c>
      <c r="S19">
        <v>65</v>
      </c>
      <c r="T19">
        <v>170</v>
      </c>
      <c r="U19">
        <v>79</v>
      </c>
      <c r="V19">
        <v>14</v>
      </c>
      <c r="W19">
        <v>2</v>
      </c>
      <c r="X19">
        <v>22.491349480968861</v>
      </c>
      <c r="Y19">
        <v>27.335640138408309</v>
      </c>
      <c r="Z19">
        <v>4.8442906574394478</v>
      </c>
      <c r="AA19">
        <v>2</v>
      </c>
      <c r="AB19">
        <v>3</v>
      </c>
      <c r="AC19" t="s">
        <v>33</v>
      </c>
      <c r="AD19">
        <v>3</v>
      </c>
      <c r="AE19">
        <v>0</v>
      </c>
      <c r="AG19">
        <v>5</v>
      </c>
      <c r="AH19">
        <v>1</v>
      </c>
      <c r="AI19">
        <v>2</v>
      </c>
      <c r="AJ19">
        <v>5</v>
      </c>
      <c r="AK19">
        <v>7</v>
      </c>
      <c r="AL19">
        <v>1</v>
      </c>
      <c r="AM19">
        <f>AJ19*AK19*AL19/7</f>
        <v>5</v>
      </c>
      <c r="AN19" t="s">
        <v>57</v>
      </c>
      <c r="AO19">
        <v>0</v>
      </c>
      <c r="AV19">
        <f>AU19+AM19</f>
        <v>5</v>
      </c>
      <c r="AW19" t="s">
        <v>61</v>
      </c>
      <c r="AX19">
        <v>1</v>
      </c>
      <c r="AY19" t="s">
        <v>61</v>
      </c>
      <c r="AZ19">
        <v>2</v>
      </c>
      <c r="BA19">
        <v>0.27</v>
      </c>
      <c r="BB19">
        <v>7</v>
      </c>
      <c r="BC19">
        <v>1</v>
      </c>
      <c r="BD19">
        <f>BA19*BB19*1/7</f>
        <v>0.27</v>
      </c>
      <c r="BE19">
        <f>AM19+AU19+BD19</f>
        <v>5.27</v>
      </c>
      <c r="BF19" t="s">
        <v>61</v>
      </c>
      <c r="BG19">
        <v>0</v>
      </c>
      <c r="BH19">
        <v>7</v>
      </c>
      <c r="BI19">
        <v>1</v>
      </c>
      <c r="BJ19" t="s">
        <v>49</v>
      </c>
      <c r="BK19">
        <v>5</v>
      </c>
      <c r="BL19">
        <v>1</v>
      </c>
      <c r="BM19">
        <v>1</v>
      </c>
      <c r="BN19" t="s">
        <v>37</v>
      </c>
      <c r="BO19">
        <v>4</v>
      </c>
      <c r="BP19">
        <v>27.5</v>
      </c>
      <c r="BQ19">
        <v>0.05</v>
      </c>
      <c r="BR19">
        <v>0.5</v>
      </c>
      <c r="BS19">
        <v>2.5000000000000001E-2</v>
      </c>
      <c r="BT19">
        <f>BS19+BD19+AU19+AM19</f>
        <v>5.2949999999999999</v>
      </c>
      <c r="BU19">
        <v>1</v>
      </c>
      <c r="BV19">
        <v>0.5</v>
      </c>
      <c r="BW19">
        <v>73.25</v>
      </c>
      <c r="BX19">
        <f>BW19/7</f>
        <v>10.464285714285714</v>
      </c>
      <c r="BY19">
        <f>0.00077*BX19</f>
        <v>8.0574999999999987E-3</v>
      </c>
      <c r="BZ19">
        <f t="shared" si="0"/>
        <v>5.3030574999999995</v>
      </c>
    </row>
    <row r="20" spans="1:78">
      <c r="A20" s="1">
        <v>45160.632025567131</v>
      </c>
      <c r="B20" s="9"/>
      <c r="C20">
        <v>19</v>
      </c>
      <c r="D20" s="10">
        <v>34664</v>
      </c>
      <c r="E20">
        <v>28</v>
      </c>
      <c r="F20">
        <v>1</v>
      </c>
      <c r="G20">
        <v>1</v>
      </c>
      <c r="H20">
        <v>4</v>
      </c>
      <c r="I20" s="10">
        <v>44292</v>
      </c>
      <c r="J20">
        <v>1</v>
      </c>
      <c r="K20">
        <v>1</v>
      </c>
      <c r="L20">
        <v>2</v>
      </c>
      <c r="M20">
        <v>3900</v>
      </c>
      <c r="N20">
        <v>2</v>
      </c>
      <c r="O20" s="10">
        <v>44019</v>
      </c>
      <c r="P20">
        <v>1</v>
      </c>
      <c r="Q20">
        <v>39</v>
      </c>
      <c r="R20">
        <v>2</v>
      </c>
      <c r="S20">
        <v>79</v>
      </c>
      <c r="T20">
        <v>167</v>
      </c>
      <c r="U20">
        <v>89</v>
      </c>
      <c r="V20">
        <v>10</v>
      </c>
      <c r="W20">
        <v>2</v>
      </c>
      <c r="X20">
        <v>28.326580372189753</v>
      </c>
      <c r="Y20">
        <v>31.912223457277065</v>
      </c>
      <c r="Z20">
        <v>3.5856430850873124</v>
      </c>
      <c r="AA20">
        <v>3</v>
      </c>
      <c r="AB20">
        <v>4</v>
      </c>
      <c r="AC20" t="s">
        <v>33</v>
      </c>
      <c r="AD20">
        <v>3</v>
      </c>
      <c r="AE20">
        <v>0</v>
      </c>
      <c r="AG20">
        <v>5</v>
      </c>
      <c r="AH20">
        <v>1</v>
      </c>
      <c r="AI20">
        <v>4</v>
      </c>
      <c r="AJ20">
        <v>1</v>
      </c>
      <c r="AK20">
        <v>7</v>
      </c>
      <c r="AL20">
        <v>1</v>
      </c>
      <c r="AM20">
        <f>AJ20*AK20*AL20/7</f>
        <v>1</v>
      </c>
      <c r="AN20" t="s">
        <v>43</v>
      </c>
      <c r="AO20">
        <v>0</v>
      </c>
      <c r="AV20">
        <f>AU20+AM20</f>
        <v>1</v>
      </c>
      <c r="AW20" t="s">
        <v>61</v>
      </c>
      <c r="AX20">
        <v>1</v>
      </c>
      <c r="AY20" t="s">
        <v>61</v>
      </c>
      <c r="AZ20">
        <v>2</v>
      </c>
      <c r="BA20">
        <v>0.27</v>
      </c>
      <c r="BB20">
        <v>7</v>
      </c>
      <c r="BC20">
        <v>1</v>
      </c>
      <c r="BD20">
        <f>BA20*BB20*1/7</f>
        <v>0.27</v>
      </c>
      <c r="BE20">
        <f>AM20+AU20+BD20</f>
        <v>1.27</v>
      </c>
      <c r="BF20" t="s">
        <v>61</v>
      </c>
      <c r="BG20">
        <v>0</v>
      </c>
      <c r="BH20">
        <v>7</v>
      </c>
      <c r="BI20">
        <v>1</v>
      </c>
      <c r="BJ20" t="s">
        <v>42</v>
      </c>
      <c r="BK20">
        <v>6</v>
      </c>
      <c r="BL20">
        <v>1</v>
      </c>
      <c r="BM20">
        <v>1</v>
      </c>
      <c r="BN20" t="s">
        <v>63</v>
      </c>
      <c r="BO20">
        <v>5</v>
      </c>
      <c r="BP20">
        <v>24</v>
      </c>
      <c r="BQ20">
        <v>0.06</v>
      </c>
      <c r="BR20">
        <v>0.5</v>
      </c>
      <c r="BS20">
        <v>0.03</v>
      </c>
      <c r="BT20">
        <f>BS20+BD20+AU20+AM20</f>
        <v>1.3</v>
      </c>
      <c r="BU20">
        <v>1</v>
      </c>
      <c r="BV20">
        <v>0.5</v>
      </c>
      <c r="BW20">
        <v>73.25</v>
      </c>
      <c r="BX20">
        <f>BW20/7</f>
        <v>10.464285714285714</v>
      </c>
      <c r="BY20">
        <f>0.00077*BX20</f>
        <v>8.0574999999999987E-3</v>
      </c>
      <c r="BZ20">
        <f t="shared" si="0"/>
        <v>1.3080575000000001</v>
      </c>
    </row>
    <row r="21" spans="1:78">
      <c r="A21" s="1">
        <v>45160.640350243055</v>
      </c>
      <c r="B21" s="9"/>
      <c r="C21">
        <v>20</v>
      </c>
      <c r="D21" s="10">
        <v>33206</v>
      </c>
      <c r="E21">
        <v>32</v>
      </c>
      <c r="F21">
        <v>1</v>
      </c>
      <c r="G21">
        <v>1</v>
      </c>
      <c r="H21">
        <v>4</v>
      </c>
      <c r="I21" s="10">
        <v>44778</v>
      </c>
      <c r="J21">
        <v>2</v>
      </c>
      <c r="K21">
        <v>0</v>
      </c>
      <c r="L21">
        <v>2</v>
      </c>
      <c r="M21">
        <v>4040</v>
      </c>
      <c r="N21">
        <v>3</v>
      </c>
      <c r="O21" s="10">
        <v>44504</v>
      </c>
      <c r="P21">
        <v>0</v>
      </c>
      <c r="Q21">
        <v>39.142857142857146</v>
      </c>
      <c r="R21">
        <v>2</v>
      </c>
      <c r="S21">
        <v>82</v>
      </c>
      <c r="T21">
        <v>165</v>
      </c>
      <c r="U21">
        <v>100</v>
      </c>
      <c r="V21">
        <v>18</v>
      </c>
      <c r="W21">
        <v>3</v>
      </c>
      <c r="X21">
        <v>30.119375573921033</v>
      </c>
      <c r="Y21">
        <v>36.730945821854917</v>
      </c>
      <c r="Z21">
        <v>6.6115702479338836</v>
      </c>
      <c r="AA21">
        <v>4</v>
      </c>
      <c r="AB21">
        <v>4</v>
      </c>
      <c r="AC21" t="s">
        <v>33</v>
      </c>
      <c r="AD21">
        <v>3</v>
      </c>
      <c r="AE21">
        <v>0</v>
      </c>
      <c r="AG21">
        <v>5</v>
      </c>
      <c r="AH21">
        <v>1</v>
      </c>
      <c r="AI21">
        <v>5</v>
      </c>
      <c r="AJ21">
        <v>5</v>
      </c>
      <c r="AK21">
        <v>7</v>
      </c>
      <c r="AL21">
        <v>1</v>
      </c>
      <c r="AM21">
        <f>AJ21*AK21*AL21/7</f>
        <v>5</v>
      </c>
      <c r="AN21" t="s">
        <v>27</v>
      </c>
      <c r="AO21">
        <v>0</v>
      </c>
      <c r="AV21">
        <f>AU21+AM21</f>
        <v>5</v>
      </c>
      <c r="AW21" t="s">
        <v>64</v>
      </c>
      <c r="AX21">
        <v>0</v>
      </c>
      <c r="BE21">
        <f>AM21+AU21+BD21</f>
        <v>5</v>
      </c>
      <c r="BF21" t="s">
        <v>64</v>
      </c>
      <c r="BG21">
        <v>1</v>
      </c>
      <c r="BH21">
        <v>7</v>
      </c>
      <c r="BI21">
        <v>1</v>
      </c>
      <c r="BJ21" t="s">
        <v>28</v>
      </c>
      <c r="BK21">
        <v>3</v>
      </c>
      <c r="BL21">
        <v>4</v>
      </c>
      <c r="BM21">
        <v>1</v>
      </c>
      <c r="BN21" t="s">
        <v>37</v>
      </c>
      <c r="BO21">
        <v>4</v>
      </c>
      <c r="BP21">
        <v>27.5</v>
      </c>
      <c r="BQ21">
        <v>0.05</v>
      </c>
      <c r="BR21">
        <v>0.5</v>
      </c>
      <c r="BS21">
        <v>2.5000000000000001E-2</v>
      </c>
      <c r="BT21">
        <f>BS21+BD21+AU21+AM21</f>
        <v>5.0250000000000004</v>
      </c>
      <c r="BU21">
        <v>1</v>
      </c>
      <c r="BV21">
        <v>0.5</v>
      </c>
      <c r="BW21">
        <v>73.25</v>
      </c>
      <c r="BX21">
        <f>BW21/7</f>
        <v>10.464285714285714</v>
      </c>
      <c r="BY21">
        <f>0.00077*BX21</f>
        <v>8.0574999999999987E-3</v>
      </c>
      <c r="BZ21">
        <f t="shared" si="0"/>
        <v>5.0330575</v>
      </c>
    </row>
    <row r="22" spans="1:78">
      <c r="A22" s="1">
        <v>45160.641957141204</v>
      </c>
      <c r="B22" s="9" t="s">
        <v>866</v>
      </c>
      <c r="C22">
        <v>21</v>
      </c>
      <c r="D22" s="10">
        <v>31908</v>
      </c>
      <c r="E22">
        <v>36</v>
      </c>
      <c r="F22">
        <v>1</v>
      </c>
      <c r="G22">
        <v>1</v>
      </c>
      <c r="H22">
        <v>4</v>
      </c>
      <c r="I22" s="10">
        <v>45132</v>
      </c>
      <c r="J22">
        <v>5</v>
      </c>
      <c r="K22">
        <v>0</v>
      </c>
      <c r="L22">
        <v>2</v>
      </c>
      <c r="M22">
        <v>3211</v>
      </c>
      <c r="N22">
        <v>2</v>
      </c>
      <c r="O22" s="10">
        <v>44845</v>
      </c>
      <c r="P22">
        <v>0</v>
      </c>
      <c r="Q22">
        <v>41</v>
      </c>
      <c r="R22">
        <v>2</v>
      </c>
      <c r="S22">
        <v>71</v>
      </c>
      <c r="T22">
        <v>160</v>
      </c>
      <c r="U22">
        <v>82</v>
      </c>
      <c r="V22">
        <v>11</v>
      </c>
      <c r="W22">
        <v>2</v>
      </c>
      <c r="X22">
        <v>27.734374999999993</v>
      </c>
      <c r="Y22">
        <v>32.031249999999993</v>
      </c>
      <c r="Z22">
        <v>4.296875</v>
      </c>
      <c r="AA22">
        <v>3</v>
      </c>
      <c r="AB22">
        <v>4</v>
      </c>
      <c r="AC22" t="s">
        <v>33</v>
      </c>
      <c r="AD22">
        <v>3</v>
      </c>
      <c r="AE22">
        <v>0</v>
      </c>
      <c r="AG22">
        <v>5</v>
      </c>
      <c r="AH22">
        <v>1</v>
      </c>
      <c r="AI22" t="s">
        <v>258</v>
      </c>
      <c r="AJ22" t="s">
        <v>258</v>
      </c>
      <c r="AK22">
        <v>7</v>
      </c>
      <c r="AL22">
        <v>1</v>
      </c>
      <c r="AM22" t="s">
        <v>258</v>
      </c>
      <c r="AN22" t="s">
        <v>630</v>
      </c>
      <c r="AO22">
        <v>0</v>
      </c>
      <c r="AW22" t="s">
        <v>630</v>
      </c>
      <c r="AX22">
        <v>1</v>
      </c>
      <c r="AY22" t="s">
        <v>630</v>
      </c>
      <c r="AZ22">
        <v>16</v>
      </c>
      <c r="BA22" t="s">
        <v>258</v>
      </c>
      <c r="BB22">
        <v>7</v>
      </c>
      <c r="BC22">
        <v>1</v>
      </c>
      <c r="BE22" t="s">
        <v>258</v>
      </c>
      <c r="BF22" t="s">
        <v>630</v>
      </c>
      <c r="BG22">
        <v>0</v>
      </c>
      <c r="BH22">
        <v>7</v>
      </c>
      <c r="BI22">
        <v>1</v>
      </c>
      <c r="BJ22" t="s">
        <v>36</v>
      </c>
      <c r="BK22">
        <v>4</v>
      </c>
      <c r="BL22">
        <v>1</v>
      </c>
      <c r="BM22">
        <v>1</v>
      </c>
      <c r="BN22" t="s">
        <v>30</v>
      </c>
      <c r="BO22">
        <v>1</v>
      </c>
      <c r="BP22">
        <v>168</v>
      </c>
      <c r="BQ22">
        <v>0.13</v>
      </c>
      <c r="BR22">
        <v>2</v>
      </c>
      <c r="BS22">
        <v>0.26</v>
      </c>
      <c r="BT22" t="e">
        <f>BS22+BD22+AU22+AM22</f>
        <v>#VALUE!</v>
      </c>
      <c r="BU22">
        <v>1</v>
      </c>
      <c r="BV22">
        <v>3</v>
      </c>
      <c r="BW22">
        <v>439.5</v>
      </c>
      <c r="BX22">
        <f>BW22/7</f>
        <v>62.785714285714285</v>
      </c>
      <c r="BY22">
        <f>0.00077*BX22</f>
        <v>4.8344999999999999E-2</v>
      </c>
      <c r="BZ22" t="e">
        <f t="shared" si="0"/>
        <v>#VALUE!</v>
      </c>
    </row>
    <row r="23" spans="1:78">
      <c r="A23" s="1">
        <v>45160.643566435188</v>
      </c>
      <c r="B23" s="6"/>
      <c r="C23">
        <v>22</v>
      </c>
      <c r="D23" s="10">
        <v>32307</v>
      </c>
      <c r="E23">
        <v>35</v>
      </c>
      <c r="F23">
        <v>1</v>
      </c>
      <c r="G23">
        <v>1</v>
      </c>
      <c r="H23">
        <v>4</v>
      </c>
      <c r="I23" s="10">
        <v>44363</v>
      </c>
      <c r="J23">
        <v>4</v>
      </c>
      <c r="K23">
        <v>0</v>
      </c>
      <c r="L23">
        <v>1</v>
      </c>
      <c r="M23">
        <v>3325</v>
      </c>
      <c r="N23">
        <v>2</v>
      </c>
      <c r="O23" s="10">
        <v>44125</v>
      </c>
      <c r="P23">
        <v>1</v>
      </c>
      <c r="Q23">
        <v>34</v>
      </c>
      <c r="R23">
        <v>3</v>
      </c>
      <c r="S23">
        <v>43</v>
      </c>
      <c r="T23">
        <v>150</v>
      </c>
      <c r="U23">
        <v>50</v>
      </c>
      <c r="V23">
        <v>7</v>
      </c>
      <c r="W23">
        <v>1</v>
      </c>
      <c r="X23">
        <v>19.111111111111111</v>
      </c>
      <c r="Y23">
        <v>22.222222222222221</v>
      </c>
      <c r="Z23">
        <v>3.1111111111111107</v>
      </c>
      <c r="AA23">
        <v>2</v>
      </c>
      <c r="AB23">
        <v>2</v>
      </c>
      <c r="AC23" t="s">
        <v>33</v>
      </c>
      <c r="AD23">
        <v>3</v>
      </c>
      <c r="AE23">
        <v>0</v>
      </c>
      <c r="AG23">
        <v>5</v>
      </c>
      <c r="AH23">
        <v>1</v>
      </c>
      <c r="AI23">
        <v>4</v>
      </c>
      <c r="AJ23">
        <v>1</v>
      </c>
      <c r="AK23">
        <v>7</v>
      </c>
      <c r="AL23">
        <v>1</v>
      </c>
      <c r="AM23">
        <f>AJ23*AK23*AL23/7</f>
        <v>1</v>
      </c>
      <c r="AN23" t="s">
        <v>43</v>
      </c>
      <c r="AO23">
        <v>0</v>
      </c>
      <c r="AV23">
        <f>AU23+AM23</f>
        <v>1</v>
      </c>
      <c r="AW23" t="s">
        <v>58</v>
      </c>
      <c r="AX23">
        <v>1</v>
      </c>
      <c r="AY23" t="s">
        <v>58</v>
      </c>
      <c r="AZ23">
        <v>1</v>
      </c>
      <c r="BA23">
        <v>0.8</v>
      </c>
      <c r="BB23">
        <v>7</v>
      </c>
      <c r="BC23">
        <v>1</v>
      </c>
      <c r="BD23">
        <f>BA23*BB23*1/7</f>
        <v>0.8</v>
      </c>
      <c r="BE23">
        <f>AM23+AU23+BD23</f>
        <v>1.8</v>
      </c>
      <c r="BF23" t="s">
        <v>58</v>
      </c>
      <c r="BG23">
        <v>0</v>
      </c>
      <c r="BH23">
        <v>7</v>
      </c>
      <c r="BI23">
        <v>1</v>
      </c>
      <c r="BJ23" t="s">
        <v>28</v>
      </c>
      <c r="BK23">
        <v>3</v>
      </c>
      <c r="BL23">
        <v>1</v>
      </c>
      <c r="BM23">
        <v>1</v>
      </c>
      <c r="BN23" t="s">
        <v>66</v>
      </c>
      <c r="BO23">
        <v>9</v>
      </c>
      <c r="BP23">
        <v>29.5</v>
      </c>
      <c r="BQ23">
        <v>0.09</v>
      </c>
      <c r="BR23">
        <v>0.5</v>
      </c>
      <c r="BS23">
        <v>4.4999999999999998E-2</v>
      </c>
      <c r="BT23">
        <f>BS23+BD23+AU23+AM23</f>
        <v>1.8450000000000002</v>
      </c>
      <c r="BU23">
        <v>1</v>
      </c>
      <c r="BV23">
        <v>3</v>
      </c>
      <c r="BW23">
        <v>439.5</v>
      </c>
      <c r="BX23">
        <f>BW23/7</f>
        <v>62.785714285714285</v>
      </c>
      <c r="BY23">
        <f>0.00077*BX23</f>
        <v>4.8344999999999999E-2</v>
      </c>
      <c r="BZ23">
        <f t="shared" si="0"/>
        <v>1.8933450000000003</v>
      </c>
    </row>
    <row r="24" spans="1:78">
      <c r="A24" s="1">
        <v>45160.64364844907</v>
      </c>
      <c r="B24" s="9"/>
      <c r="C24">
        <v>23</v>
      </c>
      <c r="D24" s="10">
        <v>30709</v>
      </c>
      <c r="E24">
        <v>39</v>
      </c>
      <c r="F24">
        <v>1</v>
      </c>
      <c r="G24">
        <v>1</v>
      </c>
      <c r="H24">
        <v>5</v>
      </c>
      <c r="I24" s="10">
        <v>44270</v>
      </c>
      <c r="J24">
        <v>1</v>
      </c>
      <c r="K24">
        <v>1</v>
      </c>
      <c r="L24">
        <v>1</v>
      </c>
      <c r="M24">
        <v>3714</v>
      </c>
      <c r="N24">
        <v>2</v>
      </c>
      <c r="O24" s="10">
        <v>43997</v>
      </c>
      <c r="P24">
        <v>1</v>
      </c>
      <c r="Q24">
        <v>39</v>
      </c>
      <c r="R24">
        <v>2</v>
      </c>
      <c r="S24">
        <v>77</v>
      </c>
      <c r="T24">
        <v>171</v>
      </c>
      <c r="U24">
        <v>93</v>
      </c>
      <c r="V24">
        <v>16</v>
      </c>
      <c r="W24">
        <v>3</v>
      </c>
      <c r="X24">
        <v>26.332888752094664</v>
      </c>
      <c r="Y24">
        <v>31.80465784343901</v>
      </c>
      <c r="Z24">
        <v>5.4717690913443455</v>
      </c>
      <c r="AA24">
        <v>3</v>
      </c>
      <c r="AB24">
        <v>4</v>
      </c>
      <c r="AC24" t="s">
        <v>33</v>
      </c>
      <c r="AD24">
        <v>3</v>
      </c>
      <c r="AE24">
        <v>0</v>
      </c>
      <c r="AG24">
        <v>5</v>
      </c>
      <c r="AH24">
        <v>1</v>
      </c>
      <c r="AI24">
        <v>5</v>
      </c>
      <c r="AJ24">
        <v>5</v>
      </c>
      <c r="AK24">
        <v>7</v>
      </c>
      <c r="AL24">
        <v>1</v>
      </c>
      <c r="AM24">
        <f>AJ24*AK24*AL24/7</f>
        <v>5</v>
      </c>
      <c r="AN24" t="s">
        <v>27</v>
      </c>
      <c r="AO24">
        <v>0</v>
      </c>
      <c r="AV24">
        <f>AU24+AM24</f>
        <v>5</v>
      </c>
      <c r="AW24" t="s">
        <v>67</v>
      </c>
      <c r="AX24">
        <v>0</v>
      </c>
      <c r="BE24">
        <f>AM24+AU24+BD24</f>
        <v>5</v>
      </c>
      <c r="BF24" t="s">
        <v>67</v>
      </c>
      <c r="BG24">
        <v>1</v>
      </c>
      <c r="BH24">
        <v>7</v>
      </c>
      <c r="BI24">
        <v>1</v>
      </c>
      <c r="BJ24" t="s">
        <v>54</v>
      </c>
      <c r="BK24">
        <v>2</v>
      </c>
      <c r="BL24">
        <v>3</v>
      </c>
      <c r="BM24">
        <v>1</v>
      </c>
      <c r="BN24" t="s">
        <v>59</v>
      </c>
      <c r="BO24">
        <v>3</v>
      </c>
      <c r="BP24">
        <v>56</v>
      </c>
      <c r="BQ24">
        <v>0.08</v>
      </c>
      <c r="BR24">
        <v>1</v>
      </c>
      <c r="BS24">
        <v>0.08</v>
      </c>
      <c r="BT24">
        <f>BS24+BD24+AU24+AM24</f>
        <v>5.08</v>
      </c>
      <c r="BU24">
        <v>1</v>
      </c>
      <c r="BV24">
        <v>2</v>
      </c>
      <c r="BW24">
        <v>293</v>
      </c>
      <c r="BX24">
        <f>BW24/7</f>
        <v>41.857142857142854</v>
      </c>
      <c r="BY24">
        <f>0.00077*BX24</f>
        <v>3.2229999999999995E-2</v>
      </c>
      <c r="BZ24">
        <f t="shared" si="0"/>
        <v>5.1122300000000003</v>
      </c>
    </row>
    <row r="25" spans="1:78">
      <c r="A25" s="1">
        <v>45160.645669386577</v>
      </c>
      <c r="B25" s="9" t="s">
        <v>866</v>
      </c>
      <c r="C25">
        <v>24</v>
      </c>
      <c r="D25" s="10">
        <v>32412</v>
      </c>
      <c r="E25">
        <v>34</v>
      </c>
      <c r="F25">
        <v>1</v>
      </c>
      <c r="G25">
        <v>1</v>
      </c>
      <c r="H25">
        <v>4</v>
      </c>
      <c r="I25" s="10">
        <v>43837</v>
      </c>
      <c r="J25">
        <v>1</v>
      </c>
      <c r="K25">
        <v>1</v>
      </c>
      <c r="L25">
        <v>2</v>
      </c>
      <c r="M25">
        <v>3045</v>
      </c>
      <c r="N25">
        <v>2</v>
      </c>
      <c r="O25" s="10">
        <v>43558</v>
      </c>
      <c r="P25">
        <v>0</v>
      </c>
      <c r="Q25">
        <v>39.857142857142854</v>
      </c>
      <c r="R25">
        <v>2</v>
      </c>
      <c r="S25">
        <v>60</v>
      </c>
      <c r="T25">
        <v>155</v>
      </c>
      <c r="U25">
        <v>70</v>
      </c>
      <c r="V25">
        <v>10</v>
      </c>
      <c r="W25">
        <v>1</v>
      </c>
      <c r="X25">
        <v>24.973985431841829</v>
      </c>
      <c r="Y25">
        <v>29.136316337148799</v>
      </c>
      <c r="Z25">
        <v>4.1623309053069697</v>
      </c>
      <c r="AA25">
        <v>2</v>
      </c>
      <c r="AB25">
        <v>3</v>
      </c>
      <c r="AC25" t="s">
        <v>33</v>
      </c>
      <c r="AD25">
        <v>3</v>
      </c>
      <c r="AE25">
        <v>0</v>
      </c>
      <c r="AG25">
        <v>5</v>
      </c>
      <c r="AH25">
        <v>1</v>
      </c>
      <c r="AI25" t="s">
        <v>258</v>
      </c>
      <c r="AJ25" t="s">
        <v>258</v>
      </c>
      <c r="AK25">
        <v>7</v>
      </c>
      <c r="AL25">
        <v>1</v>
      </c>
      <c r="AM25" t="s">
        <v>258</v>
      </c>
      <c r="AN25" t="s">
        <v>632</v>
      </c>
      <c r="AO25">
        <v>0</v>
      </c>
      <c r="AX25">
        <v>0</v>
      </c>
      <c r="BE25" t="s">
        <v>258</v>
      </c>
      <c r="BG25">
        <v>0</v>
      </c>
      <c r="BJ25" t="s">
        <v>28</v>
      </c>
      <c r="BK25">
        <v>3</v>
      </c>
      <c r="BL25">
        <v>3</v>
      </c>
      <c r="BM25">
        <v>1</v>
      </c>
      <c r="BN25" t="s">
        <v>59</v>
      </c>
      <c r="BO25">
        <v>3</v>
      </c>
      <c r="BP25">
        <v>56</v>
      </c>
      <c r="BQ25">
        <v>0.08</v>
      </c>
      <c r="BR25">
        <v>1</v>
      </c>
      <c r="BS25">
        <v>0.08</v>
      </c>
      <c r="BT25" t="e">
        <f>BS25+BD25+AU25+AM25</f>
        <v>#VALUE!</v>
      </c>
      <c r="BU25">
        <v>1</v>
      </c>
      <c r="BV25">
        <v>0.5</v>
      </c>
      <c r="BW25">
        <v>73.25</v>
      </c>
      <c r="BX25">
        <f>BW25/7</f>
        <v>10.464285714285714</v>
      </c>
      <c r="BY25">
        <f>0.00077*BX25</f>
        <v>8.0574999999999987E-3</v>
      </c>
      <c r="BZ25" t="e">
        <f t="shared" si="0"/>
        <v>#VALUE!</v>
      </c>
    </row>
    <row r="26" spans="1:78">
      <c r="A26" s="1">
        <v>45160.649511782409</v>
      </c>
      <c r="B26" s="6"/>
      <c r="C26">
        <v>25</v>
      </c>
      <c r="D26" s="10">
        <v>35383</v>
      </c>
      <c r="E26">
        <v>26</v>
      </c>
      <c r="F26">
        <v>1</v>
      </c>
      <c r="G26">
        <v>1</v>
      </c>
      <c r="H26">
        <v>4</v>
      </c>
      <c r="I26" s="10">
        <v>44491</v>
      </c>
      <c r="J26">
        <v>1</v>
      </c>
      <c r="K26">
        <v>1</v>
      </c>
      <c r="L26">
        <v>1</v>
      </c>
      <c r="M26">
        <v>3450</v>
      </c>
      <c r="N26">
        <v>2</v>
      </c>
      <c r="O26" s="10">
        <v>44218</v>
      </c>
      <c r="P26">
        <v>1</v>
      </c>
      <c r="Q26">
        <v>39</v>
      </c>
      <c r="R26">
        <v>2</v>
      </c>
      <c r="S26">
        <v>54</v>
      </c>
      <c r="T26">
        <v>160</v>
      </c>
      <c r="U26">
        <v>66</v>
      </c>
      <c r="V26">
        <v>12</v>
      </c>
      <c r="W26">
        <v>2</v>
      </c>
      <c r="X26">
        <v>21.093749999999996</v>
      </c>
      <c r="Y26">
        <v>25.781249999999996</v>
      </c>
      <c r="Z26">
        <v>4.6875</v>
      </c>
      <c r="AA26">
        <v>2</v>
      </c>
      <c r="AB26">
        <v>3</v>
      </c>
      <c r="AC26" t="s">
        <v>33</v>
      </c>
      <c r="AD26">
        <v>3</v>
      </c>
      <c r="AE26">
        <v>0</v>
      </c>
      <c r="AG26">
        <v>5</v>
      </c>
      <c r="AH26">
        <v>0</v>
      </c>
      <c r="AI26">
        <v>0</v>
      </c>
      <c r="AN26" t="s">
        <v>41</v>
      </c>
      <c r="AO26">
        <v>0</v>
      </c>
      <c r="AW26" t="s">
        <v>58</v>
      </c>
      <c r="AX26">
        <v>1</v>
      </c>
      <c r="AY26" t="s">
        <v>58</v>
      </c>
      <c r="AZ26">
        <v>1</v>
      </c>
      <c r="BA26">
        <v>0.8</v>
      </c>
      <c r="BB26">
        <v>7</v>
      </c>
      <c r="BC26">
        <v>1</v>
      </c>
      <c r="BD26">
        <f>BA26*BB26*1/7</f>
        <v>0.8</v>
      </c>
      <c r="BE26">
        <f>AM26+AU26+BD26</f>
        <v>0.8</v>
      </c>
      <c r="BF26" t="s">
        <v>58</v>
      </c>
      <c r="BG26">
        <v>0</v>
      </c>
      <c r="BH26">
        <v>7</v>
      </c>
      <c r="BI26">
        <v>1</v>
      </c>
      <c r="BJ26" t="s">
        <v>49</v>
      </c>
      <c r="BK26">
        <v>5</v>
      </c>
      <c r="BL26">
        <v>1</v>
      </c>
      <c r="BM26">
        <v>1</v>
      </c>
      <c r="BN26" t="s">
        <v>63</v>
      </c>
      <c r="BO26">
        <v>5</v>
      </c>
      <c r="BP26">
        <v>48</v>
      </c>
      <c r="BQ26">
        <v>0.06</v>
      </c>
      <c r="BR26">
        <v>1</v>
      </c>
      <c r="BS26">
        <v>0.06</v>
      </c>
      <c r="BT26">
        <f>BS26+BD26+AU26+AM26</f>
        <v>0.8600000000000001</v>
      </c>
      <c r="BU26">
        <v>1</v>
      </c>
      <c r="BV26">
        <v>1</v>
      </c>
      <c r="BW26">
        <v>146.5</v>
      </c>
      <c r="BX26">
        <f>BW26/7</f>
        <v>20.928571428571427</v>
      </c>
      <c r="BY26">
        <f>0.00077*BX26</f>
        <v>1.6114999999999997E-2</v>
      </c>
      <c r="BZ26">
        <f t="shared" si="0"/>
        <v>0.87611500000000009</v>
      </c>
    </row>
    <row r="27" spans="1:78">
      <c r="A27" s="1">
        <v>45160.650529756946</v>
      </c>
      <c r="B27" s="6"/>
      <c r="C27">
        <v>26</v>
      </c>
      <c r="D27" s="10">
        <v>36392</v>
      </c>
      <c r="E27">
        <v>24</v>
      </c>
      <c r="F27">
        <v>2</v>
      </c>
      <c r="G27">
        <v>1</v>
      </c>
      <c r="H27">
        <v>4</v>
      </c>
      <c r="I27" s="10">
        <v>44510</v>
      </c>
      <c r="J27">
        <v>1</v>
      </c>
      <c r="K27">
        <v>1</v>
      </c>
      <c r="L27">
        <v>2</v>
      </c>
      <c r="M27">
        <v>3330</v>
      </c>
      <c r="N27">
        <v>2</v>
      </c>
      <c r="O27" s="10">
        <v>44229</v>
      </c>
      <c r="P27">
        <v>1</v>
      </c>
      <c r="Q27">
        <v>40.142857142857146</v>
      </c>
      <c r="R27">
        <v>2</v>
      </c>
      <c r="S27">
        <v>69</v>
      </c>
      <c r="T27">
        <v>166</v>
      </c>
      <c r="U27">
        <v>80</v>
      </c>
      <c r="V27">
        <v>11</v>
      </c>
      <c r="W27">
        <v>2</v>
      </c>
      <c r="X27">
        <v>25.039918710988534</v>
      </c>
      <c r="Y27">
        <v>29.031789809841779</v>
      </c>
      <c r="Z27">
        <v>3.9918710988532453</v>
      </c>
      <c r="AA27">
        <v>3</v>
      </c>
      <c r="AB27">
        <v>3</v>
      </c>
      <c r="AC27" t="s">
        <v>33</v>
      </c>
      <c r="AD27">
        <v>3</v>
      </c>
      <c r="AE27">
        <v>0</v>
      </c>
      <c r="AG27">
        <v>5</v>
      </c>
      <c r="AH27">
        <v>1</v>
      </c>
      <c r="AI27">
        <v>5</v>
      </c>
      <c r="AJ27">
        <v>5</v>
      </c>
      <c r="AK27">
        <v>7</v>
      </c>
      <c r="AL27">
        <v>1</v>
      </c>
      <c r="AM27">
        <f>AJ27*AK27*AL27/7</f>
        <v>5</v>
      </c>
      <c r="AN27" t="s">
        <v>27</v>
      </c>
      <c r="AO27">
        <v>0</v>
      </c>
      <c r="AV27">
        <f>AU27+AM27</f>
        <v>5</v>
      </c>
      <c r="AW27" t="s">
        <v>58</v>
      </c>
      <c r="AX27">
        <v>1</v>
      </c>
      <c r="AY27" t="s">
        <v>58</v>
      </c>
      <c r="AZ27">
        <v>1</v>
      </c>
      <c r="BA27">
        <v>0.8</v>
      </c>
      <c r="BB27">
        <v>7</v>
      </c>
      <c r="BC27">
        <v>1</v>
      </c>
      <c r="BD27">
        <f>BA27*BB27*1/7</f>
        <v>0.8</v>
      </c>
      <c r="BE27">
        <f>AM27+AU27+BD27</f>
        <v>5.8</v>
      </c>
      <c r="BF27" t="s">
        <v>58</v>
      </c>
      <c r="BG27">
        <v>0</v>
      </c>
      <c r="BH27">
        <v>7</v>
      </c>
      <c r="BI27">
        <v>1</v>
      </c>
      <c r="BJ27" t="s">
        <v>28</v>
      </c>
      <c r="BK27">
        <v>3</v>
      </c>
      <c r="BL27">
        <v>1</v>
      </c>
      <c r="BM27">
        <v>1</v>
      </c>
      <c r="BN27" t="s">
        <v>59</v>
      </c>
      <c r="BO27">
        <v>3</v>
      </c>
      <c r="BP27">
        <v>112</v>
      </c>
      <c r="BQ27">
        <v>0.08</v>
      </c>
      <c r="BR27">
        <v>2</v>
      </c>
      <c r="BS27">
        <v>0.16</v>
      </c>
      <c r="BT27">
        <f>BS27+BD27+AU27+AM27</f>
        <v>5.96</v>
      </c>
      <c r="BU27">
        <v>1</v>
      </c>
      <c r="BV27">
        <v>2</v>
      </c>
      <c r="BW27">
        <v>293</v>
      </c>
      <c r="BX27">
        <f>BW27/7</f>
        <v>41.857142857142854</v>
      </c>
      <c r="BY27">
        <f>0.00077*BX27</f>
        <v>3.2229999999999995E-2</v>
      </c>
      <c r="BZ27">
        <f t="shared" si="0"/>
        <v>5.9922300000000002</v>
      </c>
    </row>
    <row r="28" spans="1:78">
      <c r="A28" s="1">
        <v>45160.65393325231</v>
      </c>
      <c r="B28" s="6"/>
      <c r="C28">
        <v>27</v>
      </c>
      <c r="D28" s="10">
        <v>35179</v>
      </c>
      <c r="E28">
        <v>27</v>
      </c>
      <c r="F28">
        <v>1</v>
      </c>
      <c r="G28">
        <v>1</v>
      </c>
      <c r="H28">
        <v>4</v>
      </c>
      <c r="I28" s="10">
        <v>44610</v>
      </c>
      <c r="J28">
        <v>2</v>
      </c>
      <c r="K28">
        <v>0</v>
      </c>
      <c r="L28">
        <v>2</v>
      </c>
      <c r="M28">
        <v>3326</v>
      </c>
      <c r="N28">
        <v>2</v>
      </c>
      <c r="O28" s="10">
        <v>44335</v>
      </c>
      <c r="P28">
        <v>1</v>
      </c>
      <c r="Q28">
        <v>39.285714285714285</v>
      </c>
      <c r="R28">
        <v>2</v>
      </c>
      <c r="S28">
        <v>72</v>
      </c>
      <c r="T28">
        <v>159</v>
      </c>
      <c r="U28">
        <v>84</v>
      </c>
      <c r="V28">
        <v>12</v>
      </c>
      <c r="W28">
        <v>3</v>
      </c>
      <c r="X28">
        <v>28.479886080455675</v>
      </c>
      <c r="Y28">
        <v>33.226533760531623</v>
      </c>
      <c r="Z28">
        <v>4.7466476800759487</v>
      </c>
      <c r="AA28">
        <v>3</v>
      </c>
      <c r="AB28">
        <v>4</v>
      </c>
      <c r="AC28" t="s">
        <v>33</v>
      </c>
      <c r="AD28">
        <v>3</v>
      </c>
      <c r="AE28">
        <v>0</v>
      </c>
      <c r="AG28">
        <v>5</v>
      </c>
      <c r="AH28">
        <v>0</v>
      </c>
      <c r="AI28">
        <v>0</v>
      </c>
      <c r="AN28" t="s">
        <v>41</v>
      </c>
      <c r="AO28">
        <v>0</v>
      </c>
      <c r="AW28" t="s">
        <v>58</v>
      </c>
      <c r="AX28">
        <v>1</v>
      </c>
      <c r="AY28" t="s">
        <v>58</v>
      </c>
      <c r="AZ28">
        <v>1</v>
      </c>
      <c r="BA28">
        <v>0.8</v>
      </c>
      <c r="BB28">
        <v>1</v>
      </c>
      <c r="BC28">
        <v>1</v>
      </c>
      <c r="BD28">
        <f>BA28*BB28*1/7</f>
        <v>0.1142857142857143</v>
      </c>
      <c r="BE28">
        <f>AM28+AU28+BD28</f>
        <v>0.1142857142857143</v>
      </c>
      <c r="BF28" t="s">
        <v>58</v>
      </c>
      <c r="BG28">
        <v>0</v>
      </c>
      <c r="BH28">
        <v>1</v>
      </c>
      <c r="BI28">
        <v>1</v>
      </c>
      <c r="BJ28" t="s">
        <v>42</v>
      </c>
      <c r="BK28">
        <v>6</v>
      </c>
      <c r="BL28">
        <v>1</v>
      </c>
      <c r="BM28">
        <v>1</v>
      </c>
      <c r="BN28" t="s">
        <v>55</v>
      </c>
      <c r="BO28">
        <v>2</v>
      </c>
      <c r="BP28">
        <v>67</v>
      </c>
      <c r="BQ28">
        <v>0.1</v>
      </c>
      <c r="BR28">
        <v>1</v>
      </c>
      <c r="BS28">
        <v>0.1</v>
      </c>
      <c r="BT28">
        <f>BS28+BD28+AU28+AM28</f>
        <v>0.2142857142857143</v>
      </c>
      <c r="BU28">
        <v>1</v>
      </c>
      <c r="BV28">
        <v>0.5</v>
      </c>
      <c r="BW28">
        <v>73.25</v>
      </c>
      <c r="BX28">
        <f>BW28/7</f>
        <v>10.464285714285714</v>
      </c>
      <c r="BY28">
        <f>0.00077*BX28</f>
        <v>8.0574999999999987E-3</v>
      </c>
      <c r="BZ28">
        <f t="shared" si="0"/>
        <v>0.2223432142857143</v>
      </c>
    </row>
    <row r="29" spans="1:78">
      <c r="A29" s="1">
        <v>45160.653968692131</v>
      </c>
      <c r="B29" s="6"/>
      <c r="C29">
        <v>28</v>
      </c>
      <c r="D29" s="10">
        <v>32260</v>
      </c>
      <c r="E29">
        <v>35</v>
      </c>
      <c r="F29">
        <v>1</v>
      </c>
      <c r="G29">
        <v>1</v>
      </c>
      <c r="H29">
        <v>5</v>
      </c>
      <c r="I29" s="10">
        <v>45135</v>
      </c>
      <c r="J29">
        <v>2</v>
      </c>
      <c r="K29">
        <v>0</v>
      </c>
      <c r="L29">
        <v>1</v>
      </c>
      <c r="M29">
        <v>3270</v>
      </c>
      <c r="N29">
        <v>2</v>
      </c>
      <c r="O29" s="10">
        <v>44862</v>
      </c>
      <c r="P29">
        <v>0</v>
      </c>
      <c r="Q29">
        <v>39</v>
      </c>
      <c r="R29">
        <v>2</v>
      </c>
      <c r="S29">
        <v>68</v>
      </c>
      <c r="T29">
        <v>163</v>
      </c>
      <c r="U29">
        <v>83</v>
      </c>
      <c r="V29">
        <v>15</v>
      </c>
      <c r="W29">
        <v>3</v>
      </c>
      <c r="X29">
        <v>25.59373706198954</v>
      </c>
      <c r="Y29">
        <v>31.239414355075468</v>
      </c>
      <c r="Z29">
        <v>5.645677293085928</v>
      </c>
      <c r="AA29">
        <v>3</v>
      </c>
      <c r="AB29">
        <v>4</v>
      </c>
      <c r="AC29" t="s">
        <v>33</v>
      </c>
      <c r="AD29">
        <v>3</v>
      </c>
      <c r="AE29">
        <v>0</v>
      </c>
      <c r="AG29">
        <v>5</v>
      </c>
      <c r="AH29">
        <v>1</v>
      </c>
      <c r="AI29">
        <v>4</v>
      </c>
      <c r="AJ29">
        <v>1</v>
      </c>
      <c r="AK29">
        <v>7</v>
      </c>
      <c r="AL29">
        <v>1</v>
      </c>
      <c r="AM29">
        <f>AJ29*AK29*AL29/7</f>
        <v>1</v>
      </c>
      <c r="AN29" t="s">
        <v>43</v>
      </c>
      <c r="AO29">
        <v>0</v>
      </c>
      <c r="AV29">
        <f>AU29+AM29</f>
        <v>1</v>
      </c>
      <c r="AW29" t="s">
        <v>69</v>
      </c>
      <c r="AX29">
        <v>1</v>
      </c>
      <c r="AY29" t="s">
        <v>69</v>
      </c>
      <c r="AZ29">
        <v>6</v>
      </c>
      <c r="BA29">
        <v>0.3</v>
      </c>
      <c r="BB29">
        <v>7</v>
      </c>
      <c r="BC29">
        <v>1</v>
      </c>
      <c r="BD29">
        <f>BA29*BB29*1/7</f>
        <v>0.3</v>
      </c>
      <c r="BE29">
        <f>AM29+AU29+BD29</f>
        <v>1.3</v>
      </c>
      <c r="BF29" t="s">
        <v>69</v>
      </c>
      <c r="BG29">
        <v>0</v>
      </c>
      <c r="BH29">
        <v>7</v>
      </c>
      <c r="BI29">
        <v>1</v>
      </c>
      <c r="BJ29" t="s">
        <v>49</v>
      </c>
      <c r="BK29">
        <v>5</v>
      </c>
      <c r="BL29">
        <v>3</v>
      </c>
      <c r="BM29">
        <v>1</v>
      </c>
      <c r="BN29" t="s">
        <v>55</v>
      </c>
      <c r="BO29">
        <v>2</v>
      </c>
      <c r="BP29">
        <v>67</v>
      </c>
      <c r="BQ29">
        <v>0.1</v>
      </c>
      <c r="BR29">
        <v>1</v>
      </c>
      <c r="BS29">
        <v>0.1</v>
      </c>
      <c r="BT29">
        <f>BS29+BD29+AU29+AM29</f>
        <v>1.4</v>
      </c>
      <c r="BU29">
        <v>1</v>
      </c>
      <c r="BV29">
        <v>2</v>
      </c>
      <c r="BW29">
        <v>293</v>
      </c>
      <c r="BX29">
        <f>BW29/7</f>
        <v>41.857142857142854</v>
      </c>
      <c r="BY29">
        <f>0.00077*BX29</f>
        <v>3.2229999999999995E-2</v>
      </c>
      <c r="BZ29">
        <f t="shared" si="0"/>
        <v>1.4322299999999999</v>
      </c>
    </row>
    <row r="30" spans="1:78">
      <c r="A30" s="1">
        <v>45160.657017812497</v>
      </c>
      <c r="B30" s="6"/>
      <c r="C30">
        <v>29</v>
      </c>
      <c r="D30" s="10">
        <v>32811</v>
      </c>
      <c r="E30">
        <v>33</v>
      </c>
      <c r="F30">
        <v>1</v>
      </c>
      <c r="G30">
        <v>4</v>
      </c>
      <c r="H30">
        <v>4</v>
      </c>
      <c r="I30" s="10">
        <v>44864</v>
      </c>
      <c r="J30">
        <v>1</v>
      </c>
      <c r="K30">
        <v>1</v>
      </c>
      <c r="L30">
        <v>1</v>
      </c>
      <c r="M30">
        <v>4700</v>
      </c>
      <c r="N30">
        <v>3</v>
      </c>
      <c r="O30" s="10">
        <v>44577</v>
      </c>
      <c r="P30">
        <v>0</v>
      </c>
      <c r="Q30">
        <v>41</v>
      </c>
      <c r="R30">
        <v>2</v>
      </c>
      <c r="S30">
        <v>98</v>
      </c>
      <c r="T30">
        <v>166</v>
      </c>
      <c r="U30">
        <v>107</v>
      </c>
      <c r="V30">
        <v>9</v>
      </c>
      <c r="W30">
        <v>2</v>
      </c>
      <c r="X30">
        <v>35.563942517056176</v>
      </c>
      <c r="Y30">
        <v>38.83001887066338</v>
      </c>
      <c r="Z30">
        <v>3.2660763536072039</v>
      </c>
      <c r="AA30">
        <v>4</v>
      </c>
      <c r="AB30">
        <v>4</v>
      </c>
      <c r="AC30" t="s">
        <v>33</v>
      </c>
      <c r="AD30">
        <v>3</v>
      </c>
      <c r="AE30">
        <v>0</v>
      </c>
      <c r="AG30">
        <v>5</v>
      </c>
      <c r="AH30">
        <v>1</v>
      </c>
      <c r="AI30">
        <v>2</v>
      </c>
      <c r="AJ30">
        <v>5</v>
      </c>
      <c r="AK30">
        <v>7</v>
      </c>
      <c r="AL30">
        <v>1</v>
      </c>
      <c r="AM30">
        <f>AJ30*AK30*AL30/7</f>
        <v>5</v>
      </c>
      <c r="AN30" t="s">
        <v>57</v>
      </c>
      <c r="AO30">
        <v>0</v>
      </c>
      <c r="AV30">
        <f>AU30+AM30</f>
        <v>5</v>
      </c>
      <c r="AW30" t="s">
        <v>71</v>
      </c>
      <c r="AX30">
        <v>1</v>
      </c>
      <c r="AY30" t="s">
        <v>71</v>
      </c>
      <c r="AZ30">
        <v>5</v>
      </c>
      <c r="BA30">
        <v>0.4</v>
      </c>
      <c r="BB30">
        <v>7</v>
      </c>
      <c r="BC30">
        <v>1</v>
      </c>
      <c r="BD30">
        <f>BA30*BB30*1/7</f>
        <v>0.4</v>
      </c>
      <c r="BE30">
        <f>AM30+AU30+BD30</f>
        <v>5.4</v>
      </c>
      <c r="BF30" t="s">
        <v>71</v>
      </c>
      <c r="BG30">
        <v>0</v>
      </c>
      <c r="BH30">
        <v>7</v>
      </c>
      <c r="BI30">
        <v>1</v>
      </c>
      <c r="BJ30" t="s">
        <v>28</v>
      </c>
      <c r="BK30">
        <v>3</v>
      </c>
      <c r="BL30">
        <v>1</v>
      </c>
      <c r="BM30">
        <v>1</v>
      </c>
      <c r="BN30" t="s">
        <v>55</v>
      </c>
      <c r="BO30">
        <v>2</v>
      </c>
      <c r="BP30">
        <v>201</v>
      </c>
      <c r="BQ30">
        <v>0.1</v>
      </c>
      <c r="BR30">
        <v>3</v>
      </c>
      <c r="BS30">
        <v>0.30000000000000004</v>
      </c>
      <c r="BT30">
        <f>BS30+BD30+AU30+AM30</f>
        <v>5.7</v>
      </c>
      <c r="BU30">
        <v>1</v>
      </c>
      <c r="BV30">
        <v>1</v>
      </c>
      <c r="BW30">
        <v>146.5</v>
      </c>
      <c r="BX30">
        <f>BW30/7</f>
        <v>20.928571428571427</v>
      </c>
      <c r="BY30">
        <f>0.00077*BX30</f>
        <v>1.6114999999999997E-2</v>
      </c>
      <c r="BZ30">
        <f t="shared" si="0"/>
        <v>5.7161150000000003</v>
      </c>
    </row>
    <row r="31" spans="1:78">
      <c r="A31" s="1">
        <v>45160.657546597227</v>
      </c>
      <c r="B31" s="6"/>
      <c r="C31">
        <v>30</v>
      </c>
      <c r="D31" s="10">
        <v>32496</v>
      </c>
      <c r="E31">
        <v>34</v>
      </c>
      <c r="F31">
        <v>1</v>
      </c>
      <c r="G31">
        <v>2</v>
      </c>
      <c r="H31">
        <v>5</v>
      </c>
      <c r="I31" s="10">
        <v>44985</v>
      </c>
      <c r="J31">
        <v>1</v>
      </c>
      <c r="K31">
        <v>1</v>
      </c>
      <c r="L31">
        <v>1</v>
      </c>
      <c r="M31">
        <v>2950</v>
      </c>
      <c r="N31">
        <v>2</v>
      </c>
      <c r="O31" s="10">
        <v>44719</v>
      </c>
      <c r="P31">
        <v>0</v>
      </c>
      <c r="Q31">
        <v>38</v>
      </c>
      <c r="R31">
        <v>2</v>
      </c>
      <c r="S31">
        <v>63</v>
      </c>
      <c r="T31">
        <v>170</v>
      </c>
      <c r="U31">
        <v>75</v>
      </c>
      <c r="V31">
        <v>12</v>
      </c>
      <c r="W31">
        <v>2</v>
      </c>
      <c r="X31">
        <v>21.79930795847751</v>
      </c>
      <c r="Y31">
        <v>25.95155709342561</v>
      </c>
      <c r="Z31">
        <v>4.1522491349481001</v>
      </c>
      <c r="AA31">
        <v>2</v>
      </c>
      <c r="AB31">
        <v>3</v>
      </c>
      <c r="AC31" t="s">
        <v>33</v>
      </c>
      <c r="AD31">
        <v>3</v>
      </c>
      <c r="AE31">
        <v>0</v>
      </c>
      <c r="AG31">
        <v>5</v>
      </c>
      <c r="AH31">
        <v>1</v>
      </c>
      <c r="AI31">
        <v>4</v>
      </c>
      <c r="AJ31">
        <v>1</v>
      </c>
      <c r="AK31">
        <v>7</v>
      </c>
      <c r="AL31">
        <v>1</v>
      </c>
      <c r="AM31">
        <f>AJ31*AK31*AL31/7</f>
        <v>1</v>
      </c>
      <c r="AN31" t="s">
        <v>43</v>
      </c>
      <c r="AO31">
        <v>0</v>
      </c>
      <c r="AV31">
        <f>AU31+AM31</f>
        <v>1</v>
      </c>
      <c r="AW31" t="s">
        <v>73</v>
      </c>
      <c r="AX31">
        <v>1</v>
      </c>
      <c r="AY31" t="s">
        <v>69</v>
      </c>
      <c r="AZ31">
        <v>6</v>
      </c>
      <c r="BA31">
        <v>0.3</v>
      </c>
      <c r="BB31">
        <v>7</v>
      </c>
      <c r="BC31">
        <v>2</v>
      </c>
      <c r="BD31">
        <f>BA31*BB31*1/7</f>
        <v>0.3</v>
      </c>
      <c r="BE31">
        <f>AM31+AU31+BD31</f>
        <v>1.3</v>
      </c>
      <c r="BF31" t="s">
        <v>73</v>
      </c>
      <c r="BG31">
        <v>1</v>
      </c>
      <c r="BH31">
        <v>7</v>
      </c>
      <c r="BI31">
        <v>2</v>
      </c>
      <c r="BJ31" t="s">
        <v>28</v>
      </c>
      <c r="BK31">
        <v>3</v>
      </c>
      <c r="BL31">
        <v>1</v>
      </c>
      <c r="BM31">
        <v>1</v>
      </c>
      <c r="BN31" t="s">
        <v>37</v>
      </c>
      <c r="BO31">
        <v>4</v>
      </c>
      <c r="BP31">
        <v>55</v>
      </c>
      <c r="BQ31">
        <v>0.05</v>
      </c>
      <c r="BR31">
        <v>1</v>
      </c>
      <c r="BS31">
        <v>0.05</v>
      </c>
      <c r="BT31">
        <f>BS31+BD31+AU31+AM31</f>
        <v>1.35</v>
      </c>
      <c r="BU31">
        <v>1</v>
      </c>
      <c r="BV31">
        <v>1</v>
      </c>
      <c r="BW31">
        <v>146.5</v>
      </c>
      <c r="BX31">
        <f>BW31/7</f>
        <v>20.928571428571427</v>
      </c>
      <c r="BY31">
        <f>0.00077*BX31</f>
        <v>1.6114999999999997E-2</v>
      </c>
      <c r="BZ31">
        <f t="shared" si="0"/>
        <v>1.3661150000000002</v>
      </c>
    </row>
    <row r="32" spans="1:78">
      <c r="A32" s="1">
        <v>45160.663209999999</v>
      </c>
      <c r="B32" s="9" t="s">
        <v>866</v>
      </c>
      <c r="C32">
        <v>31</v>
      </c>
      <c r="D32" s="10">
        <v>32972</v>
      </c>
      <c r="E32">
        <v>33</v>
      </c>
      <c r="F32">
        <v>1</v>
      </c>
      <c r="G32">
        <v>1</v>
      </c>
      <c r="H32">
        <v>4</v>
      </c>
      <c r="I32" s="10">
        <v>44932</v>
      </c>
      <c r="J32">
        <v>2</v>
      </c>
      <c r="K32">
        <v>0</v>
      </c>
      <c r="L32">
        <v>1</v>
      </c>
      <c r="M32">
        <v>3000</v>
      </c>
      <c r="N32">
        <v>2</v>
      </c>
      <c r="O32" s="10">
        <v>44673</v>
      </c>
      <c r="P32">
        <v>0</v>
      </c>
      <c r="Q32">
        <v>37</v>
      </c>
      <c r="R32">
        <v>2</v>
      </c>
      <c r="S32">
        <v>52</v>
      </c>
      <c r="T32">
        <v>158</v>
      </c>
      <c r="U32">
        <v>67</v>
      </c>
      <c r="V32">
        <v>15</v>
      </c>
      <c r="W32">
        <v>2</v>
      </c>
      <c r="X32">
        <v>20.82999519307803</v>
      </c>
      <c r="Y32">
        <v>26.83864765261977</v>
      </c>
      <c r="Z32">
        <v>6.0086524595417394</v>
      </c>
      <c r="AA32">
        <v>2</v>
      </c>
      <c r="AB32">
        <v>3</v>
      </c>
      <c r="AC32" t="s">
        <v>33</v>
      </c>
      <c r="AD32">
        <v>3</v>
      </c>
      <c r="AE32">
        <v>0</v>
      </c>
      <c r="AG32">
        <v>5</v>
      </c>
      <c r="AH32">
        <v>1</v>
      </c>
      <c r="AI32" t="s">
        <v>258</v>
      </c>
      <c r="AJ32" t="s">
        <v>258</v>
      </c>
      <c r="AK32">
        <v>7</v>
      </c>
      <c r="AL32">
        <v>1</v>
      </c>
      <c r="AM32" t="s">
        <v>258</v>
      </c>
      <c r="AN32" t="s">
        <v>316</v>
      </c>
      <c r="AO32">
        <v>0</v>
      </c>
      <c r="AW32" t="s">
        <v>635</v>
      </c>
      <c r="AX32">
        <v>1</v>
      </c>
      <c r="AY32" t="s">
        <v>635</v>
      </c>
      <c r="AZ32">
        <v>16</v>
      </c>
      <c r="BA32" t="s">
        <v>258</v>
      </c>
      <c r="BB32">
        <v>7</v>
      </c>
      <c r="BC32">
        <v>1</v>
      </c>
      <c r="BE32" t="s">
        <v>258</v>
      </c>
      <c r="BF32" t="s">
        <v>635</v>
      </c>
      <c r="BG32">
        <v>0</v>
      </c>
      <c r="BH32">
        <v>7</v>
      </c>
      <c r="BI32">
        <v>1</v>
      </c>
      <c r="BJ32" t="s">
        <v>28</v>
      </c>
      <c r="BK32">
        <v>3</v>
      </c>
      <c r="BL32">
        <v>4</v>
      </c>
      <c r="BM32">
        <v>1</v>
      </c>
      <c r="BN32" t="s">
        <v>59</v>
      </c>
      <c r="BO32">
        <v>3</v>
      </c>
      <c r="BP32">
        <v>112</v>
      </c>
      <c r="BQ32">
        <v>0.08</v>
      </c>
      <c r="BR32">
        <v>2</v>
      </c>
      <c r="BS32">
        <v>0.16</v>
      </c>
      <c r="BT32" t="e">
        <f>BS32+BD32+AU32+AM32</f>
        <v>#VALUE!</v>
      </c>
      <c r="BU32">
        <v>1</v>
      </c>
      <c r="BV32">
        <v>1</v>
      </c>
      <c r="BW32">
        <v>146.5</v>
      </c>
      <c r="BX32">
        <f>BW32/7</f>
        <v>20.928571428571427</v>
      </c>
      <c r="BY32">
        <f>0.00077*BX32</f>
        <v>1.6114999999999997E-2</v>
      </c>
      <c r="BZ32" t="e">
        <f t="shared" si="0"/>
        <v>#VALUE!</v>
      </c>
    </row>
    <row r="33" spans="1:78">
      <c r="A33" s="1">
        <v>45160.664529386573</v>
      </c>
      <c r="B33" s="9"/>
      <c r="C33">
        <v>32</v>
      </c>
      <c r="D33" s="10">
        <v>33102</v>
      </c>
      <c r="E33">
        <v>33</v>
      </c>
      <c r="F33">
        <v>1</v>
      </c>
      <c r="G33">
        <v>1</v>
      </c>
      <c r="H33">
        <v>4</v>
      </c>
      <c r="I33" s="10">
        <v>44443</v>
      </c>
      <c r="J33">
        <v>1</v>
      </c>
      <c r="K33">
        <v>1</v>
      </c>
      <c r="L33">
        <v>1</v>
      </c>
      <c r="M33">
        <v>2390</v>
      </c>
      <c r="N33">
        <v>1</v>
      </c>
      <c r="O33" s="10">
        <v>44170</v>
      </c>
      <c r="P33">
        <v>1</v>
      </c>
      <c r="Q33">
        <v>39</v>
      </c>
      <c r="R33">
        <v>2</v>
      </c>
      <c r="S33">
        <v>47</v>
      </c>
      <c r="T33">
        <v>153</v>
      </c>
      <c r="U33">
        <v>55</v>
      </c>
      <c r="V33">
        <v>8</v>
      </c>
      <c r="W33">
        <v>1</v>
      </c>
      <c r="X33">
        <v>20.077747874749029</v>
      </c>
      <c r="Y33">
        <v>23.495236874706311</v>
      </c>
      <c r="Z33">
        <v>3.4174889999572819</v>
      </c>
      <c r="AA33">
        <v>2</v>
      </c>
      <c r="AB33">
        <v>2</v>
      </c>
      <c r="AC33" t="s">
        <v>33</v>
      </c>
      <c r="AD33">
        <v>3</v>
      </c>
      <c r="AE33">
        <v>0</v>
      </c>
      <c r="AG33">
        <v>5</v>
      </c>
      <c r="AH33">
        <v>1</v>
      </c>
      <c r="AI33">
        <v>4</v>
      </c>
      <c r="AJ33">
        <v>1</v>
      </c>
      <c r="AK33">
        <v>7</v>
      </c>
      <c r="AL33">
        <v>1</v>
      </c>
      <c r="AM33">
        <f>AJ33*AK33*AL33/7</f>
        <v>1</v>
      </c>
      <c r="AN33" t="s">
        <v>43</v>
      </c>
      <c r="AO33">
        <v>0</v>
      </c>
      <c r="AV33">
        <f>AU33+AM33</f>
        <v>1</v>
      </c>
      <c r="AW33" t="s">
        <v>74</v>
      </c>
      <c r="AX33">
        <v>0</v>
      </c>
      <c r="BE33">
        <f>AM33+AU33+BD33</f>
        <v>1</v>
      </c>
      <c r="BF33" t="s">
        <v>74</v>
      </c>
      <c r="BG33">
        <v>1</v>
      </c>
      <c r="BH33">
        <v>7</v>
      </c>
      <c r="BI33">
        <v>1</v>
      </c>
      <c r="BJ33" t="s">
        <v>28</v>
      </c>
      <c r="BK33">
        <v>3</v>
      </c>
      <c r="BL33">
        <v>1</v>
      </c>
      <c r="BM33">
        <v>1</v>
      </c>
      <c r="BN33" t="s">
        <v>30</v>
      </c>
      <c r="BO33">
        <v>1</v>
      </c>
      <c r="BP33">
        <v>84</v>
      </c>
      <c r="BQ33">
        <v>0.13</v>
      </c>
      <c r="BR33">
        <v>1</v>
      </c>
      <c r="BS33">
        <v>0.13</v>
      </c>
      <c r="BT33">
        <f>BS33+BD33+AU33+AM33</f>
        <v>1.1299999999999999</v>
      </c>
      <c r="BU33">
        <v>1</v>
      </c>
      <c r="BV33">
        <v>5</v>
      </c>
      <c r="BW33">
        <v>732.5</v>
      </c>
      <c r="BX33">
        <f>BW33/7</f>
        <v>104.64285714285714</v>
      </c>
      <c r="BY33">
        <f>0.00077*BX33</f>
        <v>8.0574999999999994E-2</v>
      </c>
      <c r="BZ33">
        <f t="shared" si="0"/>
        <v>1.210575</v>
      </c>
    </row>
    <row r="34" spans="1:78">
      <c r="A34" s="1">
        <v>45160.66930292824</v>
      </c>
      <c r="B34" s="6"/>
      <c r="C34">
        <v>33</v>
      </c>
      <c r="D34" s="10">
        <v>32578</v>
      </c>
      <c r="E34">
        <v>34</v>
      </c>
      <c r="F34">
        <v>1</v>
      </c>
      <c r="G34">
        <v>2</v>
      </c>
      <c r="H34">
        <v>4</v>
      </c>
      <c r="I34" s="10">
        <v>44988</v>
      </c>
      <c r="J34">
        <v>2</v>
      </c>
      <c r="K34">
        <v>0</v>
      </c>
      <c r="L34">
        <v>1</v>
      </c>
      <c r="M34">
        <v>3000</v>
      </c>
      <c r="N34">
        <v>2</v>
      </c>
      <c r="O34" s="10">
        <v>44722</v>
      </c>
      <c r="P34">
        <v>0</v>
      </c>
      <c r="Q34">
        <v>38</v>
      </c>
      <c r="R34">
        <v>2</v>
      </c>
      <c r="S34">
        <v>58</v>
      </c>
      <c r="T34">
        <v>164</v>
      </c>
      <c r="U34">
        <v>83</v>
      </c>
      <c r="V34">
        <v>25</v>
      </c>
      <c r="W34">
        <v>3</v>
      </c>
      <c r="X34">
        <v>21.564544913741823</v>
      </c>
      <c r="Y34">
        <v>30.859607376561577</v>
      </c>
      <c r="Z34">
        <v>9.2950624628197538</v>
      </c>
      <c r="AA34">
        <v>2</v>
      </c>
      <c r="AB34">
        <v>4</v>
      </c>
      <c r="AC34" t="s">
        <v>25</v>
      </c>
      <c r="AD34">
        <v>1</v>
      </c>
      <c r="AE34">
        <v>0</v>
      </c>
      <c r="AG34">
        <v>5</v>
      </c>
      <c r="AH34">
        <v>1</v>
      </c>
      <c r="AI34">
        <v>5</v>
      </c>
      <c r="AJ34">
        <v>5</v>
      </c>
      <c r="AK34">
        <v>7</v>
      </c>
      <c r="AL34">
        <v>1</v>
      </c>
      <c r="AM34">
        <f>AJ34*AK34*AL34/7</f>
        <v>5</v>
      </c>
      <c r="AN34" t="s">
        <v>27</v>
      </c>
      <c r="AO34">
        <v>0</v>
      </c>
      <c r="AV34">
        <f>AU34+AM34</f>
        <v>5</v>
      </c>
      <c r="AW34" t="s">
        <v>77</v>
      </c>
      <c r="AX34">
        <v>0</v>
      </c>
      <c r="BE34">
        <f>AM34+AU34+BD34</f>
        <v>5</v>
      </c>
      <c r="BF34" t="s">
        <v>77</v>
      </c>
      <c r="BG34">
        <v>1</v>
      </c>
      <c r="BH34">
        <v>7</v>
      </c>
      <c r="BI34">
        <v>1</v>
      </c>
      <c r="BJ34" t="s">
        <v>36</v>
      </c>
      <c r="BK34">
        <v>4</v>
      </c>
      <c r="BL34">
        <v>1</v>
      </c>
      <c r="BM34">
        <v>1</v>
      </c>
      <c r="BN34" t="s">
        <v>78</v>
      </c>
      <c r="BO34">
        <v>9</v>
      </c>
      <c r="BP34">
        <v>118</v>
      </c>
      <c r="BQ34">
        <v>0.09</v>
      </c>
      <c r="BR34">
        <v>2</v>
      </c>
      <c r="BS34">
        <v>0.18</v>
      </c>
      <c r="BT34">
        <f>BS34+BD34+AU34+AM34</f>
        <v>5.18</v>
      </c>
      <c r="BU34">
        <v>1</v>
      </c>
      <c r="BV34">
        <v>3</v>
      </c>
      <c r="BW34">
        <v>439.5</v>
      </c>
      <c r="BX34">
        <f>BW34/7</f>
        <v>62.785714285714285</v>
      </c>
      <c r="BY34">
        <f>0.00077*BX34</f>
        <v>4.8344999999999999E-2</v>
      </c>
      <c r="BZ34">
        <f t="shared" si="0"/>
        <v>5.228345</v>
      </c>
    </row>
    <row r="35" spans="1:78">
      <c r="A35" s="1">
        <v>45160.67100855324</v>
      </c>
      <c r="B35" s="6"/>
      <c r="C35">
        <v>34</v>
      </c>
      <c r="D35" s="10">
        <v>34053</v>
      </c>
      <c r="E35">
        <v>30</v>
      </c>
      <c r="F35">
        <v>1</v>
      </c>
      <c r="G35">
        <v>4</v>
      </c>
      <c r="H35">
        <v>4</v>
      </c>
      <c r="I35" s="10">
        <v>44578</v>
      </c>
      <c r="J35">
        <v>1</v>
      </c>
      <c r="K35">
        <v>1</v>
      </c>
      <c r="L35">
        <v>1</v>
      </c>
      <c r="M35">
        <v>3750</v>
      </c>
      <c r="N35">
        <v>2</v>
      </c>
      <c r="O35" s="10">
        <v>44312</v>
      </c>
      <c r="P35">
        <v>1</v>
      </c>
      <c r="Q35">
        <v>38</v>
      </c>
      <c r="R35">
        <v>2</v>
      </c>
      <c r="S35">
        <v>68</v>
      </c>
      <c r="T35">
        <v>164</v>
      </c>
      <c r="U35">
        <v>80</v>
      </c>
      <c r="V35">
        <v>12</v>
      </c>
      <c r="W35">
        <v>3</v>
      </c>
      <c r="X35">
        <v>25.282569898869724</v>
      </c>
      <c r="Y35">
        <v>29.744199881023206</v>
      </c>
      <c r="Z35">
        <v>4.4616299821534824</v>
      </c>
      <c r="AA35">
        <v>3</v>
      </c>
      <c r="AB35">
        <v>3</v>
      </c>
      <c r="AC35" t="s">
        <v>33</v>
      </c>
      <c r="AD35">
        <v>3</v>
      </c>
      <c r="AE35">
        <v>0</v>
      </c>
      <c r="AG35">
        <v>5</v>
      </c>
      <c r="AH35">
        <v>1</v>
      </c>
      <c r="AI35">
        <v>13</v>
      </c>
      <c r="AJ35">
        <v>1</v>
      </c>
      <c r="AK35">
        <v>7</v>
      </c>
      <c r="AL35">
        <v>1</v>
      </c>
      <c r="AM35">
        <f>AJ35*AK35*AL35/7</f>
        <v>1</v>
      </c>
      <c r="AN35" t="s">
        <v>79</v>
      </c>
      <c r="AO35">
        <v>0</v>
      </c>
      <c r="AV35">
        <f>AU35+AM35</f>
        <v>1</v>
      </c>
      <c r="AW35" t="s">
        <v>80</v>
      </c>
      <c r="AX35">
        <v>0</v>
      </c>
      <c r="BE35">
        <f>AM35+AU35+BD35</f>
        <v>1</v>
      </c>
      <c r="BF35" t="s">
        <v>80</v>
      </c>
      <c r="BG35">
        <v>1</v>
      </c>
      <c r="BH35">
        <v>7</v>
      </c>
      <c r="BI35">
        <v>1</v>
      </c>
      <c r="BJ35" t="s">
        <v>49</v>
      </c>
      <c r="BK35">
        <v>5</v>
      </c>
      <c r="BL35">
        <v>1</v>
      </c>
      <c r="BM35">
        <v>1</v>
      </c>
      <c r="BN35" t="s">
        <v>55</v>
      </c>
      <c r="BO35">
        <v>2</v>
      </c>
      <c r="BP35">
        <v>67</v>
      </c>
      <c r="BQ35">
        <v>0.1</v>
      </c>
      <c r="BR35">
        <v>1</v>
      </c>
      <c r="BS35">
        <v>0.1</v>
      </c>
      <c r="BT35">
        <f>BS35+BD35+AU35+AM35</f>
        <v>1.1000000000000001</v>
      </c>
      <c r="BU35">
        <v>1</v>
      </c>
      <c r="BV35">
        <v>1</v>
      </c>
      <c r="BW35">
        <v>146.5</v>
      </c>
      <c r="BX35">
        <f>BW35/7</f>
        <v>20.928571428571427</v>
      </c>
      <c r="BY35">
        <f>0.00077*BX35</f>
        <v>1.6114999999999997E-2</v>
      </c>
      <c r="BZ35">
        <f t="shared" si="0"/>
        <v>1.1161150000000002</v>
      </c>
    </row>
    <row r="36" spans="1:78">
      <c r="A36" s="1">
        <v>45160.672496863423</v>
      </c>
      <c r="B36" s="6"/>
      <c r="C36">
        <v>35</v>
      </c>
      <c r="D36" s="10">
        <v>31388</v>
      </c>
      <c r="E36">
        <v>37</v>
      </c>
      <c r="F36">
        <v>1</v>
      </c>
      <c r="G36">
        <v>1</v>
      </c>
      <c r="H36">
        <v>4</v>
      </c>
      <c r="I36" s="10">
        <v>45101</v>
      </c>
      <c r="J36">
        <v>2</v>
      </c>
      <c r="K36">
        <v>0</v>
      </c>
      <c r="L36">
        <v>2</v>
      </c>
      <c r="M36">
        <v>2245</v>
      </c>
      <c r="N36">
        <v>1</v>
      </c>
      <c r="O36" s="10">
        <v>44834</v>
      </c>
      <c r="P36">
        <v>0</v>
      </c>
      <c r="Q36">
        <v>38.142857142857146</v>
      </c>
      <c r="R36">
        <v>2</v>
      </c>
      <c r="S36">
        <v>83</v>
      </c>
      <c r="T36">
        <v>167</v>
      </c>
      <c r="U36">
        <v>89</v>
      </c>
      <c r="V36">
        <v>6</v>
      </c>
      <c r="W36">
        <v>1</v>
      </c>
      <c r="X36">
        <v>29.760837606224676</v>
      </c>
      <c r="Y36">
        <v>31.912223457277065</v>
      </c>
      <c r="Z36">
        <v>2.1513858510523889</v>
      </c>
      <c r="AA36">
        <v>3</v>
      </c>
      <c r="AB36">
        <v>4</v>
      </c>
      <c r="AC36" t="s">
        <v>33</v>
      </c>
      <c r="AD36">
        <v>3</v>
      </c>
      <c r="AE36">
        <v>0</v>
      </c>
      <c r="AG36">
        <v>5</v>
      </c>
      <c r="AH36">
        <v>0</v>
      </c>
      <c r="AI36">
        <v>0</v>
      </c>
      <c r="AN36" t="s">
        <v>41</v>
      </c>
      <c r="AO36">
        <v>0</v>
      </c>
      <c r="AW36" t="s">
        <v>58</v>
      </c>
      <c r="AX36">
        <v>1</v>
      </c>
      <c r="AY36" t="s">
        <v>58</v>
      </c>
      <c r="AZ36">
        <v>1</v>
      </c>
      <c r="BA36">
        <v>0.8</v>
      </c>
      <c r="BB36">
        <v>4</v>
      </c>
      <c r="BC36">
        <v>1</v>
      </c>
      <c r="BD36">
        <f>BA36*BB36*1/7</f>
        <v>0.45714285714285718</v>
      </c>
      <c r="BE36">
        <f>AM36+AU36+BD36</f>
        <v>0.45714285714285718</v>
      </c>
      <c r="BF36" t="s">
        <v>58</v>
      </c>
      <c r="BG36">
        <v>0</v>
      </c>
      <c r="BH36">
        <v>4</v>
      </c>
      <c r="BI36">
        <v>1</v>
      </c>
      <c r="BJ36" t="s">
        <v>36</v>
      </c>
      <c r="BK36">
        <v>4</v>
      </c>
      <c r="BL36">
        <v>1</v>
      </c>
      <c r="BM36">
        <v>1</v>
      </c>
      <c r="BN36" t="s">
        <v>63</v>
      </c>
      <c r="BO36">
        <v>5</v>
      </c>
      <c r="BP36">
        <v>24</v>
      </c>
      <c r="BQ36">
        <v>0.06</v>
      </c>
      <c r="BR36">
        <v>0.5</v>
      </c>
      <c r="BS36">
        <v>0.03</v>
      </c>
      <c r="BT36">
        <f>BS36+BD36+AU36+AM36</f>
        <v>0.48714285714285721</v>
      </c>
      <c r="BU36">
        <v>1</v>
      </c>
      <c r="BV36">
        <v>1</v>
      </c>
      <c r="BW36">
        <v>146.5</v>
      </c>
      <c r="BX36">
        <f>BW36/7</f>
        <v>20.928571428571427</v>
      </c>
      <c r="BY36">
        <f>0.00077*BX36</f>
        <v>1.6114999999999997E-2</v>
      </c>
      <c r="BZ36">
        <f t="shared" si="0"/>
        <v>0.5032578571428572</v>
      </c>
    </row>
    <row r="37" spans="1:78">
      <c r="A37" s="1">
        <v>45160.672657418982</v>
      </c>
      <c r="B37" s="6"/>
      <c r="C37">
        <v>36</v>
      </c>
      <c r="D37" s="10">
        <v>31387</v>
      </c>
      <c r="E37">
        <v>37</v>
      </c>
      <c r="F37">
        <v>1</v>
      </c>
      <c r="G37">
        <v>9</v>
      </c>
      <c r="H37">
        <v>4</v>
      </c>
      <c r="I37" s="10">
        <v>44430</v>
      </c>
      <c r="J37">
        <v>1</v>
      </c>
      <c r="K37">
        <v>1</v>
      </c>
      <c r="L37">
        <v>2</v>
      </c>
      <c r="M37">
        <v>3300</v>
      </c>
      <c r="N37">
        <v>2</v>
      </c>
      <c r="O37" s="10">
        <v>44164</v>
      </c>
      <c r="P37">
        <v>1</v>
      </c>
      <c r="Q37">
        <v>38</v>
      </c>
      <c r="R37">
        <v>2</v>
      </c>
      <c r="S37">
        <v>69</v>
      </c>
      <c r="T37">
        <v>161</v>
      </c>
      <c r="U37">
        <v>80</v>
      </c>
      <c r="V37">
        <v>11</v>
      </c>
      <c r="W37">
        <v>2</v>
      </c>
      <c r="X37">
        <v>26.619343389529721</v>
      </c>
      <c r="Y37">
        <v>30.863006828440259</v>
      </c>
      <c r="Z37">
        <v>4.2436634389105379</v>
      </c>
      <c r="AA37">
        <v>3</v>
      </c>
      <c r="AB37">
        <v>4</v>
      </c>
      <c r="AC37" t="s">
        <v>50</v>
      </c>
      <c r="AD37">
        <v>2</v>
      </c>
      <c r="AE37">
        <v>0</v>
      </c>
      <c r="AG37">
        <v>5</v>
      </c>
      <c r="AH37">
        <v>1</v>
      </c>
      <c r="AI37">
        <v>11</v>
      </c>
      <c r="AJ37">
        <v>5</v>
      </c>
      <c r="AK37">
        <v>7</v>
      </c>
      <c r="AL37">
        <v>1</v>
      </c>
      <c r="AM37">
        <f>AJ37*AK37*AL37/7</f>
        <v>5</v>
      </c>
      <c r="AN37" t="s">
        <v>81</v>
      </c>
      <c r="AO37">
        <v>1</v>
      </c>
      <c r="AP37">
        <v>18</v>
      </c>
      <c r="AQ37" t="s">
        <v>217</v>
      </c>
      <c r="AR37">
        <v>2</v>
      </c>
      <c r="AS37">
        <v>7</v>
      </c>
      <c r="AT37">
        <v>1</v>
      </c>
      <c r="AU37">
        <f>AR37*AS37*AT37/7</f>
        <v>2</v>
      </c>
      <c r="AV37">
        <f>AU37+AM37</f>
        <v>7</v>
      </c>
      <c r="AW37" t="s">
        <v>82</v>
      </c>
      <c r="AX37">
        <v>1</v>
      </c>
      <c r="AY37" t="s">
        <v>98</v>
      </c>
      <c r="AZ37">
        <v>14</v>
      </c>
      <c r="BA37">
        <v>0.5</v>
      </c>
      <c r="BB37">
        <v>7</v>
      </c>
      <c r="BC37">
        <v>1</v>
      </c>
      <c r="BD37">
        <f>BA37*BB37*1/7</f>
        <v>0.5</v>
      </c>
      <c r="BE37">
        <f>AM37+AU37+BD37</f>
        <v>7.5</v>
      </c>
      <c r="BF37" t="s">
        <v>888</v>
      </c>
      <c r="BG37">
        <v>1</v>
      </c>
      <c r="BH37">
        <v>7</v>
      </c>
      <c r="BI37">
        <v>1</v>
      </c>
      <c r="BJ37" t="s">
        <v>49</v>
      </c>
      <c r="BK37">
        <v>5</v>
      </c>
      <c r="BL37">
        <v>3</v>
      </c>
      <c r="BM37">
        <v>1</v>
      </c>
      <c r="BN37" t="s">
        <v>30</v>
      </c>
      <c r="BO37">
        <v>1</v>
      </c>
      <c r="BP37">
        <v>168</v>
      </c>
      <c r="BQ37">
        <v>0.13</v>
      </c>
      <c r="BR37">
        <v>2</v>
      </c>
      <c r="BS37">
        <v>0.26</v>
      </c>
      <c r="BT37">
        <f>BS37+BD37+AU37+AM37</f>
        <v>7.76</v>
      </c>
      <c r="BU37">
        <v>1</v>
      </c>
      <c r="BV37">
        <v>0.5</v>
      </c>
      <c r="BW37">
        <v>73.25</v>
      </c>
      <c r="BX37">
        <f>BW37/7</f>
        <v>10.464285714285714</v>
      </c>
      <c r="BY37">
        <f>0.00077*BX37</f>
        <v>8.0574999999999987E-3</v>
      </c>
      <c r="BZ37">
        <f t="shared" si="0"/>
        <v>7.7680574999999994</v>
      </c>
    </row>
    <row r="38" spans="1:78">
      <c r="A38" s="1">
        <v>45160.689296296296</v>
      </c>
      <c r="B38" s="6"/>
      <c r="C38">
        <v>37</v>
      </c>
      <c r="D38" s="10">
        <v>29708</v>
      </c>
      <c r="E38">
        <v>42</v>
      </c>
      <c r="F38">
        <v>2</v>
      </c>
      <c r="G38">
        <v>1</v>
      </c>
      <c r="H38">
        <v>5</v>
      </c>
      <c r="I38" s="10">
        <v>43857</v>
      </c>
      <c r="J38">
        <v>2</v>
      </c>
      <c r="K38">
        <v>0</v>
      </c>
      <c r="L38">
        <v>1</v>
      </c>
      <c r="M38">
        <v>3560</v>
      </c>
      <c r="N38">
        <v>2</v>
      </c>
      <c r="O38" s="10">
        <v>43577</v>
      </c>
      <c r="P38">
        <v>0</v>
      </c>
      <c r="Q38">
        <v>40</v>
      </c>
      <c r="R38">
        <v>2</v>
      </c>
      <c r="S38">
        <v>65</v>
      </c>
      <c r="T38">
        <v>153</v>
      </c>
      <c r="U38">
        <v>70</v>
      </c>
      <c r="V38">
        <v>5</v>
      </c>
      <c r="W38">
        <v>1</v>
      </c>
      <c r="X38">
        <v>27.767098124652911</v>
      </c>
      <c r="Y38">
        <v>29.903028749626213</v>
      </c>
      <c r="Z38">
        <v>2.1359306249733017</v>
      </c>
      <c r="AA38">
        <v>3</v>
      </c>
      <c r="AB38">
        <v>3</v>
      </c>
      <c r="AC38" t="s">
        <v>33</v>
      </c>
      <c r="AD38">
        <v>3</v>
      </c>
      <c r="AE38">
        <v>1</v>
      </c>
      <c r="AF38" t="s">
        <v>84</v>
      </c>
      <c r="AG38" t="e">
        <v>#N/A</v>
      </c>
      <c r="AH38">
        <v>1</v>
      </c>
      <c r="AI38">
        <v>2</v>
      </c>
      <c r="AJ38">
        <v>5</v>
      </c>
      <c r="AK38">
        <v>7</v>
      </c>
      <c r="AL38">
        <v>1</v>
      </c>
      <c r="AM38">
        <f>AJ38*AK38*AL38/7</f>
        <v>5</v>
      </c>
      <c r="AN38" t="s">
        <v>57</v>
      </c>
      <c r="AO38">
        <v>0</v>
      </c>
      <c r="AV38">
        <f>AU38+AM38</f>
        <v>5</v>
      </c>
      <c r="AX38">
        <v>0</v>
      </c>
      <c r="BE38">
        <f>AM38+AU38+BD38</f>
        <v>5</v>
      </c>
      <c r="BG38">
        <v>0</v>
      </c>
      <c r="BJ38" t="s">
        <v>36</v>
      </c>
      <c r="BK38">
        <v>4</v>
      </c>
      <c r="BL38">
        <v>1</v>
      </c>
      <c r="BM38">
        <v>1</v>
      </c>
      <c r="BN38" t="s">
        <v>37</v>
      </c>
      <c r="BO38">
        <v>4</v>
      </c>
      <c r="BP38">
        <v>110</v>
      </c>
      <c r="BQ38">
        <v>0.05</v>
      </c>
      <c r="BR38">
        <v>2</v>
      </c>
      <c r="BS38">
        <v>0.1</v>
      </c>
      <c r="BT38">
        <f>BS38+BD38+AU38+AM38</f>
        <v>5.0999999999999996</v>
      </c>
      <c r="BU38">
        <v>1</v>
      </c>
      <c r="BV38">
        <v>2</v>
      </c>
      <c r="BW38">
        <v>293</v>
      </c>
      <c r="BX38">
        <f>BW38/7</f>
        <v>41.857142857142854</v>
      </c>
      <c r="BY38">
        <f>0.00077*BX38</f>
        <v>3.2229999999999995E-2</v>
      </c>
      <c r="BZ38">
        <f t="shared" si="0"/>
        <v>5.1322299999999998</v>
      </c>
    </row>
    <row r="39" spans="1:78">
      <c r="A39" s="1">
        <v>45160.703880162037</v>
      </c>
      <c r="B39" s="6"/>
      <c r="C39">
        <v>38</v>
      </c>
      <c r="D39" s="10">
        <v>30523</v>
      </c>
      <c r="E39">
        <v>40</v>
      </c>
      <c r="F39">
        <v>2</v>
      </c>
      <c r="G39">
        <v>1</v>
      </c>
      <c r="H39">
        <v>4</v>
      </c>
      <c r="I39" s="10">
        <v>45128</v>
      </c>
      <c r="J39">
        <v>2</v>
      </c>
      <c r="K39">
        <v>0</v>
      </c>
      <c r="L39">
        <v>1</v>
      </c>
      <c r="M39">
        <v>1430</v>
      </c>
      <c r="N39">
        <v>1</v>
      </c>
      <c r="O39" s="10">
        <v>44911</v>
      </c>
      <c r="P39">
        <v>0</v>
      </c>
      <c r="Q39">
        <v>31</v>
      </c>
      <c r="R39">
        <v>4</v>
      </c>
      <c r="S39">
        <v>53</v>
      </c>
      <c r="T39">
        <v>167</v>
      </c>
      <c r="U39">
        <v>57</v>
      </c>
      <c r="V39">
        <v>4</v>
      </c>
      <c r="W39">
        <v>1</v>
      </c>
      <c r="X39">
        <v>19.003908350962746</v>
      </c>
      <c r="Y39">
        <v>20.43816558499767</v>
      </c>
      <c r="Z39">
        <v>1.4342572340349236</v>
      </c>
      <c r="AA39">
        <v>2</v>
      </c>
      <c r="AB39">
        <v>2</v>
      </c>
      <c r="AC39" t="s">
        <v>33</v>
      </c>
      <c r="AD39">
        <v>3</v>
      </c>
      <c r="AE39">
        <v>0</v>
      </c>
      <c r="AG39">
        <v>5</v>
      </c>
      <c r="AH39">
        <v>1</v>
      </c>
      <c r="AI39">
        <v>4</v>
      </c>
      <c r="AJ39">
        <v>1</v>
      </c>
      <c r="AK39">
        <v>7</v>
      </c>
      <c r="AL39">
        <v>1</v>
      </c>
      <c r="AM39">
        <f>AJ39*AK39*AL39/7</f>
        <v>1</v>
      </c>
      <c r="AN39" t="s">
        <v>43</v>
      </c>
      <c r="AO39">
        <v>1</v>
      </c>
      <c r="AP39">
        <v>17</v>
      </c>
      <c r="AQ39" t="s">
        <v>140</v>
      </c>
      <c r="AR39">
        <v>0.6</v>
      </c>
      <c r="AS39">
        <v>7</v>
      </c>
      <c r="AT39">
        <v>1</v>
      </c>
      <c r="AU39">
        <f>AR39*AS39*AT39/7</f>
        <v>0.6</v>
      </c>
      <c r="AV39">
        <f>AU39+AM39</f>
        <v>1.6</v>
      </c>
      <c r="AW39" t="s">
        <v>85</v>
      </c>
      <c r="AX39">
        <v>0</v>
      </c>
      <c r="BE39">
        <f>AM39+AU39+BD39</f>
        <v>1.6</v>
      </c>
      <c r="BF39" t="s">
        <v>889</v>
      </c>
      <c r="BG39">
        <v>1</v>
      </c>
      <c r="BH39">
        <v>7</v>
      </c>
      <c r="BI39">
        <v>1</v>
      </c>
      <c r="BJ39" t="s">
        <v>28</v>
      </c>
      <c r="BK39">
        <v>3</v>
      </c>
      <c r="BL39">
        <v>3</v>
      </c>
      <c r="BM39">
        <v>1</v>
      </c>
      <c r="BN39" t="s">
        <v>59</v>
      </c>
      <c r="BO39">
        <v>3</v>
      </c>
      <c r="BP39">
        <v>224</v>
      </c>
      <c r="BQ39">
        <v>0.08</v>
      </c>
      <c r="BR39">
        <v>4</v>
      </c>
      <c r="BS39">
        <v>0.32</v>
      </c>
      <c r="BT39">
        <f>BS39+BD39+AU39+AM39</f>
        <v>1.92</v>
      </c>
      <c r="BU39">
        <v>1</v>
      </c>
      <c r="BV39">
        <v>2</v>
      </c>
      <c r="BW39">
        <v>293</v>
      </c>
      <c r="BX39">
        <f>BW39/7</f>
        <v>41.857142857142854</v>
      </c>
      <c r="BY39">
        <f>0.00077*BX39</f>
        <v>3.2229999999999995E-2</v>
      </c>
      <c r="BZ39">
        <f t="shared" si="0"/>
        <v>1.9522299999999999</v>
      </c>
    </row>
    <row r="40" spans="1:78">
      <c r="A40" s="1">
        <v>45160.716642685184</v>
      </c>
      <c r="B40" s="6"/>
      <c r="C40">
        <v>39</v>
      </c>
      <c r="D40" s="10">
        <v>33656</v>
      </c>
      <c r="E40">
        <v>31</v>
      </c>
      <c r="F40">
        <v>1</v>
      </c>
      <c r="G40">
        <v>2</v>
      </c>
      <c r="H40">
        <v>1</v>
      </c>
      <c r="I40" s="10">
        <v>44747</v>
      </c>
      <c r="J40">
        <v>2</v>
      </c>
      <c r="K40">
        <v>0</v>
      </c>
      <c r="L40">
        <v>2</v>
      </c>
      <c r="M40">
        <v>3150</v>
      </c>
      <c r="N40">
        <v>2</v>
      </c>
      <c r="O40" s="10">
        <v>44474</v>
      </c>
      <c r="P40">
        <v>1</v>
      </c>
      <c r="Q40">
        <v>39</v>
      </c>
      <c r="R40">
        <v>2</v>
      </c>
      <c r="S40">
        <v>52</v>
      </c>
      <c r="T40">
        <v>150</v>
      </c>
      <c r="U40">
        <v>65</v>
      </c>
      <c r="V40">
        <v>13</v>
      </c>
      <c r="W40">
        <v>2</v>
      </c>
      <c r="X40">
        <v>23.111111111111111</v>
      </c>
      <c r="Y40">
        <v>28.888888888888889</v>
      </c>
      <c r="Z40">
        <v>5.7777777777777786</v>
      </c>
      <c r="AA40">
        <v>2</v>
      </c>
      <c r="AB40">
        <v>3</v>
      </c>
      <c r="AC40" t="s">
        <v>33</v>
      </c>
      <c r="AD40">
        <v>3</v>
      </c>
      <c r="AE40">
        <v>0</v>
      </c>
      <c r="AG40">
        <v>5</v>
      </c>
      <c r="AH40">
        <v>1</v>
      </c>
      <c r="AI40">
        <v>5</v>
      </c>
      <c r="AJ40">
        <v>5</v>
      </c>
      <c r="AK40">
        <v>7</v>
      </c>
      <c r="AL40">
        <v>1</v>
      </c>
      <c r="AM40">
        <f>AJ40*AK40*AL40/7</f>
        <v>5</v>
      </c>
      <c r="AN40" t="s">
        <v>27</v>
      </c>
      <c r="AO40">
        <v>0</v>
      </c>
      <c r="AV40">
        <f>AU40+AM40</f>
        <v>5</v>
      </c>
      <c r="AX40">
        <v>0</v>
      </c>
      <c r="BE40">
        <f>AM40+AU40+BD40</f>
        <v>5</v>
      </c>
      <c r="BG40">
        <v>0</v>
      </c>
      <c r="BJ40" t="s">
        <v>49</v>
      </c>
      <c r="BK40">
        <v>5</v>
      </c>
      <c r="BL40">
        <v>1</v>
      </c>
      <c r="BM40">
        <v>1</v>
      </c>
      <c r="BN40" t="s">
        <v>88</v>
      </c>
      <c r="BO40">
        <v>9</v>
      </c>
      <c r="BP40">
        <v>118</v>
      </c>
      <c r="BQ40">
        <v>0.09</v>
      </c>
      <c r="BR40">
        <v>2</v>
      </c>
      <c r="BS40">
        <v>0.18</v>
      </c>
      <c r="BT40">
        <f>BS40+BD40+AU40+AM40</f>
        <v>5.18</v>
      </c>
      <c r="BU40">
        <v>1</v>
      </c>
      <c r="BV40">
        <v>1</v>
      </c>
      <c r="BW40">
        <v>146.5</v>
      </c>
      <c r="BX40">
        <f>BW40/7</f>
        <v>20.928571428571427</v>
      </c>
      <c r="BY40">
        <f>0.00077*BX40</f>
        <v>1.6114999999999997E-2</v>
      </c>
      <c r="BZ40">
        <f t="shared" si="0"/>
        <v>5.1961149999999998</v>
      </c>
    </row>
    <row r="41" spans="1:78">
      <c r="A41" s="1">
        <v>45160.72434375</v>
      </c>
      <c r="B41" s="4"/>
      <c r="C41">
        <v>40</v>
      </c>
      <c r="D41" s="10">
        <v>31590</v>
      </c>
      <c r="E41">
        <v>37</v>
      </c>
      <c r="F41">
        <v>1</v>
      </c>
      <c r="G41">
        <v>1</v>
      </c>
      <c r="H41">
        <v>5</v>
      </c>
      <c r="I41" s="10">
        <v>44447</v>
      </c>
      <c r="J41">
        <v>2</v>
      </c>
      <c r="K41">
        <v>0</v>
      </c>
      <c r="L41">
        <v>2</v>
      </c>
      <c r="M41">
        <v>3720</v>
      </c>
      <c r="N41">
        <v>2</v>
      </c>
      <c r="O41" s="10">
        <v>44167</v>
      </c>
      <c r="P41">
        <v>1</v>
      </c>
      <c r="Q41">
        <v>40</v>
      </c>
      <c r="R41">
        <v>2</v>
      </c>
      <c r="S41">
        <v>70</v>
      </c>
      <c r="T41">
        <v>167</v>
      </c>
      <c r="U41">
        <v>84.5</v>
      </c>
      <c r="V41">
        <v>14.5</v>
      </c>
      <c r="W41">
        <v>3</v>
      </c>
      <c r="X41">
        <v>25.099501595611173</v>
      </c>
      <c r="Y41">
        <v>30.298684068987775</v>
      </c>
      <c r="Z41">
        <v>5.1991824733766023</v>
      </c>
      <c r="AA41">
        <v>3</v>
      </c>
      <c r="AB41">
        <v>4</v>
      </c>
      <c r="AC41" t="s">
        <v>89</v>
      </c>
      <c r="AD41">
        <v>2</v>
      </c>
      <c r="AE41">
        <v>0</v>
      </c>
      <c r="AG41">
        <v>5</v>
      </c>
      <c r="AH41">
        <v>1</v>
      </c>
      <c r="AI41">
        <v>5</v>
      </c>
      <c r="AJ41">
        <v>5</v>
      </c>
      <c r="AK41">
        <v>3</v>
      </c>
      <c r="AL41">
        <v>1</v>
      </c>
      <c r="AM41">
        <f>AJ41*AK41*AL41/7</f>
        <v>2.1428571428571428</v>
      </c>
      <c r="AN41" t="s">
        <v>27</v>
      </c>
      <c r="AO41">
        <v>0</v>
      </c>
      <c r="AV41">
        <f>AU41+AM41</f>
        <v>2.1428571428571428</v>
      </c>
      <c r="AW41" t="s">
        <v>61</v>
      </c>
      <c r="AX41">
        <v>1</v>
      </c>
      <c r="AY41" t="s">
        <v>61</v>
      </c>
      <c r="AZ41">
        <v>2</v>
      </c>
      <c r="BA41">
        <v>0.27</v>
      </c>
      <c r="BB41">
        <v>3</v>
      </c>
      <c r="BC41">
        <v>1</v>
      </c>
      <c r="BD41">
        <f>BA41*BB41*1/7</f>
        <v>0.11571428571428573</v>
      </c>
      <c r="BE41">
        <f>AM41+AU41+BD41</f>
        <v>2.2585714285714285</v>
      </c>
      <c r="BF41" t="s">
        <v>61</v>
      </c>
      <c r="BG41">
        <v>0</v>
      </c>
      <c r="BH41">
        <v>3</v>
      </c>
      <c r="BI41">
        <v>1</v>
      </c>
      <c r="BJ41" t="s">
        <v>49</v>
      </c>
      <c r="BK41">
        <v>5</v>
      </c>
      <c r="BL41">
        <v>1</v>
      </c>
      <c r="BM41">
        <v>1</v>
      </c>
      <c r="BN41" t="s">
        <v>59</v>
      </c>
      <c r="BO41">
        <v>3</v>
      </c>
      <c r="BP41">
        <v>112</v>
      </c>
      <c r="BQ41">
        <v>0.08</v>
      </c>
      <c r="BR41">
        <v>2</v>
      </c>
      <c r="BS41">
        <v>0.16</v>
      </c>
      <c r="BT41">
        <f>BS41+BD41+AU41+AM41</f>
        <v>2.4185714285714286</v>
      </c>
      <c r="BU41">
        <v>1</v>
      </c>
      <c r="BV41">
        <v>1</v>
      </c>
      <c r="BW41">
        <v>146.5</v>
      </c>
      <c r="BX41">
        <f>BW41/7</f>
        <v>20.928571428571427</v>
      </c>
      <c r="BY41">
        <f>0.00077*BX41</f>
        <v>1.6114999999999997E-2</v>
      </c>
      <c r="BZ41">
        <f t="shared" si="0"/>
        <v>2.4346864285714287</v>
      </c>
    </row>
    <row r="42" spans="1:78">
      <c r="A42" s="1">
        <v>45160.797763668983</v>
      </c>
      <c r="B42" s="4"/>
      <c r="C42">
        <v>41</v>
      </c>
      <c r="D42" s="10">
        <v>30312</v>
      </c>
      <c r="E42">
        <v>40</v>
      </c>
      <c r="F42">
        <v>1</v>
      </c>
      <c r="G42">
        <v>1</v>
      </c>
      <c r="H42">
        <v>5</v>
      </c>
      <c r="I42" s="10">
        <v>42992</v>
      </c>
      <c r="J42">
        <v>1</v>
      </c>
      <c r="K42">
        <v>1</v>
      </c>
      <c r="L42">
        <v>2</v>
      </c>
      <c r="M42">
        <v>2710</v>
      </c>
      <c r="N42">
        <v>2</v>
      </c>
      <c r="O42" s="10">
        <v>42726</v>
      </c>
      <c r="P42">
        <v>0</v>
      </c>
      <c r="Q42">
        <v>38</v>
      </c>
      <c r="R42">
        <v>2</v>
      </c>
      <c r="S42">
        <v>75</v>
      </c>
      <c r="T42">
        <v>177</v>
      </c>
      <c r="U42">
        <v>82</v>
      </c>
      <c r="V42">
        <v>7</v>
      </c>
      <c r="W42">
        <v>1</v>
      </c>
      <c r="X42">
        <v>23.93948099205209</v>
      </c>
      <c r="Y42">
        <v>26.173832551310287</v>
      </c>
      <c r="Z42">
        <v>2.2343515592581973</v>
      </c>
      <c r="AA42">
        <v>2</v>
      </c>
      <c r="AB42">
        <v>3</v>
      </c>
      <c r="AC42" t="s">
        <v>90</v>
      </c>
      <c r="AD42">
        <v>2</v>
      </c>
      <c r="AE42">
        <v>0</v>
      </c>
      <c r="AG42">
        <v>5</v>
      </c>
      <c r="AH42">
        <v>1</v>
      </c>
      <c r="AI42">
        <v>2</v>
      </c>
      <c r="AJ42">
        <v>5</v>
      </c>
      <c r="AK42">
        <v>7</v>
      </c>
      <c r="AL42">
        <v>1</v>
      </c>
      <c r="AM42">
        <f>AJ42*AK42*AL42/7</f>
        <v>5</v>
      </c>
      <c r="AN42" t="s">
        <v>57</v>
      </c>
      <c r="AO42">
        <v>0</v>
      </c>
      <c r="AV42">
        <f>AU42+AM42</f>
        <v>5</v>
      </c>
      <c r="AX42">
        <v>0</v>
      </c>
      <c r="BE42">
        <f>AM42+AU42+BD42</f>
        <v>5</v>
      </c>
      <c r="BG42">
        <v>0</v>
      </c>
      <c r="BJ42" t="s">
        <v>28</v>
      </c>
      <c r="BK42">
        <v>3</v>
      </c>
      <c r="BL42">
        <v>4</v>
      </c>
      <c r="BM42">
        <v>1</v>
      </c>
      <c r="BN42" t="s">
        <v>92</v>
      </c>
      <c r="BO42">
        <v>6</v>
      </c>
      <c r="BP42">
        <v>48</v>
      </c>
      <c r="BQ42">
        <v>0.04</v>
      </c>
      <c r="BR42">
        <v>1</v>
      </c>
      <c r="BS42">
        <v>0.04</v>
      </c>
      <c r="BT42">
        <f>BS42+BD42+AU42+AM42</f>
        <v>5.04</v>
      </c>
      <c r="BU42">
        <v>1</v>
      </c>
      <c r="BV42">
        <v>1</v>
      </c>
      <c r="BW42">
        <v>146.5</v>
      </c>
      <c r="BX42">
        <f>BW42/7</f>
        <v>20.928571428571427</v>
      </c>
      <c r="BY42">
        <f>0.00077*BX42</f>
        <v>1.6114999999999997E-2</v>
      </c>
      <c r="BZ42">
        <f t="shared" si="0"/>
        <v>5.0561150000000001</v>
      </c>
    </row>
    <row r="43" spans="1:78">
      <c r="A43" s="1">
        <v>45160.802268680556</v>
      </c>
      <c r="B43" t="s">
        <v>865</v>
      </c>
      <c r="C43">
        <v>42</v>
      </c>
      <c r="D43" s="10">
        <v>30371</v>
      </c>
      <c r="E43">
        <v>40</v>
      </c>
      <c r="F43">
        <v>1</v>
      </c>
      <c r="G43">
        <v>1</v>
      </c>
      <c r="H43">
        <v>5</v>
      </c>
      <c r="I43" s="10">
        <v>44804</v>
      </c>
      <c r="J43">
        <v>3</v>
      </c>
      <c r="K43">
        <v>0</v>
      </c>
      <c r="L43">
        <v>2</v>
      </c>
      <c r="M43">
        <v>3375</v>
      </c>
      <c r="N43">
        <v>2</v>
      </c>
      <c r="O43" s="10">
        <v>44524</v>
      </c>
      <c r="P43">
        <v>0</v>
      </c>
      <c r="Q43">
        <v>40</v>
      </c>
      <c r="R43">
        <v>2</v>
      </c>
      <c r="S43">
        <v>87</v>
      </c>
      <c r="T43">
        <v>160</v>
      </c>
      <c r="U43">
        <v>98</v>
      </c>
      <c r="V43">
        <v>11</v>
      </c>
      <c r="W43">
        <v>2</v>
      </c>
      <c r="X43">
        <v>33.984374999999993</v>
      </c>
      <c r="Y43">
        <v>38.281249999999993</v>
      </c>
      <c r="Z43">
        <v>4.296875</v>
      </c>
      <c r="AA43">
        <v>4</v>
      </c>
      <c r="AB43">
        <v>4</v>
      </c>
      <c r="AC43" t="s">
        <v>50</v>
      </c>
      <c r="AD43">
        <v>2</v>
      </c>
      <c r="AE43">
        <v>0</v>
      </c>
      <c r="AG43">
        <v>5</v>
      </c>
      <c r="AH43">
        <v>1</v>
      </c>
      <c r="AI43">
        <v>5</v>
      </c>
      <c r="AJ43">
        <v>5</v>
      </c>
      <c r="AK43">
        <v>7</v>
      </c>
      <c r="AL43">
        <v>1</v>
      </c>
      <c r="AM43">
        <f>AJ43*AK43*AL43/7</f>
        <v>5</v>
      </c>
      <c r="AN43" t="s">
        <v>27</v>
      </c>
      <c r="AO43">
        <v>0</v>
      </c>
      <c r="AV43">
        <f>AU43+AM43</f>
        <v>5</v>
      </c>
      <c r="AW43" t="s">
        <v>95</v>
      </c>
      <c r="AX43">
        <v>1</v>
      </c>
      <c r="AY43" t="s">
        <v>878</v>
      </c>
      <c r="AZ43">
        <v>16</v>
      </c>
      <c r="BA43" t="s">
        <v>258</v>
      </c>
      <c r="BB43">
        <v>7</v>
      </c>
      <c r="BC43">
        <v>1</v>
      </c>
      <c r="BE43">
        <f>AM43+AU43+BD43</f>
        <v>5</v>
      </c>
      <c r="BF43" t="s">
        <v>878</v>
      </c>
      <c r="BG43" t="s">
        <v>258</v>
      </c>
      <c r="BH43">
        <v>7</v>
      </c>
      <c r="BI43">
        <v>1</v>
      </c>
      <c r="BJ43" t="s">
        <v>49</v>
      </c>
      <c r="BK43">
        <v>5</v>
      </c>
      <c r="BL43">
        <v>3</v>
      </c>
      <c r="BM43">
        <v>1</v>
      </c>
      <c r="BN43" t="s">
        <v>55</v>
      </c>
      <c r="BO43">
        <v>2</v>
      </c>
      <c r="BP43">
        <v>67</v>
      </c>
      <c r="BQ43">
        <v>0.1</v>
      </c>
      <c r="BR43">
        <v>1</v>
      </c>
      <c r="BS43">
        <v>0.1</v>
      </c>
      <c r="BT43">
        <f>BS43+BD43+AU43+AM43</f>
        <v>5.0999999999999996</v>
      </c>
      <c r="BU43">
        <v>1</v>
      </c>
      <c r="BV43">
        <v>1</v>
      </c>
      <c r="BW43">
        <v>146.5</v>
      </c>
      <c r="BX43">
        <f>BW43/7</f>
        <v>20.928571428571427</v>
      </c>
      <c r="BY43">
        <f>0.00077*BX43</f>
        <v>1.6114999999999997E-2</v>
      </c>
      <c r="BZ43">
        <f t="shared" si="0"/>
        <v>5.1161149999999997</v>
      </c>
    </row>
    <row r="44" spans="1:78">
      <c r="A44" s="1">
        <v>45160.809552152779</v>
      </c>
      <c r="B44" s="4"/>
      <c r="C44">
        <v>43</v>
      </c>
      <c r="D44" s="10">
        <v>29580</v>
      </c>
      <c r="E44">
        <v>42</v>
      </c>
      <c r="F44">
        <v>1</v>
      </c>
      <c r="G44">
        <v>1</v>
      </c>
      <c r="H44">
        <v>4</v>
      </c>
      <c r="I44" s="10">
        <v>43028</v>
      </c>
      <c r="J44">
        <v>1</v>
      </c>
      <c r="K44">
        <v>1</v>
      </c>
      <c r="L44">
        <v>2</v>
      </c>
      <c r="M44">
        <v>2230</v>
      </c>
      <c r="N44">
        <v>1</v>
      </c>
      <c r="O44" s="10">
        <v>42769</v>
      </c>
      <c r="P44">
        <v>0</v>
      </c>
      <c r="Q44">
        <v>37</v>
      </c>
      <c r="R44">
        <v>2</v>
      </c>
      <c r="S44">
        <v>68</v>
      </c>
      <c r="T44">
        <v>167</v>
      </c>
      <c r="U44">
        <v>75</v>
      </c>
      <c r="V44">
        <v>7</v>
      </c>
      <c r="W44">
        <v>1</v>
      </c>
      <c r="X44">
        <v>24.382372978593711</v>
      </c>
      <c r="Y44">
        <v>26.892323138154829</v>
      </c>
      <c r="Z44">
        <v>2.509950159561118</v>
      </c>
      <c r="AA44">
        <v>2</v>
      </c>
      <c r="AB44">
        <v>3</v>
      </c>
      <c r="AC44" t="s">
        <v>50</v>
      </c>
      <c r="AD44">
        <v>2</v>
      </c>
      <c r="AE44">
        <v>1</v>
      </c>
      <c r="AF44" t="s">
        <v>93</v>
      </c>
      <c r="AG44">
        <v>1</v>
      </c>
      <c r="AH44">
        <v>1</v>
      </c>
      <c r="AI44">
        <v>4</v>
      </c>
      <c r="AJ44">
        <v>1</v>
      </c>
      <c r="AK44">
        <v>7</v>
      </c>
      <c r="AL44">
        <v>1</v>
      </c>
      <c r="AM44">
        <f>AJ44*AK44*AL44/7</f>
        <v>1</v>
      </c>
      <c r="AN44" t="s">
        <v>43</v>
      </c>
      <c r="AO44">
        <v>0</v>
      </c>
      <c r="AV44">
        <f>AU44+AM44</f>
        <v>1</v>
      </c>
      <c r="AW44" t="s">
        <v>61</v>
      </c>
      <c r="AX44">
        <v>1</v>
      </c>
      <c r="AY44" t="s">
        <v>61</v>
      </c>
      <c r="AZ44">
        <v>2</v>
      </c>
      <c r="BA44">
        <v>0.27</v>
      </c>
      <c r="BB44">
        <v>7</v>
      </c>
      <c r="BC44">
        <v>2</v>
      </c>
      <c r="BD44">
        <f>BA44*BB44*1/7</f>
        <v>0.27</v>
      </c>
      <c r="BE44">
        <f>AM44+AU44+BD44</f>
        <v>1.27</v>
      </c>
      <c r="BF44" t="s">
        <v>61</v>
      </c>
      <c r="BG44">
        <v>0</v>
      </c>
      <c r="BH44">
        <v>7</v>
      </c>
      <c r="BI44">
        <v>2</v>
      </c>
      <c r="BJ44" t="s">
        <v>54</v>
      </c>
      <c r="BK44">
        <v>2</v>
      </c>
      <c r="BL44">
        <v>1</v>
      </c>
      <c r="BM44">
        <v>1</v>
      </c>
      <c r="BN44" t="s">
        <v>59</v>
      </c>
      <c r="BO44">
        <v>3</v>
      </c>
      <c r="BP44">
        <v>168</v>
      </c>
      <c r="BQ44">
        <v>0.08</v>
      </c>
      <c r="BR44">
        <v>3</v>
      </c>
      <c r="BS44">
        <v>0.24</v>
      </c>
      <c r="BT44">
        <f>BS44+BD44+AU44+AM44</f>
        <v>1.51</v>
      </c>
      <c r="BU44">
        <v>1</v>
      </c>
      <c r="BV44">
        <v>4</v>
      </c>
      <c r="BW44">
        <v>586</v>
      </c>
      <c r="BX44">
        <f>BW44/7</f>
        <v>83.714285714285708</v>
      </c>
      <c r="BY44">
        <f>0.00077*BX44</f>
        <v>6.445999999999999E-2</v>
      </c>
      <c r="BZ44">
        <f t="shared" si="0"/>
        <v>1.57446</v>
      </c>
    </row>
    <row r="45" spans="1:78">
      <c r="A45" s="1">
        <v>45160.813649872682</v>
      </c>
      <c r="B45" s="4"/>
      <c r="C45">
        <v>44</v>
      </c>
      <c r="D45" s="10">
        <v>32220</v>
      </c>
      <c r="E45">
        <v>35</v>
      </c>
      <c r="F45">
        <v>1</v>
      </c>
      <c r="G45">
        <v>3</v>
      </c>
      <c r="H45">
        <v>5</v>
      </c>
      <c r="I45" s="10">
        <v>44925</v>
      </c>
      <c r="J45">
        <v>2</v>
      </c>
      <c r="K45">
        <v>0</v>
      </c>
      <c r="L45">
        <v>2</v>
      </c>
      <c r="M45">
        <v>3330</v>
      </c>
      <c r="N45">
        <v>2</v>
      </c>
      <c r="O45" s="10">
        <v>44649</v>
      </c>
      <c r="P45">
        <v>0</v>
      </c>
      <c r="Q45">
        <v>39.428571428571431</v>
      </c>
      <c r="R45">
        <v>2</v>
      </c>
      <c r="S45">
        <v>59</v>
      </c>
      <c r="T45">
        <v>178</v>
      </c>
      <c r="U45">
        <v>68</v>
      </c>
      <c r="V45">
        <v>9</v>
      </c>
      <c r="W45">
        <v>1</v>
      </c>
      <c r="X45">
        <v>18.621386188612547</v>
      </c>
      <c r="Y45">
        <v>21.461936624163616</v>
      </c>
      <c r="Z45">
        <v>2.8405504355510693</v>
      </c>
      <c r="AA45">
        <v>2</v>
      </c>
      <c r="AB45">
        <v>2</v>
      </c>
      <c r="AC45" t="s">
        <v>33</v>
      </c>
      <c r="AD45">
        <v>3</v>
      </c>
      <c r="AE45">
        <v>1</v>
      </c>
      <c r="AF45" t="s">
        <v>95</v>
      </c>
      <c r="AG45" t="e">
        <v>#N/A</v>
      </c>
      <c r="AH45">
        <v>1</v>
      </c>
      <c r="AI45">
        <v>4</v>
      </c>
      <c r="AJ45">
        <v>1</v>
      </c>
      <c r="AK45">
        <v>7</v>
      </c>
      <c r="AL45">
        <v>1</v>
      </c>
      <c r="AM45">
        <f>AJ45*AK45*AL45/7</f>
        <v>1</v>
      </c>
      <c r="AN45" t="s">
        <v>43</v>
      </c>
      <c r="AO45">
        <v>0</v>
      </c>
      <c r="AV45">
        <f>AU45+AM45</f>
        <v>1</v>
      </c>
      <c r="AW45" t="s">
        <v>96</v>
      </c>
      <c r="AX45">
        <v>1</v>
      </c>
      <c r="AY45" t="s">
        <v>96</v>
      </c>
      <c r="AZ45">
        <v>4</v>
      </c>
      <c r="BA45">
        <v>0.2</v>
      </c>
      <c r="BB45">
        <v>7</v>
      </c>
      <c r="BC45">
        <v>1</v>
      </c>
      <c r="BD45">
        <f>BA45*BB45*1/7</f>
        <v>0.2</v>
      </c>
      <c r="BE45">
        <f>AM45+AU45+BD45</f>
        <v>1.2</v>
      </c>
      <c r="BF45" t="s">
        <v>96</v>
      </c>
      <c r="BG45">
        <v>0</v>
      </c>
      <c r="BH45">
        <v>7</v>
      </c>
      <c r="BI45">
        <v>1</v>
      </c>
      <c r="BJ45" t="s">
        <v>36</v>
      </c>
      <c r="BK45">
        <v>4</v>
      </c>
      <c r="BL45">
        <v>1</v>
      </c>
      <c r="BM45">
        <v>1</v>
      </c>
      <c r="BN45" t="s">
        <v>37</v>
      </c>
      <c r="BO45">
        <v>4</v>
      </c>
      <c r="BP45">
        <v>27.5</v>
      </c>
      <c r="BQ45">
        <v>0.05</v>
      </c>
      <c r="BR45">
        <v>0.5</v>
      </c>
      <c r="BS45">
        <v>2.5000000000000001E-2</v>
      </c>
      <c r="BT45">
        <f>BS45+BD45+AU45+AM45</f>
        <v>1.2250000000000001</v>
      </c>
      <c r="BU45">
        <v>1</v>
      </c>
      <c r="BV45">
        <v>1</v>
      </c>
      <c r="BW45">
        <v>146.5</v>
      </c>
      <c r="BX45">
        <f>BW45/7</f>
        <v>20.928571428571427</v>
      </c>
      <c r="BY45">
        <f>0.00077*BX45</f>
        <v>1.6114999999999997E-2</v>
      </c>
      <c r="BZ45">
        <f t="shared" si="0"/>
        <v>1.2411150000000002</v>
      </c>
    </row>
    <row r="46" spans="1:78">
      <c r="A46" s="1">
        <v>45160.820986539351</v>
      </c>
      <c r="B46" s="8" t="s">
        <v>864</v>
      </c>
      <c r="C46">
        <v>45</v>
      </c>
      <c r="D46" s="10">
        <v>27975</v>
      </c>
      <c r="E46">
        <v>47</v>
      </c>
      <c r="F46">
        <v>1</v>
      </c>
      <c r="G46">
        <v>1</v>
      </c>
      <c r="H46">
        <v>5</v>
      </c>
      <c r="I46" s="10">
        <v>46530</v>
      </c>
      <c r="J46">
        <v>5</v>
      </c>
      <c r="K46">
        <v>0</v>
      </c>
      <c r="L46">
        <v>2</v>
      </c>
      <c r="M46">
        <v>1880</v>
      </c>
      <c r="N46">
        <v>1</v>
      </c>
      <c r="O46" s="10">
        <v>46285</v>
      </c>
      <c r="P46">
        <v>0</v>
      </c>
      <c r="Q46">
        <v>35</v>
      </c>
      <c r="R46">
        <v>3</v>
      </c>
      <c r="S46">
        <v>82</v>
      </c>
      <c r="T46">
        <v>168</v>
      </c>
      <c r="U46">
        <v>89</v>
      </c>
      <c r="V46">
        <v>7</v>
      </c>
      <c r="W46">
        <v>2</v>
      </c>
      <c r="X46">
        <v>29.053287981859416</v>
      </c>
      <c r="Y46">
        <v>31.533446712018144</v>
      </c>
      <c r="Z46">
        <v>2.4801587301587276</v>
      </c>
      <c r="AA46">
        <v>3</v>
      </c>
      <c r="AB46">
        <v>4</v>
      </c>
      <c r="AC46" t="s">
        <v>33</v>
      </c>
      <c r="AD46">
        <v>3</v>
      </c>
      <c r="AE46">
        <v>0</v>
      </c>
      <c r="AG46">
        <v>5</v>
      </c>
      <c r="AH46">
        <v>1</v>
      </c>
      <c r="AI46">
        <v>2</v>
      </c>
      <c r="AJ46">
        <v>5</v>
      </c>
      <c r="AK46">
        <v>7</v>
      </c>
      <c r="AL46">
        <v>1</v>
      </c>
      <c r="AM46">
        <f>AJ46*AK46*AL46/7</f>
        <v>5</v>
      </c>
      <c r="AN46" t="s">
        <v>57</v>
      </c>
      <c r="AO46">
        <v>0</v>
      </c>
      <c r="AV46">
        <f>AU46+AM46</f>
        <v>5</v>
      </c>
      <c r="AW46" t="s">
        <v>641</v>
      </c>
      <c r="AX46">
        <v>0</v>
      </c>
      <c r="BE46">
        <f>AM46+AU46+BD46</f>
        <v>5</v>
      </c>
      <c r="BF46" t="s">
        <v>641</v>
      </c>
      <c r="BG46">
        <v>1</v>
      </c>
      <c r="BH46">
        <v>7</v>
      </c>
      <c r="BI46">
        <v>3</v>
      </c>
      <c r="BJ46" t="s">
        <v>36</v>
      </c>
      <c r="BK46">
        <v>4</v>
      </c>
      <c r="BL46">
        <v>1</v>
      </c>
      <c r="BM46">
        <v>1</v>
      </c>
      <c r="BN46" t="s">
        <v>37</v>
      </c>
      <c r="BO46">
        <v>4</v>
      </c>
      <c r="BP46">
        <v>55</v>
      </c>
      <c r="BQ46">
        <v>0.05</v>
      </c>
      <c r="BR46">
        <v>1</v>
      </c>
      <c r="BS46">
        <v>0.05</v>
      </c>
      <c r="BT46">
        <f>BS46+BD46+AU46+AM46</f>
        <v>5.05</v>
      </c>
      <c r="BU46">
        <v>1</v>
      </c>
      <c r="BV46">
        <v>0.5</v>
      </c>
      <c r="BW46">
        <v>73.25</v>
      </c>
      <c r="BX46">
        <f>BW46/7</f>
        <v>10.464285714285714</v>
      </c>
      <c r="BY46">
        <f>0.00077*BX46</f>
        <v>8.0574999999999987E-3</v>
      </c>
      <c r="BZ46">
        <f t="shared" si="0"/>
        <v>5.0580574999999994</v>
      </c>
    </row>
    <row r="47" spans="1:78">
      <c r="A47" s="1">
        <v>45160.827900810182</v>
      </c>
      <c r="B47" s="4"/>
      <c r="C47">
        <v>46</v>
      </c>
      <c r="D47" s="10">
        <v>33050</v>
      </c>
      <c r="E47">
        <v>33</v>
      </c>
      <c r="F47">
        <v>1</v>
      </c>
      <c r="G47">
        <v>4</v>
      </c>
      <c r="H47">
        <v>5</v>
      </c>
      <c r="I47" s="10">
        <v>44184</v>
      </c>
      <c r="J47">
        <v>1</v>
      </c>
      <c r="K47">
        <v>1</v>
      </c>
      <c r="L47">
        <v>1</v>
      </c>
      <c r="M47">
        <v>3130</v>
      </c>
      <c r="N47">
        <v>2</v>
      </c>
      <c r="O47" s="10">
        <v>43913</v>
      </c>
      <c r="P47">
        <v>1</v>
      </c>
      <c r="Q47">
        <v>38.714285714285715</v>
      </c>
      <c r="R47">
        <v>2</v>
      </c>
      <c r="S47">
        <v>64</v>
      </c>
      <c r="T47">
        <v>165</v>
      </c>
      <c r="U47">
        <v>76</v>
      </c>
      <c r="V47">
        <v>12</v>
      </c>
      <c r="W47">
        <v>2</v>
      </c>
      <c r="X47">
        <v>23.507805325987146</v>
      </c>
      <c r="Y47">
        <v>27.915518824609737</v>
      </c>
      <c r="Z47">
        <v>4.4077134986225914</v>
      </c>
      <c r="AA47">
        <v>2</v>
      </c>
      <c r="AB47">
        <v>3</v>
      </c>
      <c r="AC47" t="s">
        <v>44</v>
      </c>
      <c r="AD47">
        <v>1</v>
      </c>
      <c r="AE47">
        <v>0</v>
      </c>
      <c r="AG47">
        <v>5</v>
      </c>
      <c r="AH47">
        <v>1</v>
      </c>
      <c r="AI47">
        <v>4</v>
      </c>
      <c r="AJ47">
        <v>1</v>
      </c>
      <c r="AK47">
        <v>7</v>
      </c>
      <c r="AL47">
        <v>1</v>
      </c>
      <c r="AM47">
        <f>AJ47*AK47*AL47/7</f>
        <v>1</v>
      </c>
      <c r="AN47" t="s">
        <v>43</v>
      </c>
      <c r="AO47">
        <v>0</v>
      </c>
      <c r="AV47">
        <f>AU47+AM47</f>
        <v>1</v>
      </c>
      <c r="AW47" t="s">
        <v>97</v>
      </c>
      <c r="AX47">
        <v>1</v>
      </c>
      <c r="AY47" t="s">
        <v>97</v>
      </c>
      <c r="AZ47">
        <v>11</v>
      </c>
      <c r="BA47">
        <v>0.2</v>
      </c>
      <c r="BB47">
        <v>7</v>
      </c>
      <c r="BC47">
        <v>1</v>
      </c>
      <c r="BD47">
        <f>BA47*BB47*1/7</f>
        <v>0.2</v>
      </c>
      <c r="BE47">
        <f>AM47+AU47+BD47</f>
        <v>1.2</v>
      </c>
      <c r="BF47" t="s">
        <v>97</v>
      </c>
      <c r="BG47">
        <v>0</v>
      </c>
      <c r="BH47">
        <v>7</v>
      </c>
      <c r="BI47">
        <v>1</v>
      </c>
      <c r="BJ47" t="s">
        <v>49</v>
      </c>
      <c r="BK47">
        <v>5</v>
      </c>
      <c r="BL47">
        <v>1</v>
      </c>
      <c r="BM47">
        <v>1</v>
      </c>
      <c r="BN47" t="s">
        <v>30</v>
      </c>
      <c r="BO47">
        <v>1</v>
      </c>
      <c r="BP47">
        <v>84</v>
      </c>
      <c r="BQ47">
        <v>0.13</v>
      </c>
      <c r="BR47">
        <v>1</v>
      </c>
      <c r="BS47">
        <v>0.13</v>
      </c>
      <c r="BT47">
        <f>BS47+BD47+AU47+AM47</f>
        <v>1.33</v>
      </c>
      <c r="BU47">
        <v>1</v>
      </c>
      <c r="BV47">
        <v>3</v>
      </c>
      <c r="BW47">
        <v>439.5</v>
      </c>
      <c r="BX47">
        <f>BW47/7</f>
        <v>62.785714285714285</v>
      </c>
      <c r="BY47">
        <f>0.00077*BX47</f>
        <v>4.8344999999999999E-2</v>
      </c>
      <c r="BZ47">
        <f t="shared" si="0"/>
        <v>1.3783450000000002</v>
      </c>
    </row>
    <row r="48" spans="1:78">
      <c r="A48" s="1">
        <v>45160.830757476855</v>
      </c>
      <c r="B48" s="4"/>
      <c r="C48">
        <v>47</v>
      </c>
      <c r="D48" s="10">
        <v>33576</v>
      </c>
      <c r="E48">
        <v>31</v>
      </c>
      <c r="F48">
        <v>1</v>
      </c>
      <c r="G48">
        <v>13</v>
      </c>
      <c r="H48">
        <v>4</v>
      </c>
      <c r="I48" s="10">
        <v>44025</v>
      </c>
      <c r="J48">
        <v>1</v>
      </c>
      <c r="K48">
        <v>1</v>
      </c>
      <c r="L48">
        <v>1</v>
      </c>
      <c r="M48">
        <v>3170</v>
      </c>
      <c r="N48">
        <v>2</v>
      </c>
      <c r="O48" s="10">
        <v>43759</v>
      </c>
      <c r="P48">
        <v>0</v>
      </c>
      <c r="Q48">
        <v>38</v>
      </c>
      <c r="R48">
        <v>2</v>
      </c>
      <c r="S48">
        <v>54</v>
      </c>
      <c r="T48">
        <v>160</v>
      </c>
      <c r="U48">
        <v>64</v>
      </c>
      <c r="V48">
        <v>10</v>
      </c>
      <c r="W48">
        <v>1</v>
      </c>
      <c r="X48">
        <v>21.093749999999996</v>
      </c>
      <c r="Y48">
        <v>24.999999999999996</v>
      </c>
      <c r="Z48">
        <v>3.90625</v>
      </c>
      <c r="AA48">
        <v>2</v>
      </c>
      <c r="AB48">
        <v>3</v>
      </c>
      <c r="AC48" t="s">
        <v>33</v>
      </c>
      <c r="AD48">
        <v>3</v>
      </c>
      <c r="AE48">
        <v>0</v>
      </c>
      <c r="AG48">
        <v>5</v>
      </c>
      <c r="AH48">
        <v>0</v>
      </c>
      <c r="AI48">
        <v>0</v>
      </c>
      <c r="AN48" t="s">
        <v>98</v>
      </c>
      <c r="AO48">
        <v>0</v>
      </c>
      <c r="AW48" t="s">
        <v>98</v>
      </c>
      <c r="AX48">
        <v>1</v>
      </c>
      <c r="AY48" t="s">
        <v>98</v>
      </c>
      <c r="AZ48">
        <v>14</v>
      </c>
      <c r="BA48">
        <v>0.5</v>
      </c>
      <c r="BB48">
        <v>7</v>
      </c>
      <c r="BC48">
        <v>1</v>
      </c>
      <c r="BD48">
        <f>BA48*BB48*1/7</f>
        <v>0.5</v>
      </c>
      <c r="BE48">
        <f>AM48+AU48+BD48</f>
        <v>0.5</v>
      </c>
      <c r="BF48" t="s">
        <v>98</v>
      </c>
      <c r="BG48">
        <v>0</v>
      </c>
      <c r="BH48">
        <v>7</v>
      </c>
      <c r="BI48">
        <v>1</v>
      </c>
      <c r="BJ48" t="s">
        <v>28</v>
      </c>
      <c r="BK48">
        <v>3</v>
      </c>
      <c r="BL48">
        <v>1</v>
      </c>
      <c r="BM48">
        <v>1</v>
      </c>
      <c r="BN48" t="s">
        <v>99</v>
      </c>
      <c r="BO48">
        <v>9</v>
      </c>
      <c r="BP48">
        <v>177</v>
      </c>
      <c r="BQ48">
        <v>0.09</v>
      </c>
      <c r="BR48">
        <v>3</v>
      </c>
      <c r="BS48">
        <v>0.27</v>
      </c>
      <c r="BT48">
        <f>BS48+BD48+AU48+AM48</f>
        <v>0.77</v>
      </c>
      <c r="BU48">
        <v>1</v>
      </c>
      <c r="BV48">
        <v>1</v>
      </c>
      <c r="BW48">
        <v>146.5</v>
      </c>
      <c r="BX48">
        <f>BW48/7</f>
        <v>20.928571428571427</v>
      </c>
      <c r="BY48">
        <f>0.00077*BX48</f>
        <v>1.6114999999999997E-2</v>
      </c>
      <c r="BZ48">
        <f t="shared" si="0"/>
        <v>0.78611500000000001</v>
      </c>
    </row>
    <row r="49" spans="1:78">
      <c r="A49" s="1">
        <v>45160.840114363426</v>
      </c>
      <c r="B49" s="4"/>
      <c r="C49">
        <v>48</v>
      </c>
      <c r="D49" s="10">
        <v>33010</v>
      </c>
      <c r="E49">
        <v>33</v>
      </c>
      <c r="F49">
        <v>2</v>
      </c>
      <c r="G49">
        <v>1</v>
      </c>
      <c r="H49">
        <v>5</v>
      </c>
      <c r="I49" s="10">
        <v>44512</v>
      </c>
      <c r="J49">
        <v>1</v>
      </c>
      <c r="K49">
        <v>1</v>
      </c>
      <c r="L49">
        <v>1</v>
      </c>
      <c r="M49">
        <v>3060</v>
      </c>
      <c r="N49">
        <v>2</v>
      </c>
      <c r="O49" s="10">
        <v>44246</v>
      </c>
      <c r="P49">
        <v>1</v>
      </c>
      <c r="Q49">
        <v>38</v>
      </c>
      <c r="R49">
        <v>2</v>
      </c>
      <c r="S49">
        <v>58</v>
      </c>
      <c r="T49">
        <v>162</v>
      </c>
      <c r="U49">
        <v>70</v>
      </c>
      <c r="V49">
        <v>12</v>
      </c>
      <c r="W49">
        <v>2</v>
      </c>
      <c r="X49">
        <v>22.10028959000152</v>
      </c>
      <c r="Y49">
        <v>26.672763298277697</v>
      </c>
      <c r="Z49">
        <v>4.5724737082761777</v>
      </c>
      <c r="AA49">
        <v>2</v>
      </c>
      <c r="AB49">
        <v>3</v>
      </c>
      <c r="AC49" t="s">
        <v>33</v>
      </c>
      <c r="AD49">
        <v>3</v>
      </c>
      <c r="AE49">
        <v>0</v>
      </c>
      <c r="AG49">
        <v>5</v>
      </c>
      <c r="AH49">
        <v>0</v>
      </c>
      <c r="AI49">
        <v>0</v>
      </c>
      <c r="AN49" t="s">
        <v>41</v>
      </c>
      <c r="AO49">
        <v>0</v>
      </c>
      <c r="AW49" t="s">
        <v>58</v>
      </c>
      <c r="AX49">
        <v>1</v>
      </c>
      <c r="AY49" t="s">
        <v>58</v>
      </c>
      <c r="AZ49">
        <v>1</v>
      </c>
      <c r="BA49">
        <v>0.8</v>
      </c>
      <c r="BB49">
        <v>7</v>
      </c>
      <c r="BC49">
        <v>1</v>
      </c>
      <c r="BD49">
        <f>BA49*BB49*1/7</f>
        <v>0.8</v>
      </c>
      <c r="BE49">
        <f>AM49+AU49+BD49</f>
        <v>0.8</v>
      </c>
      <c r="BF49" t="s">
        <v>58</v>
      </c>
      <c r="BG49">
        <v>0</v>
      </c>
      <c r="BH49">
        <v>7</v>
      </c>
      <c r="BI49">
        <v>1</v>
      </c>
      <c r="BJ49" t="s">
        <v>28</v>
      </c>
      <c r="BK49">
        <v>3</v>
      </c>
      <c r="BL49">
        <v>3</v>
      </c>
      <c r="BM49">
        <v>1</v>
      </c>
      <c r="BN49" t="s">
        <v>59</v>
      </c>
      <c r="BO49">
        <v>3</v>
      </c>
      <c r="BP49">
        <v>56</v>
      </c>
      <c r="BQ49">
        <v>0.08</v>
      </c>
      <c r="BR49">
        <v>1</v>
      </c>
      <c r="BS49">
        <v>0.08</v>
      </c>
      <c r="BT49">
        <f>BS49+BD49+AU49+AM49</f>
        <v>0.88</v>
      </c>
      <c r="BU49">
        <v>1</v>
      </c>
      <c r="BV49">
        <v>2</v>
      </c>
      <c r="BW49">
        <v>293</v>
      </c>
      <c r="BX49">
        <f>BW49/7</f>
        <v>41.857142857142854</v>
      </c>
      <c r="BY49">
        <f>0.00077*BX49</f>
        <v>3.2229999999999995E-2</v>
      </c>
      <c r="BZ49">
        <f t="shared" si="0"/>
        <v>0.91222999999999999</v>
      </c>
    </row>
    <row r="50" spans="1:78">
      <c r="A50" s="1">
        <v>45160.846793715275</v>
      </c>
      <c r="B50" s="4"/>
      <c r="C50">
        <v>49</v>
      </c>
      <c r="D50" s="10">
        <v>31303</v>
      </c>
      <c r="E50">
        <v>37</v>
      </c>
      <c r="F50">
        <v>1</v>
      </c>
      <c r="G50">
        <v>1</v>
      </c>
      <c r="H50">
        <v>4</v>
      </c>
      <c r="I50" s="10">
        <v>43321</v>
      </c>
      <c r="J50">
        <v>1</v>
      </c>
      <c r="K50">
        <v>1</v>
      </c>
      <c r="L50">
        <v>2</v>
      </c>
      <c r="M50">
        <v>3460</v>
      </c>
      <c r="N50">
        <v>2</v>
      </c>
      <c r="O50" s="10">
        <v>43033</v>
      </c>
      <c r="P50">
        <v>0</v>
      </c>
      <c r="Q50">
        <v>41.142857142857146</v>
      </c>
      <c r="R50">
        <v>2</v>
      </c>
      <c r="S50">
        <v>69</v>
      </c>
      <c r="T50">
        <v>159</v>
      </c>
      <c r="U50">
        <v>69</v>
      </c>
      <c r="V50">
        <v>0</v>
      </c>
      <c r="W50">
        <v>1</v>
      </c>
      <c r="X50">
        <v>27.29322416043669</v>
      </c>
      <c r="Y50">
        <v>27.29322416043669</v>
      </c>
      <c r="Z50">
        <v>0</v>
      </c>
      <c r="AA50">
        <v>3</v>
      </c>
      <c r="AB50">
        <v>3</v>
      </c>
      <c r="AC50" t="s">
        <v>33</v>
      </c>
      <c r="AD50">
        <v>3</v>
      </c>
      <c r="AE50">
        <v>0</v>
      </c>
      <c r="AG50">
        <v>5</v>
      </c>
      <c r="AH50">
        <v>1</v>
      </c>
      <c r="AI50">
        <v>5</v>
      </c>
      <c r="AJ50">
        <v>5</v>
      </c>
      <c r="AK50">
        <v>7</v>
      </c>
      <c r="AL50">
        <v>1</v>
      </c>
      <c r="AM50">
        <f>AJ50*AK50*AL50/7</f>
        <v>5</v>
      </c>
      <c r="AN50" t="s">
        <v>27</v>
      </c>
      <c r="AO50">
        <v>0</v>
      </c>
      <c r="AV50">
        <f>AU50+AM50</f>
        <v>5</v>
      </c>
      <c r="AX50">
        <v>0</v>
      </c>
      <c r="BE50">
        <f>AM50+AU50+BD50</f>
        <v>5</v>
      </c>
      <c r="BG50">
        <v>0</v>
      </c>
      <c r="BJ50" t="s">
        <v>49</v>
      </c>
      <c r="BK50">
        <v>5</v>
      </c>
      <c r="BL50">
        <v>3</v>
      </c>
      <c r="BM50">
        <v>1</v>
      </c>
      <c r="BN50" t="s">
        <v>30</v>
      </c>
      <c r="BO50">
        <v>1</v>
      </c>
      <c r="BP50">
        <v>84</v>
      </c>
      <c r="BQ50">
        <v>0.13</v>
      </c>
      <c r="BR50">
        <v>1</v>
      </c>
      <c r="BS50">
        <v>0.13</v>
      </c>
      <c r="BT50">
        <f>BS50+BD50+AU50+AM50</f>
        <v>5.13</v>
      </c>
      <c r="BU50">
        <v>1</v>
      </c>
      <c r="BV50">
        <v>2</v>
      </c>
      <c r="BW50">
        <v>293</v>
      </c>
      <c r="BX50">
        <f>BW50/7</f>
        <v>41.857142857142854</v>
      </c>
      <c r="BY50">
        <f>0.00077*BX50</f>
        <v>3.2229999999999995E-2</v>
      </c>
      <c r="BZ50">
        <f t="shared" si="0"/>
        <v>5.1622300000000001</v>
      </c>
    </row>
    <row r="51" spans="1:78">
      <c r="A51" s="1">
        <v>45160.862114143514</v>
      </c>
      <c r="B51" s="4"/>
      <c r="C51">
        <v>50</v>
      </c>
      <c r="D51" s="10">
        <v>32362</v>
      </c>
      <c r="E51">
        <v>35</v>
      </c>
      <c r="F51">
        <v>1</v>
      </c>
      <c r="G51">
        <v>1</v>
      </c>
      <c r="H51">
        <v>4</v>
      </c>
      <c r="I51" s="10">
        <v>45073</v>
      </c>
      <c r="J51">
        <v>1</v>
      </c>
      <c r="K51">
        <v>1</v>
      </c>
      <c r="L51">
        <v>1</v>
      </c>
      <c r="M51">
        <v>2920</v>
      </c>
      <c r="N51">
        <v>2</v>
      </c>
      <c r="O51" s="10">
        <v>44800</v>
      </c>
      <c r="P51">
        <v>0</v>
      </c>
      <c r="Q51">
        <v>39</v>
      </c>
      <c r="R51">
        <v>2</v>
      </c>
      <c r="S51">
        <v>61</v>
      </c>
      <c r="T51">
        <v>163</v>
      </c>
      <c r="U51">
        <v>69</v>
      </c>
      <c r="V51">
        <v>8</v>
      </c>
      <c r="W51">
        <v>1</v>
      </c>
      <c r="X51">
        <v>22.959087658549439</v>
      </c>
      <c r="Y51">
        <v>25.970115548195267</v>
      </c>
      <c r="Z51">
        <v>3.0110278896458276</v>
      </c>
      <c r="AA51">
        <v>2</v>
      </c>
      <c r="AB51">
        <v>3</v>
      </c>
      <c r="AC51" t="s">
        <v>44</v>
      </c>
      <c r="AD51">
        <v>1</v>
      </c>
      <c r="AE51">
        <v>1</v>
      </c>
      <c r="AF51" t="s">
        <v>101</v>
      </c>
      <c r="AG51">
        <v>3</v>
      </c>
      <c r="AH51">
        <v>1</v>
      </c>
      <c r="AI51">
        <v>14</v>
      </c>
      <c r="AJ51">
        <v>0.4</v>
      </c>
      <c r="AK51">
        <v>7</v>
      </c>
      <c r="AL51">
        <v>2</v>
      </c>
      <c r="AM51">
        <f>AJ51*AK51*AL51/7</f>
        <v>0.8</v>
      </c>
      <c r="AN51" t="s">
        <v>102</v>
      </c>
      <c r="AO51">
        <v>0</v>
      </c>
      <c r="AV51">
        <f>AU51+AM51</f>
        <v>0.8</v>
      </c>
      <c r="AW51" t="s">
        <v>103</v>
      </c>
      <c r="AX51">
        <v>1</v>
      </c>
      <c r="AY51" t="s">
        <v>103</v>
      </c>
      <c r="AZ51">
        <v>11</v>
      </c>
      <c r="BA51">
        <v>0.2</v>
      </c>
      <c r="BB51">
        <v>7</v>
      </c>
      <c r="BC51">
        <v>1</v>
      </c>
      <c r="BD51">
        <f>BA51*BB51*1/7</f>
        <v>0.2</v>
      </c>
      <c r="BE51">
        <f>AM51+AU51+BD51</f>
        <v>1</v>
      </c>
      <c r="BF51" t="s">
        <v>103</v>
      </c>
      <c r="BG51">
        <v>0</v>
      </c>
      <c r="BH51">
        <v>7</v>
      </c>
      <c r="BI51">
        <v>1</v>
      </c>
      <c r="BJ51" t="s">
        <v>54</v>
      </c>
      <c r="BK51">
        <v>2</v>
      </c>
      <c r="BL51">
        <v>3</v>
      </c>
      <c r="BM51">
        <v>1</v>
      </c>
      <c r="BN51" t="s">
        <v>105</v>
      </c>
      <c r="BO51">
        <v>3</v>
      </c>
      <c r="BP51">
        <v>22.5</v>
      </c>
      <c r="BQ51">
        <v>0.08</v>
      </c>
      <c r="BR51">
        <v>0.5</v>
      </c>
      <c r="BS51">
        <v>0.04</v>
      </c>
      <c r="BT51">
        <f>BS51+BD51+AU51+AM51</f>
        <v>1.04</v>
      </c>
      <c r="BU51">
        <v>1</v>
      </c>
      <c r="BV51">
        <v>5</v>
      </c>
      <c r="BW51">
        <v>732.5</v>
      </c>
      <c r="BX51">
        <f>BW51/7</f>
        <v>104.64285714285714</v>
      </c>
      <c r="BY51">
        <f>0.00077*BX51</f>
        <v>8.0574999999999994E-2</v>
      </c>
      <c r="BZ51">
        <f t="shared" si="0"/>
        <v>1.1205750000000001</v>
      </c>
    </row>
    <row r="52" spans="1:78">
      <c r="A52" s="1">
        <v>45160.866647418981</v>
      </c>
      <c r="B52" s="4"/>
      <c r="C52">
        <v>51</v>
      </c>
      <c r="D52" s="10">
        <v>30718</v>
      </c>
      <c r="E52">
        <v>39</v>
      </c>
      <c r="F52">
        <v>1</v>
      </c>
      <c r="G52">
        <v>1</v>
      </c>
      <c r="H52">
        <v>5</v>
      </c>
      <c r="I52" s="10">
        <v>43113</v>
      </c>
      <c r="J52">
        <v>1</v>
      </c>
      <c r="K52">
        <v>1</v>
      </c>
      <c r="L52">
        <v>2</v>
      </c>
      <c r="M52">
        <v>3930</v>
      </c>
      <c r="N52">
        <v>2</v>
      </c>
      <c r="O52" s="10">
        <v>42847</v>
      </c>
      <c r="P52">
        <v>0</v>
      </c>
      <c r="Q52">
        <v>38</v>
      </c>
      <c r="R52">
        <v>2</v>
      </c>
      <c r="S52">
        <v>75</v>
      </c>
      <c r="T52">
        <v>154</v>
      </c>
      <c r="U52">
        <v>92</v>
      </c>
      <c r="V52">
        <v>17</v>
      </c>
      <c r="W52">
        <v>3</v>
      </c>
      <c r="X52">
        <v>31.624219935908247</v>
      </c>
      <c r="Y52">
        <v>38.792376454714116</v>
      </c>
      <c r="Z52">
        <v>7.1681565188058691</v>
      </c>
      <c r="AA52">
        <v>4</v>
      </c>
      <c r="AB52">
        <v>4</v>
      </c>
      <c r="AC52" t="s">
        <v>106</v>
      </c>
      <c r="AD52">
        <v>2</v>
      </c>
      <c r="AE52">
        <v>0</v>
      </c>
      <c r="AG52">
        <v>5</v>
      </c>
      <c r="AH52">
        <v>1</v>
      </c>
      <c r="AI52">
        <v>4</v>
      </c>
      <c r="AJ52">
        <v>1</v>
      </c>
      <c r="AK52">
        <v>6</v>
      </c>
      <c r="AL52">
        <v>1</v>
      </c>
      <c r="AM52">
        <f>AJ52*AK52*AL52/7</f>
        <v>0.8571428571428571</v>
      </c>
      <c r="AN52" t="s">
        <v>43</v>
      </c>
      <c r="AO52">
        <v>0</v>
      </c>
      <c r="AV52">
        <f>AU52+AM52</f>
        <v>0.8571428571428571</v>
      </c>
      <c r="AX52">
        <v>0</v>
      </c>
      <c r="BE52">
        <f>AM52+AU52+BD52</f>
        <v>0.8571428571428571</v>
      </c>
      <c r="BG52">
        <v>0</v>
      </c>
      <c r="BJ52" t="s">
        <v>49</v>
      </c>
      <c r="BK52">
        <v>5</v>
      </c>
      <c r="BL52">
        <v>1</v>
      </c>
      <c r="BM52">
        <v>1</v>
      </c>
      <c r="BN52" t="s">
        <v>30</v>
      </c>
      <c r="BO52">
        <v>1</v>
      </c>
      <c r="BP52">
        <v>84</v>
      </c>
      <c r="BQ52">
        <v>0.13</v>
      </c>
      <c r="BR52">
        <v>1</v>
      </c>
      <c r="BS52">
        <v>0.13</v>
      </c>
      <c r="BT52">
        <f>BS52+BD52+AU52+AM52</f>
        <v>0.9871428571428571</v>
      </c>
      <c r="BU52">
        <v>1</v>
      </c>
      <c r="BV52">
        <v>2</v>
      </c>
      <c r="BW52">
        <v>293</v>
      </c>
      <c r="BX52">
        <f>BW52/7</f>
        <v>41.857142857142854</v>
      </c>
      <c r="BY52">
        <f>0.00077*BX52</f>
        <v>3.2229999999999995E-2</v>
      </c>
      <c r="BZ52">
        <f t="shared" si="0"/>
        <v>1.0193728571428571</v>
      </c>
    </row>
    <row r="53" spans="1:78">
      <c r="A53" s="1">
        <v>45160.872100960652</v>
      </c>
      <c r="B53" t="s">
        <v>865</v>
      </c>
      <c r="C53">
        <v>52</v>
      </c>
      <c r="D53" s="10">
        <v>34351</v>
      </c>
      <c r="E53">
        <v>29</v>
      </c>
      <c r="F53">
        <v>1</v>
      </c>
      <c r="G53">
        <v>1</v>
      </c>
      <c r="H53">
        <v>5</v>
      </c>
      <c r="I53" s="10">
        <v>44783</v>
      </c>
      <c r="J53">
        <v>1</v>
      </c>
      <c r="K53">
        <v>1</v>
      </c>
      <c r="L53">
        <v>1</v>
      </c>
      <c r="M53">
        <v>3080</v>
      </c>
      <c r="N53">
        <v>2</v>
      </c>
      <c r="O53" s="10">
        <v>44510</v>
      </c>
      <c r="P53">
        <v>0</v>
      </c>
      <c r="Q53">
        <v>39</v>
      </c>
      <c r="R53">
        <v>2</v>
      </c>
      <c r="S53">
        <v>60</v>
      </c>
      <c r="T53">
        <v>166</v>
      </c>
      <c r="U53">
        <v>77</v>
      </c>
      <c r="V53">
        <v>17</v>
      </c>
      <c r="W53">
        <v>3</v>
      </c>
      <c r="X53">
        <v>21.773842357381334</v>
      </c>
      <c r="Y53">
        <v>27.94309769197271</v>
      </c>
      <c r="Z53">
        <v>6.1692553345913765</v>
      </c>
      <c r="AA53">
        <v>2</v>
      </c>
      <c r="AB53">
        <v>3</v>
      </c>
      <c r="AC53" t="s">
        <v>33</v>
      </c>
      <c r="AD53">
        <v>3</v>
      </c>
      <c r="AE53">
        <v>0</v>
      </c>
      <c r="AG53">
        <v>5</v>
      </c>
      <c r="AH53">
        <v>1</v>
      </c>
      <c r="AI53">
        <v>2</v>
      </c>
      <c r="AJ53">
        <v>5</v>
      </c>
      <c r="AK53">
        <v>7</v>
      </c>
      <c r="AL53">
        <v>1</v>
      </c>
      <c r="AM53">
        <f>AJ53*AK53*AL53/7</f>
        <v>5</v>
      </c>
      <c r="AN53" t="s">
        <v>57</v>
      </c>
      <c r="AO53">
        <v>0</v>
      </c>
      <c r="AV53">
        <f>AU53+AM53</f>
        <v>5</v>
      </c>
      <c r="AW53" t="s">
        <v>645</v>
      </c>
      <c r="AX53">
        <v>1</v>
      </c>
      <c r="AY53" t="s">
        <v>645</v>
      </c>
      <c r="AZ53">
        <v>16</v>
      </c>
      <c r="BA53" t="s">
        <v>258</v>
      </c>
      <c r="BB53">
        <v>7</v>
      </c>
      <c r="BC53">
        <v>1</v>
      </c>
      <c r="BE53">
        <f>AM53+AU53+BD53</f>
        <v>5</v>
      </c>
      <c r="BF53" t="s">
        <v>645</v>
      </c>
      <c r="BG53">
        <v>0</v>
      </c>
      <c r="BH53">
        <v>7</v>
      </c>
      <c r="BI53">
        <v>1</v>
      </c>
      <c r="BJ53" t="s">
        <v>42</v>
      </c>
      <c r="BK53">
        <v>6</v>
      </c>
      <c r="BL53">
        <v>1</v>
      </c>
      <c r="BM53">
        <v>1</v>
      </c>
      <c r="BN53" t="s">
        <v>37</v>
      </c>
      <c r="BO53">
        <v>4</v>
      </c>
      <c r="BP53">
        <v>110</v>
      </c>
      <c r="BQ53">
        <v>0.05</v>
      </c>
      <c r="BR53">
        <v>2</v>
      </c>
      <c r="BS53">
        <v>0.1</v>
      </c>
      <c r="BT53">
        <f>BS53+BD53+AU53+AM53</f>
        <v>5.0999999999999996</v>
      </c>
      <c r="BU53">
        <v>1</v>
      </c>
      <c r="BV53">
        <v>1</v>
      </c>
      <c r="BW53">
        <v>146.5</v>
      </c>
      <c r="BX53">
        <f>BW53/7</f>
        <v>20.928571428571427</v>
      </c>
      <c r="BY53">
        <f>0.00077*BX53</f>
        <v>1.6114999999999997E-2</v>
      </c>
      <c r="BZ53">
        <f t="shared" si="0"/>
        <v>5.1161149999999997</v>
      </c>
    </row>
    <row r="54" spans="1:78">
      <c r="A54" s="1">
        <v>45160.877142986108</v>
      </c>
      <c r="C54">
        <v>53</v>
      </c>
      <c r="D54" s="10">
        <v>29671</v>
      </c>
      <c r="E54">
        <v>42</v>
      </c>
      <c r="F54">
        <v>1</v>
      </c>
      <c r="G54">
        <v>1</v>
      </c>
      <c r="H54">
        <v>5</v>
      </c>
      <c r="I54" s="10">
        <v>44861</v>
      </c>
      <c r="J54">
        <v>2</v>
      </c>
      <c r="K54">
        <v>0</v>
      </c>
      <c r="L54">
        <v>1</v>
      </c>
      <c r="M54">
        <v>3500</v>
      </c>
      <c r="N54">
        <v>2</v>
      </c>
      <c r="O54" s="10">
        <v>44602</v>
      </c>
      <c r="P54">
        <v>0</v>
      </c>
      <c r="Q54">
        <v>37</v>
      </c>
      <c r="R54">
        <v>2</v>
      </c>
      <c r="S54">
        <v>69</v>
      </c>
      <c r="T54">
        <v>165</v>
      </c>
      <c r="U54">
        <v>72</v>
      </c>
      <c r="V54">
        <v>3</v>
      </c>
      <c r="W54">
        <v>1</v>
      </c>
      <c r="X54">
        <v>25.344352617079892</v>
      </c>
      <c r="Y54">
        <v>26.446280991735541</v>
      </c>
      <c r="Z54">
        <v>1.1019283746556496</v>
      </c>
      <c r="AA54">
        <v>3</v>
      </c>
      <c r="AB54">
        <v>3</v>
      </c>
      <c r="AC54" t="s">
        <v>33</v>
      </c>
      <c r="AD54">
        <v>3</v>
      </c>
      <c r="AE54">
        <v>0</v>
      </c>
      <c r="AG54">
        <v>5</v>
      </c>
      <c r="AH54">
        <v>1</v>
      </c>
      <c r="AI54">
        <v>5</v>
      </c>
      <c r="AJ54">
        <v>5</v>
      </c>
      <c r="AK54">
        <v>7</v>
      </c>
      <c r="AL54">
        <v>1</v>
      </c>
      <c r="AM54">
        <f>AJ54*AK54*AL54/7</f>
        <v>5</v>
      </c>
      <c r="AN54" t="s">
        <v>27</v>
      </c>
      <c r="AO54">
        <v>0</v>
      </c>
      <c r="AV54">
        <f>AU54+AM54</f>
        <v>5</v>
      </c>
      <c r="AW54" t="s">
        <v>107</v>
      </c>
      <c r="AX54">
        <v>1</v>
      </c>
      <c r="AY54" t="s">
        <v>107</v>
      </c>
      <c r="AZ54">
        <v>10</v>
      </c>
      <c r="BA54">
        <v>0.5</v>
      </c>
      <c r="BB54">
        <v>7</v>
      </c>
      <c r="BC54">
        <v>1</v>
      </c>
      <c r="BD54">
        <f>BA54*BB54*1/7</f>
        <v>0.5</v>
      </c>
      <c r="BE54">
        <f>AM54+AU54+BD54</f>
        <v>5.5</v>
      </c>
      <c r="BF54" t="s">
        <v>107</v>
      </c>
      <c r="BG54">
        <v>0</v>
      </c>
      <c r="BH54">
        <v>7</v>
      </c>
      <c r="BI54">
        <v>1</v>
      </c>
      <c r="BJ54" t="s">
        <v>49</v>
      </c>
      <c r="BK54">
        <v>5</v>
      </c>
      <c r="BL54">
        <v>1</v>
      </c>
      <c r="BM54">
        <v>1</v>
      </c>
      <c r="BN54" t="s">
        <v>37</v>
      </c>
      <c r="BO54">
        <v>4</v>
      </c>
      <c r="BP54">
        <v>55</v>
      </c>
      <c r="BQ54">
        <v>0.05</v>
      </c>
      <c r="BR54">
        <v>1</v>
      </c>
      <c r="BS54">
        <v>0.05</v>
      </c>
      <c r="BT54">
        <f>BS54+BD54+AU54+AM54</f>
        <v>5.55</v>
      </c>
      <c r="BU54">
        <v>0</v>
      </c>
      <c r="BW54">
        <v>0</v>
      </c>
      <c r="BX54">
        <f>BW54/7</f>
        <v>0</v>
      </c>
      <c r="BY54">
        <f>0.00077*BX54</f>
        <v>0</v>
      </c>
      <c r="BZ54">
        <f t="shared" si="0"/>
        <v>5.55</v>
      </c>
    </row>
    <row r="55" spans="1:78">
      <c r="A55" s="1">
        <v>45160.88045571759</v>
      </c>
      <c r="C55">
        <v>54</v>
      </c>
      <c r="D55" s="10">
        <v>31155</v>
      </c>
      <c r="E55">
        <v>38</v>
      </c>
      <c r="F55">
        <v>2</v>
      </c>
      <c r="G55">
        <v>1</v>
      </c>
      <c r="H55">
        <v>4</v>
      </c>
      <c r="I55" s="10">
        <v>44445</v>
      </c>
      <c r="J55">
        <v>1</v>
      </c>
      <c r="K55">
        <v>1</v>
      </c>
      <c r="L55">
        <v>1</v>
      </c>
      <c r="M55">
        <v>3800</v>
      </c>
      <c r="N55">
        <v>2</v>
      </c>
      <c r="O55" s="10">
        <v>44179</v>
      </c>
      <c r="P55">
        <v>1</v>
      </c>
      <c r="Q55">
        <v>38</v>
      </c>
      <c r="R55">
        <v>2</v>
      </c>
      <c r="S55">
        <v>65</v>
      </c>
      <c r="T55">
        <v>165</v>
      </c>
      <c r="U55">
        <v>72</v>
      </c>
      <c r="V55">
        <v>7</v>
      </c>
      <c r="W55">
        <v>1</v>
      </c>
      <c r="X55">
        <v>23.875114784205696</v>
      </c>
      <c r="Y55">
        <v>26.446280991735541</v>
      </c>
      <c r="Z55">
        <v>2.5711662075298456</v>
      </c>
      <c r="AA55">
        <v>2</v>
      </c>
      <c r="AB55">
        <v>3</v>
      </c>
      <c r="AC55" t="s">
        <v>44</v>
      </c>
      <c r="AD55">
        <v>1</v>
      </c>
      <c r="AE55">
        <v>1</v>
      </c>
      <c r="AF55" t="s">
        <v>108</v>
      </c>
      <c r="AG55">
        <v>3</v>
      </c>
      <c r="AH55">
        <v>1</v>
      </c>
      <c r="AI55">
        <v>4</v>
      </c>
      <c r="AJ55">
        <v>1</v>
      </c>
      <c r="AK55">
        <v>5</v>
      </c>
      <c r="AL55">
        <v>1</v>
      </c>
      <c r="AM55">
        <f>AJ55*AK55*AL55/7</f>
        <v>0.7142857142857143</v>
      </c>
      <c r="AN55" t="s">
        <v>43</v>
      </c>
      <c r="AO55">
        <v>0</v>
      </c>
      <c r="AV55">
        <f>AU55+AM55</f>
        <v>0.7142857142857143</v>
      </c>
      <c r="AW55" t="s">
        <v>58</v>
      </c>
      <c r="AX55">
        <v>1</v>
      </c>
      <c r="AY55" t="s">
        <v>58</v>
      </c>
      <c r="AZ55">
        <v>1</v>
      </c>
      <c r="BA55">
        <v>0.8</v>
      </c>
      <c r="BB55">
        <v>6</v>
      </c>
      <c r="BC55">
        <v>1</v>
      </c>
      <c r="BD55">
        <f>BA55*BB55*1/7</f>
        <v>0.68571428571428583</v>
      </c>
      <c r="BE55">
        <f>AM55+AU55+BD55</f>
        <v>1.4000000000000001</v>
      </c>
      <c r="BF55" t="s">
        <v>58</v>
      </c>
      <c r="BG55">
        <v>0</v>
      </c>
      <c r="BH55">
        <v>6</v>
      </c>
      <c r="BI55">
        <v>1</v>
      </c>
      <c r="BJ55" t="s">
        <v>42</v>
      </c>
      <c r="BK55">
        <v>6</v>
      </c>
      <c r="BL55">
        <v>2</v>
      </c>
      <c r="BM55">
        <v>1</v>
      </c>
      <c r="BN55" t="s">
        <v>63</v>
      </c>
      <c r="BO55">
        <v>5</v>
      </c>
      <c r="BP55">
        <v>24</v>
      </c>
      <c r="BQ55">
        <v>0.06</v>
      </c>
      <c r="BR55">
        <v>0.5</v>
      </c>
      <c r="BS55">
        <v>0.03</v>
      </c>
      <c r="BT55">
        <f>BS55+BD55+AU55+AM55</f>
        <v>1.4300000000000002</v>
      </c>
      <c r="BU55">
        <v>1</v>
      </c>
      <c r="BV55">
        <v>0.5</v>
      </c>
      <c r="BW55">
        <v>73.25</v>
      </c>
      <c r="BX55">
        <f>BW55/7</f>
        <v>10.464285714285714</v>
      </c>
      <c r="BY55">
        <f>0.00077*BX55</f>
        <v>8.0574999999999987E-3</v>
      </c>
      <c r="BZ55">
        <f t="shared" si="0"/>
        <v>1.4380575000000002</v>
      </c>
    </row>
    <row r="56" spans="1:78">
      <c r="A56" s="1">
        <v>45160.88992332176</v>
      </c>
      <c r="C56">
        <v>55</v>
      </c>
      <c r="D56" s="10">
        <v>29897</v>
      </c>
      <c r="E56">
        <v>41</v>
      </c>
      <c r="F56">
        <v>1</v>
      </c>
      <c r="G56">
        <v>1</v>
      </c>
      <c r="H56">
        <v>5</v>
      </c>
      <c r="I56" s="10">
        <v>43103</v>
      </c>
      <c r="J56">
        <v>4</v>
      </c>
      <c r="K56">
        <v>0</v>
      </c>
      <c r="L56">
        <v>1</v>
      </c>
      <c r="M56">
        <v>3200</v>
      </c>
      <c r="N56">
        <v>2</v>
      </c>
      <c r="O56" s="10">
        <v>42837</v>
      </c>
      <c r="P56">
        <v>0</v>
      </c>
      <c r="Q56">
        <v>38</v>
      </c>
      <c r="R56">
        <v>2</v>
      </c>
      <c r="S56">
        <v>56</v>
      </c>
      <c r="T56">
        <v>162</v>
      </c>
      <c r="U56">
        <v>64</v>
      </c>
      <c r="V56">
        <v>8</v>
      </c>
      <c r="W56">
        <v>1</v>
      </c>
      <c r="X56">
        <v>21.338210638622158</v>
      </c>
      <c r="Y56">
        <v>24.386526444139609</v>
      </c>
      <c r="Z56">
        <v>3.0483158055174506</v>
      </c>
      <c r="AA56">
        <v>2</v>
      </c>
      <c r="AB56">
        <v>2</v>
      </c>
      <c r="AC56" t="s">
        <v>33</v>
      </c>
      <c r="AD56">
        <v>3</v>
      </c>
      <c r="AE56">
        <v>0</v>
      </c>
      <c r="AG56">
        <v>5</v>
      </c>
      <c r="AH56">
        <v>1</v>
      </c>
      <c r="AI56">
        <v>5</v>
      </c>
      <c r="AJ56">
        <v>5</v>
      </c>
      <c r="AK56">
        <v>7</v>
      </c>
      <c r="AL56">
        <v>1</v>
      </c>
      <c r="AM56">
        <f>AJ56*AK56*AL56/7</f>
        <v>5</v>
      </c>
      <c r="AN56" t="s">
        <v>27</v>
      </c>
      <c r="AO56">
        <v>0</v>
      </c>
      <c r="AV56">
        <f>AU56+AM56</f>
        <v>5</v>
      </c>
      <c r="AX56">
        <v>0</v>
      </c>
      <c r="BE56">
        <f>AM56+AU56+BD56</f>
        <v>5</v>
      </c>
      <c r="BG56">
        <v>0</v>
      </c>
      <c r="BJ56" t="s">
        <v>28</v>
      </c>
      <c r="BK56">
        <v>3</v>
      </c>
      <c r="BL56">
        <v>1</v>
      </c>
      <c r="BM56">
        <v>1</v>
      </c>
      <c r="BN56" t="s">
        <v>30</v>
      </c>
      <c r="BO56">
        <v>1</v>
      </c>
      <c r="BP56">
        <v>42</v>
      </c>
      <c r="BQ56">
        <v>0.13</v>
      </c>
      <c r="BR56">
        <v>0.5</v>
      </c>
      <c r="BS56">
        <v>6.5000000000000002E-2</v>
      </c>
      <c r="BT56">
        <f>BS56+BD56+AU56+AM56</f>
        <v>5.0650000000000004</v>
      </c>
      <c r="BU56">
        <v>1</v>
      </c>
      <c r="BV56">
        <v>2</v>
      </c>
      <c r="BW56">
        <v>293</v>
      </c>
      <c r="BX56">
        <f>BW56/7</f>
        <v>41.857142857142854</v>
      </c>
      <c r="BY56">
        <f>0.00077*BX56</f>
        <v>3.2229999999999995E-2</v>
      </c>
      <c r="BZ56">
        <f t="shared" si="0"/>
        <v>5.0972300000000006</v>
      </c>
    </row>
    <row r="57" spans="1:78">
      <c r="A57" s="1">
        <v>45160.892565254631</v>
      </c>
      <c r="C57">
        <v>56</v>
      </c>
      <c r="D57" s="10">
        <v>30646</v>
      </c>
      <c r="E57">
        <v>39</v>
      </c>
      <c r="F57">
        <v>1</v>
      </c>
      <c r="G57">
        <v>1</v>
      </c>
      <c r="H57">
        <v>5</v>
      </c>
      <c r="I57" s="10">
        <v>44375</v>
      </c>
      <c r="J57">
        <v>2</v>
      </c>
      <c r="K57">
        <v>0</v>
      </c>
      <c r="L57">
        <v>2</v>
      </c>
      <c r="M57">
        <v>3520</v>
      </c>
      <c r="N57">
        <v>2</v>
      </c>
      <c r="O57" s="10">
        <v>44102</v>
      </c>
      <c r="P57">
        <v>1</v>
      </c>
      <c r="Q57">
        <v>39</v>
      </c>
      <c r="R57">
        <v>2</v>
      </c>
      <c r="S57">
        <v>55</v>
      </c>
      <c r="T57">
        <v>169</v>
      </c>
      <c r="U57">
        <v>64</v>
      </c>
      <c r="V57">
        <v>9</v>
      </c>
      <c r="W57">
        <v>1</v>
      </c>
      <c r="X57">
        <v>19.257028815517668</v>
      </c>
      <c r="Y57">
        <v>22.408178985329648</v>
      </c>
      <c r="Z57">
        <v>3.1511501698119808</v>
      </c>
      <c r="AA57">
        <v>2</v>
      </c>
      <c r="AB57">
        <v>2</v>
      </c>
      <c r="AC57" t="s">
        <v>33</v>
      </c>
      <c r="AD57">
        <v>3</v>
      </c>
      <c r="AE57">
        <v>0</v>
      </c>
      <c r="AG57">
        <v>5</v>
      </c>
      <c r="AH57">
        <v>1</v>
      </c>
      <c r="AI57">
        <v>5</v>
      </c>
      <c r="AJ57">
        <v>5</v>
      </c>
      <c r="AK57">
        <v>3</v>
      </c>
      <c r="AL57">
        <v>1</v>
      </c>
      <c r="AM57">
        <f>AJ57*AK57*AL57/7</f>
        <v>2.1428571428571428</v>
      </c>
      <c r="AN57" t="s">
        <v>27</v>
      </c>
      <c r="AO57">
        <v>0</v>
      </c>
      <c r="AV57">
        <f>AU57+AM57</f>
        <v>2.1428571428571428</v>
      </c>
      <c r="AW57" t="s">
        <v>58</v>
      </c>
      <c r="AX57">
        <v>1</v>
      </c>
      <c r="AY57" t="s">
        <v>58</v>
      </c>
      <c r="AZ57">
        <v>1</v>
      </c>
      <c r="BA57">
        <v>0.8</v>
      </c>
      <c r="BB57">
        <v>7</v>
      </c>
      <c r="BC57">
        <v>1</v>
      </c>
      <c r="BD57">
        <f>BA57*BB57*1/7</f>
        <v>0.8</v>
      </c>
      <c r="BE57">
        <f>AM57+AU57+BD57</f>
        <v>2.9428571428571431</v>
      </c>
      <c r="BF57" t="s">
        <v>58</v>
      </c>
      <c r="BG57">
        <v>0</v>
      </c>
      <c r="BH57">
        <v>7</v>
      </c>
      <c r="BI57">
        <v>1</v>
      </c>
      <c r="BJ57" t="s">
        <v>49</v>
      </c>
      <c r="BK57">
        <v>5</v>
      </c>
      <c r="BL57">
        <v>1</v>
      </c>
      <c r="BM57">
        <v>1</v>
      </c>
      <c r="BN57" t="s">
        <v>30</v>
      </c>
      <c r="BO57">
        <v>1</v>
      </c>
      <c r="BP57">
        <v>84</v>
      </c>
      <c r="BQ57">
        <v>0.13</v>
      </c>
      <c r="BR57">
        <v>1</v>
      </c>
      <c r="BS57">
        <v>0.13</v>
      </c>
      <c r="BT57">
        <f>BS57+BD57+AU57+AM57</f>
        <v>3.072857142857143</v>
      </c>
      <c r="BU57">
        <v>1</v>
      </c>
      <c r="BV57">
        <v>1</v>
      </c>
      <c r="BW57">
        <v>146.5</v>
      </c>
      <c r="BX57">
        <f>BW57/7</f>
        <v>20.928571428571427</v>
      </c>
      <c r="BY57">
        <f>0.00077*BX57</f>
        <v>1.6114999999999997E-2</v>
      </c>
      <c r="BZ57">
        <f t="shared" si="0"/>
        <v>3.0889721428571431</v>
      </c>
    </row>
    <row r="58" spans="1:78">
      <c r="A58" s="1">
        <v>45160.904210034721</v>
      </c>
      <c r="C58">
        <v>57</v>
      </c>
      <c r="D58" s="10">
        <v>33623</v>
      </c>
      <c r="E58">
        <v>31</v>
      </c>
      <c r="F58">
        <v>1</v>
      </c>
      <c r="G58">
        <v>1</v>
      </c>
      <c r="H58">
        <v>5</v>
      </c>
      <c r="I58" s="10">
        <v>44449</v>
      </c>
      <c r="J58">
        <v>1</v>
      </c>
      <c r="K58">
        <v>1</v>
      </c>
      <c r="L58">
        <v>1</v>
      </c>
      <c r="M58">
        <v>3380</v>
      </c>
      <c r="N58">
        <v>2</v>
      </c>
      <c r="O58" s="10">
        <v>44172</v>
      </c>
      <c r="P58">
        <v>1</v>
      </c>
      <c r="Q58">
        <v>39.571428571428569</v>
      </c>
      <c r="R58">
        <v>2</v>
      </c>
      <c r="S58">
        <v>52</v>
      </c>
      <c r="T58">
        <v>158</v>
      </c>
      <c r="U58">
        <v>69</v>
      </c>
      <c r="V58">
        <v>17</v>
      </c>
      <c r="W58">
        <v>3</v>
      </c>
      <c r="X58">
        <v>20.82999519307803</v>
      </c>
      <c r="Y58">
        <v>27.639801313892001</v>
      </c>
      <c r="Z58">
        <v>6.8098061208139704</v>
      </c>
      <c r="AA58">
        <v>2</v>
      </c>
      <c r="AB58">
        <v>3</v>
      </c>
      <c r="AC58" t="s">
        <v>33</v>
      </c>
      <c r="AD58">
        <v>3</v>
      </c>
      <c r="AE58">
        <v>0</v>
      </c>
      <c r="AG58">
        <v>5</v>
      </c>
      <c r="AH58">
        <v>0</v>
      </c>
      <c r="AI58">
        <v>0</v>
      </c>
      <c r="AO58">
        <v>0</v>
      </c>
      <c r="AW58" t="s">
        <v>98</v>
      </c>
      <c r="AX58">
        <v>1</v>
      </c>
      <c r="AY58" t="s">
        <v>98</v>
      </c>
      <c r="AZ58">
        <v>14</v>
      </c>
      <c r="BA58">
        <v>0.5</v>
      </c>
      <c r="BB58">
        <v>7</v>
      </c>
      <c r="BC58">
        <v>2</v>
      </c>
      <c r="BD58">
        <f>BA58*BB58*1/7</f>
        <v>0.5</v>
      </c>
      <c r="BE58">
        <f>AM58+AU58+BD58</f>
        <v>0.5</v>
      </c>
      <c r="BF58" t="s">
        <v>98</v>
      </c>
      <c r="BG58">
        <v>0</v>
      </c>
      <c r="BH58">
        <v>7</v>
      </c>
      <c r="BI58">
        <v>2</v>
      </c>
      <c r="BJ58" t="s">
        <v>51</v>
      </c>
      <c r="BK58">
        <v>1</v>
      </c>
      <c r="BL58">
        <v>3</v>
      </c>
      <c r="BM58">
        <v>1</v>
      </c>
      <c r="BN58" t="s">
        <v>111</v>
      </c>
      <c r="BO58">
        <v>7</v>
      </c>
      <c r="BP58">
        <v>75</v>
      </c>
      <c r="BQ58">
        <v>0.23</v>
      </c>
      <c r="BR58">
        <v>0.5</v>
      </c>
      <c r="BS58">
        <v>0.115</v>
      </c>
      <c r="BT58">
        <f>BS58+BD58+AU58+AM58</f>
        <v>0.61499999999999999</v>
      </c>
      <c r="BU58">
        <v>1</v>
      </c>
      <c r="BV58">
        <v>0.5</v>
      </c>
      <c r="BW58">
        <v>73.25</v>
      </c>
      <c r="BX58">
        <f>BW58/7</f>
        <v>10.464285714285714</v>
      </c>
      <c r="BY58">
        <f>0.00077*BX58</f>
        <v>8.0574999999999987E-3</v>
      </c>
      <c r="BZ58">
        <f t="shared" si="0"/>
        <v>0.62305750000000004</v>
      </c>
    </row>
    <row r="59" spans="1:78">
      <c r="A59" s="1">
        <v>45160.904291250001</v>
      </c>
      <c r="C59">
        <v>58</v>
      </c>
      <c r="D59" s="10">
        <v>32063</v>
      </c>
      <c r="E59">
        <v>35</v>
      </c>
      <c r="F59">
        <v>1</v>
      </c>
      <c r="G59">
        <v>1</v>
      </c>
      <c r="H59">
        <v>5</v>
      </c>
      <c r="I59" s="10">
        <v>44648</v>
      </c>
      <c r="J59">
        <v>1</v>
      </c>
      <c r="K59">
        <v>1</v>
      </c>
      <c r="L59">
        <v>1</v>
      </c>
      <c r="M59">
        <v>3165</v>
      </c>
      <c r="N59">
        <v>2</v>
      </c>
      <c r="O59" s="10">
        <v>44368</v>
      </c>
      <c r="P59">
        <v>1</v>
      </c>
      <c r="Q59">
        <v>40</v>
      </c>
      <c r="R59">
        <v>2</v>
      </c>
      <c r="S59">
        <v>62</v>
      </c>
      <c r="T59">
        <v>153.5</v>
      </c>
      <c r="U59">
        <v>65</v>
      </c>
      <c r="V59">
        <v>3</v>
      </c>
      <c r="W59">
        <v>1</v>
      </c>
      <c r="X59">
        <v>26.313276533438025</v>
      </c>
      <c r="Y59">
        <v>27.586499591507604</v>
      </c>
      <c r="Z59">
        <v>1.2732230580695791</v>
      </c>
      <c r="AA59">
        <v>3</v>
      </c>
      <c r="AB59">
        <v>3</v>
      </c>
      <c r="AC59" t="s">
        <v>89</v>
      </c>
      <c r="AD59">
        <v>2</v>
      </c>
      <c r="AE59">
        <v>0</v>
      </c>
      <c r="AG59">
        <v>5</v>
      </c>
      <c r="AH59">
        <v>1</v>
      </c>
      <c r="AI59">
        <v>2</v>
      </c>
      <c r="AJ59">
        <v>5</v>
      </c>
      <c r="AK59">
        <v>7</v>
      </c>
      <c r="AL59">
        <v>1</v>
      </c>
      <c r="AM59">
        <f>AJ59*AK59*AL59/7</f>
        <v>5</v>
      </c>
      <c r="AN59" t="s">
        <v>57</v>
      </c>
      <c r="AO59">
        <v>0</v>
      </c>
      <c r="AV59">
        <f>AU59+AM59</f>
        <v>5</v>
      </c>
      <c r="AW59" t="s">
        <v>112</v>
      </c>
      <c r="AX59">
        <v>0</v>
      </c>
      <c r="BE59">
        <f>AM59+AU59+BD59</f>
        <v>5</v>
      </c>
      <c r="BF59" t="s">
        <v>112</v>
      </c>
      <c r="BG59">
        <v>1</v>
      </c>
      <c r="BH59">
        <v>7</v>
      </c>
      <c r="BI59">
        <v>1</v>
      </c>
      <c r="BJ59" t="s">
        <v>36</v>
      </c>
      <c r="BK59">
        <v>4</v>
      </c>
      <c r="BL59">
        <v>3</v>
      </c>
      <c r="BM59">
        <v>1</v>
      </c>
      <c r="BN59" t="s">
        <v>37</v>
      </c>
      <c r="BO59">
        <v>4</v>
      </c>
      <c r="BP59">
        <v>55</v>
      </c>
      <c r="BQ59">
        <v>0.05</v>
      </c>
      <c r="BR59">
        <v>1</v>
      </c>
      <c r="BS59">
        <v>0.05</v>
      </c>
      <c r="BT59">
        <f>BS59+BD59+AU59+AM59</f>
        <v>5.05</v>
      </c>
      <c r="BU59">
        <v>1</v>
      </c>
      <c r="BV59">
        <v>1</v>
      </c>
      <c r="BW59">
        <v>146.5</v>
      </c>
      <c r="BX59">
        <f>BW59/7</f>
        <v>20.928571428571427</v>
      </c>
      <c r="BY59">
        <f>0.00077*BX59</f>
        <v>1.6114999999999997E-2</v>
      </c>
      <c r="BZ59">
        <f t="shared" si="0"/>
        <v>5.0661149999999999</v>
      </c>
    </row>
    <row r="60" spans="1:78">
      <c r="A60" s="1">
        <v>45160.909080567129</v>
      </c>
      <c r="C60">
        <v>59</v>
      </c>
      <c r="D60" s="10">
        <v>30157</v>
      </c>
      <c r="E60">
        <v>41</v>
      </c>
      <c r="F60">
        <v>1</v>
      </c>
      <c r="G60">
        <v>1</v>
      </c>
      <c r="H60">
        <v>5</v>
      </c>
      <c r="I60" s="10">
        <v>43784</v>
      </c>
      <c r="J60">
        <v>4</v>
      </c>
      <c r="K60">
        <v>0</v>
      </c>
      <c r="L60">
        <v>1</v>
      </c>
      <c r="M60">
        <v>2850</v>
      </c>
      <c r="N60">
        <v>2</v>
      </c>
      <c r="O60" s="10">
        <v>43518</v>
      </c>
      <c r="P60">
        <v>0</v>
      </c>
      <c r="Q60">
        <v>38</v>
      </c>
      <c r="R60">
        <v>2</v>
      </c>
      <c r="S60">
        <v>76</v>
      </c>
      <c r="T60">
        <v>169</v>
      </c>
      <c r="U60">
        <v>86</v>
      </c>
      <c r="V60">
        <v>10</v>
      </c>
      <c r="W60">
        <v>2</v>
      </c>
      <c r="X60">
        <v>26.609712545078956</v>
      </c>
      <c r="Y60">
        <v>30.110990511536716</v>
      </c>
      <c r="Z60">
        <v>3.50127796645776</v>
      </c>
      <c r="AA60">
        <v>3</v>
      </c>
      <c r="AB60">
        <v>4</v>
      </c>
      <c r="AC60" t="s">
        <v>33</v>
      </c>
      <c r="AD60">
        <v>3</v>
      </c>
      <c r="AE60">
        <v>0</v>
      </c>
      <c r="AG60">
        <v>5</v>
      </c>
      <c r="AH60">
        <v>0</v>
      </c>
      <c r="AI60">
        <v>0</v>
      </c>
      <c r="AO60">
        <v>0</v>
      </c>
      <c r="AW60" t="s">
        <v>58</v>
      </c>
      <c r="AX60">
        <v>1</v>
      </c>
      <c r="AY60" t="s">
        <v>58</v>
      </c>
      <c r="AZ60">
        <v>1</v>
      </c>
      <c r="BA60">
        <v>0.8</v>
      </c>
      <c r="BB60">
        <v>4</v>
      </c>
      <c r="BC60">
        <v>1</v>
      </c>
      <c r="BD60">
        <f>BA60*BB60*1/7</f>
        <v>0.45714285714285718</v>
      </c>
      <c r="BE60">
        <f>AM60+AU60+BD60</f>
        <v>0.45714285714285718</v>
      </c>
      <c r="BF60" t="s">
        <v>58</v>
      </c>
      <c r="BG60">
        <v>0</v>
      </c>
      <c r="BH60">
        <v>4</v>
      </c>
      <c r="BI60">
        <v>1</v>
      </c>
      <c r="BJ60" t="s">
        <v>114</v>
      </c>
      <c r="BK60">
        <v>6</v>
      </c>
      <c r="BL60">
        <v>3</v>
      </c>
      <c r="BM60">
        <v>1</v>
      </c>
      <c r="BN60" t="s">
        <v>30</v>
      </c>
      <c r="BO60">
        <v>1</v>
      </c>
      <c r="BP60">
        <v>168</v>
      </c>
      <c r="BQ60">
        <v>0.13</v>
      </c>
      <c r="BR60">
        <v>2</v>
      </c>
      <c r="BS60">
        <v>0.26</v>
      </c>
      <c r="BT60">
        <f>BS60+BD60+AU60+AM60</f>
        <v>0.71714285714285719</v>
      </c>
      <c r="BU60">
        <v>1</v>
      </c>
      <c r="BV60">
        <v>2</v>
      </c>
      <c r="BW60">
        <v>293</v>
      </c>
      <c r="BX60">
        <f>BW60/7</f>
        <v>41.857142857142854</v>
      </c>
      <c r="BY60">
        <f>0.00077*BX60</f>
        <v>3.2229999999999995E-2</v>
      </c>
      <c r="BZ60">
        <f t="shared" si="0"/>
        <v>0.74937285714285717</v>
      </c>
    </row>
    <row r="61" spans="1:78">
      <c r="A61" s="1">
        <v>45161.296723101856</v>
      </c>
      <c r="C61">
        <v>60</v>
      </c>
      <c r="D61" s="10">
        <v>29465</v>
      </c>
      <c r="E61">
        <v>42</v>
      </c>
      <c r="F61">
        <v>1</v>
      </c>
      <c r="G61">
        <v>10</v>
      </c>
      <c r="H61">
        <v>5</v>
      </c>
      <c r="I61" s="10">
        <v>44366</v>
      </c>
      <c r="J61">
        <v>1</v>
      </c>
      <c r="K61">
        <v>1</v>
      </c>
      <c r="L61">
        <v>1</v>
      </c>
      <c r="M61">
        <v>3480</v>
      </c>
      <c r="N61">
        <v>2</v>
      </c>
      <c r="O61" s="10">
        <v>44079</v>
      </c>
      <c r="P61">
        <v>1</v>
      </c>
      <c r="Q61">
        <v>41</v>
      </c>
      <c r="R61">
        <v>2</v>
      </c>
      <c r="S61">
        <v>64</v>
      </c>
      <c r="T61">
        <v>160</v>
      </c>
      <c r="U61">
        <v>76</v>
      </c>
      <c r="V61">
        <v>12</v>
      </c>
      <c r="W61">
        <v>3</v>
      </c>
      <c r="X61">
        <v>24.999999999999996</v>
      </c>
      <c r="Y61">
        <v>29.687499999999993</v>
      </c>
      <c r="Z61">
        <v>4.6874999999999964</v>
      </c>
      <c r="AA61">
        <v>3</v>
      </c>
      <c r="AB61">
        <v>3</v>
      </c>
      <c r="AC61" t="s">
        <v>33</v>
      </c>
      <c r="AD61">
        <v>3</v>
      </c>
      <c r="AE61">
        <v>0</v>
      </c>
      <c r="AG61">
        <v>5</v>
      </c>
      <c r="AH61">
        <v>1</v>
      </c>
      <c r="AI61">
        <v>4</v>
      </c>
      <c r="AJ61">
        <v>1</v>
      </c>
      <c r="AK61">
        <v>7</v>
      </c>
      <c r="AL61">
        <v>1</v>
      </c>
      <c r="AM61">
        <f>AJ61*AK61*AL61/7</f>
        <v>1</v>
      </c>
      <c r="AN61" t="s">
        <v>43</v>
      </c>
      <c r="AO61">
        <v>0</v>
      </c>
      <c r="AV61">
        <f>AU61+AM61</f>
        <v>1</v>
      </c>
      <c r="AX61">
        <v>0</v>
      </c>
      <c r="BE61">
        <f>AM61+AU61+BD61</f>
        <v>1</v>
      </c>
      <c r="BG61">
        <v>0</v>
      </c>
      <c r="BJ61" t="s">
        <v>36</v>
      </c>
      <c r="BK61">
        <v>4</v>
      </c>
      <c r="BL61">
        <v>1</v>
      </c>
      <c r="BM61">
        <v>1</v>
      </c>
      <c r="BN61" t="s">
        <v>30</v>
      </c>
      <c r="BO61">
        <v>1</v>
      </c>
      <c r="BP61">
        <v>84</v>
      </c>
      <c r="BQ61">
        <v>0.13</v>
      </c>
      <c r="BR61">
        <v>1</v>
      </c>
      <c r="BS61">
        <v>0.13</v>
      </c>
      <c r="BT61">
        <f>BS61+BD61+AU61+AM61</f>
        <v>1.1299999999999999</v>
      </c>
      <c r="BU61">
        <v>1</v>
      </c>
      <c r="BV61">
        <v>0.5</v>
      </c>
      <c r="BW61">
        <v>73.25</v>
      </c>
      <c r="BX61">
        <f>BW61/7</f>
        <v>10.464285714285714</v>
      </c>
      <c r="BY61">
        <f>0.00077*BX61</f>
        <v>8.0574999999999987E-3</v>
      </c>
      <c r="BZ61">
        <f t="shared" si="0"/>
        <v>1.1380574999999999</v>
      </c>
    </row>
    <row r="62" spans="1:78">
      <c r="A62" s="1">
        <v>45161.330186840278</v>
      </c>
      <c r="C62">
        <v>61</v>
      </c>
      <c r="D62" s="10">
        <v>32008</v>
      </c>
      <c r="E62">
        <v>36</v>
      </c>
      <c r="F62">
        <v>1</v>
      </c>
      <c r="G62">
        <v>1</v>
      </c>
      <c r="H62">
        <v>4</v>
      </c>
      <c r="I62" s="10">
        <v>44018</v>
      </c>
      <c r="J62">
        <v>2</v>
      </c>
      <c r="K62">
        <v>0</v>
      </c>
      <c r="L62">
        <v>2</v>
      </c>
      <c r="M62">
        <v>2790</v>
      </c>
      <c r="N62">
        <v>2</v>
      </c>
      <c r="O62" s="10">
        <v>43773</v>
      </c>
      <c r="P62">
        <v>0</v>
      </c>
      <c r="Q62">
        <v>35</v>
      </c>
      <c r="R62">
        <v>3</v>
      </c>
      <c r="S62">
        <v>80</v>
      </c>
      <c r="T62">
        <v>175</v>
      </c>
      <c r="U62">
        <v>89</v>
      </c>
      <c r="V62">
        <v>9</v>
      </c>
      <c r="W62">
        <v>2</v>
      </c>
      <c r="X62">
        <v>26.122448979591837</v>
      </c>
      <c r="Y62">
        <v>29.061224489795919</v>
      </c>
      <c r="Z62">
        <v>2.9387755102040813</v>
      </c>
      <c r="AA62">
        <v>3</v>
      </c>
      <c r="AB62">
        <v>3</v>
      </c>
      <c r="AC62" t="s">
        <v>33</v>
      </c>
      <c r="AD62">
        <v>3</v>
      </c>
      <c r="AE62">
        <v>0</v>
      </c>
      <c r="AG62">
        <v>5</v>
      </c>
      <c r="AH62">
        <v>1</v>
      </c>
      <c r="AI62">
        <v>5</v>
      </c>
      <c r="AJ62">
        <v>5</v>
      </c>
      <c r="AK62">
        <v>7</v>
      </c>
      <c r="AL62">
        <v>1</v>
      </c>
      <c r="AM62">
        <f>AJ62*AK62*AL62/7</f>
        <v>5</v>
      </c>
      <c r="AN62" t="s">
        <v>27</v>
      </c>
      <c r="AO62">
        <v>0</v>
      </c>
      <c r="AV62">
        <f>AU62+AM62</f>
        <v>5</v>
      </c>
      <c r="AW62" t="s">
        <v>58</v>
      </c>
      <c r="AX62">
        <v>1</v>
      </c>
      <c r="AY62" t="s">
        <v>58</v>
      </c>
      <c r="AZ62">
        <v>1</v>
      </c>
      <c r="BA62">
        <v>0.8</v>
      </c>
      <c r="BB62">
        <v>7</v>
      </c>
      <c r="BC62">
        <v>1</v>
      </c>
      <c r="BD62">
        <f>BA62*BB62*1/7</f>
        <v>0.8</v>
      </c>
      <c r="BE62">
        <f>AM62+AU62+BD62</f>
        <v>5.8</v>
      </c>
      <c r="BF62" t="s">
        <v>58</v>
      </c>
      <c r="BG62">
        <v>0</v>
      </c>
      <c r="BH62">
        <v>7</v>
      </c>
      <c r="BI62">
        <v>1</v>
      </c>
      <c r="BJ62" t="s">
        <v>28</v>
      </c>
      <c r="BK62">
        <v>3</v>
      </c>
      <c r="BL62">
        <v>1</v>
      </c>
      <c r="BM62">
        <v>1</v>
      </c>
      <c r="BN62" t="s">
        <v>30</v>
      </c>
      <c r="BO62">
        <v>1</v>
      </c>
      <c r="BP62">
        <v>84</v>
      </c>
      <c r="BQ62">
        <v>0.13</v>
      </c>
      <c r="BR62">
        <v>1</v>
      </c>
      <c r="BS62">
        <v>0.13</v>
      </c>
      <c r="BT62">
        <f>BS62+BD62+AU62+AM62</f>
        <v>5.93</v>
      </c>
      <c r="BU62">
        <v>1</v>
      </c>
      <c r="BV62">
        <v>2</v>
      </c>
      <c r="BW62">
        <v>293</v>
      </c>
      <c r="BX62">
        <f>BW62/7</f>
        <v>41.857142857142854</v>
      </c>
      <c r="BY62">
        <f>0.00077*BX62</f>
        <v>3.2229999999999995E-2</v>
      </c>
      <c r="BZ62">
        <f t="shared" si="0"/>
        <v>5.9622299999999999</v>
      </c>
    </row>
    <row r="63" spans="1:78">
      <c r="A63" s="1">
        <v>45161.333619837962</v>
      </c>
      <c r="C63">
        <v>62</v>
      </c>
      <c r="D63" s="10">
        <v>33161</v>
      </c>
      <c r="E63">
        <v>32</v>
      </c>
      <c r="F63">
        <v>2</v>
      </c>
      <c r="G63">
        <v>1</v>
      </c>
      <c r="H63">
        <v>4</v>
      </c>
      <c r="I63" s="10">
        <v>44519</v>
      </c>
      <c r="J63">
        <v>2</v>
      </c>
      <c r="K63">
        <v>0</v>
      </c>
      <c r="L63">
        <v>1</v>
      </c>
      <c r="M63">
        <v>3540</v>
      </c>
      <c r="N63">
        <v>2</v>
      </c>
      <c r="O63" s="10">
        <v>44246</v>
      </c>
      <c r="P63">
        <v>1</v>
      </c>
      <c r="Q63">
        <v>39</v>
      </c>
      <c r="R63">
        <v>2</v>
      </c>
      <c r="S63">
        <v>60</v>
      </c>
      <c r="T63">
        <v>156</v>
      </c>
      <c r="U63">
        <v>78</v>
      </c>
      <c r="V63">
        <v>18</v>
      </c>
      <c r="W63">
        <v>3</v>
      </c>
      <c r="X63">
        <v>24.654832347140037</v>
      </c>
      <c r="Y63">
        <v>32.051282051282051</v>
      </c>
      <c r="Z63">
        <v>7.3964497041420145</v>
      </c>
      <c r="AA63">
        <v>2</v>
      </c>
      <c r="AB63">
        <v>4</v>
      </c>
      <c r="AC63" t="s">
        <v>33</v>
      </c>
      <c r="AD63">
        <v>3</v>
      </c>
      <c r="AE63">
        <v>0</v>
      </c>
      <c r="AG63">
        <v>5</v>
      </c>
      <c r="AH63">
        <v>1</v>
      </c>
      <c r="AI63">
        <v>5</v>
      </c>
      <c r="AJ63">
        <v>5</v>
      </c>
      <c r="AK63">
        <v>7</v>
      </c>
      <c r="AL63">
        <v>1</v>
      </c>
      <c r="AM63">
        <f>AJ63*AK63*AL63/7</f>
        <v>5</v>
      </c>
      <c r="AN63" t="s">
        <v>27</v>
      </c>
      <c r="AO63">
        <v>0</v>
      </c>
      <c r="AV63">
        <f>AU63+AM63</f>
        <v>5</v>
      </c>
      <c r="AW63" t="s">
        <v>116</v>
      </c>
      <c r="AX63">
        <v>0</v>
      </c>
      <c r="AY63" t="s">
        <v>116</v>
      </c>
      <c r="BE63">
        <f>AM63+AU63+BD63</f>
        <v>5</v>
      </c>
      <c r="BF63" t="s">
        <v>116</v>
      </c>
      <c r="BG63">
        <v>1</v>
      </c>
      <c r="BH63">
        <v>7</v>
      </c>
      <c r="BI63">
        <v>1</v>
      </c>
      <c r="BJ63" t="s">
        <v>42</v>
      </c>
      <c r="BK63">
        <v>6</v>
      </c>
      <c r="BL63">
        <v>1</v>
      </c>
      <c r="BM63">
        <v>1</v>
      </c>
      <c r="BN63" t="s">
        <v>37</v>
      </c>
      <c r="BO63">
        <v>4</v>
      </c>
      <c r="BP63">
        <v>110</v>
      </c>
      <c r="BQ63">
        <v>0.05</v>
      </c>
      <c r="BR63">
        <v>2</v>
      </c>
      <c r="BS63">
        <v>0.1</v>
      </c>
      <c r="BT63">
        <f>BS63+BD63+AU63+AM63</f>
        <v>5.0999999999999996</v>
      </c>
      <c r="BU63">
        <v>1</v>
      </c>
      <c r="BV63">
        <v>2</v>
      </c>
      <c r="BW63">
        <v>293</v>
      </c>
      <c r="BX63">
        <f>BW63/7</f>
        <v>41.857142857142854</v>
      </c>
      <c r="BY63">
        <f>0.00077*BX63</f>
        <v>3.2229999999999995E-2</v>
      </c>
      <c r="BZ63">
        <f t="shared" si="0"/>
        <v>5.1322299999999998</v>
      </c>
    </row>
    <row r="64" spans="1:78">
      <c r="A64" s="1">
        <v>45161.35321119213</v>
      </c>
      <c r="C64">
        <v>63</v>
      </c>
      <c r="D64" s="10">
        <v>31897</v>
      </c>
      <c r="E64">
        <v>36</v>
      </c>
      <c r="F64">
        <v>2</v>
      </c>
      <c r="G64">
        <v>1</v>
      </c>
      <c r="H64">
        <v>5</v>
      </c>
      <c r="I64" s="10">
        <v>42966</v>
      </c>
      <c r="J64">
        <v>1</v>
      </c>
      <c r="K64">
        <v>1</v>
      </c>
      <c r="L64">
        <v>1</v>
      </c>
      <c r="M64">
        <v>2990</v>
      </c>
      <c r="N64">
        <v>2</v>
      </c>
      <c r="O64" s="10">
        <v>42696</v>
      </c>
      <c r="P64">
        <v>0</v>
      </c>
      <c r="Q64">
        <v>38.571428571428569</v>
      </c>
      <c r="R64">
        <v>2</v>
      </c>
      <c r="S64">
        <v>48</v>
      </c>
      <c r="T64">
        <v>158</v>
      </c>
      <c r="U64">
        <v>54</v>
      </c>
      <c r="V64">
        <v>6</v>
      </c>
      <c r="W64">
        <v>1</v>
      </c>
      <c r="X64">
        <v>19.227687870533565</v>
      </c>
      <c r="Y64">
        <v>21.631148854350261</v>
      </c>
      <c r="Z64">
        <v>2.4034609838166965</v>
      </c>
      <c r="AA64">
        <v>2</v>
      </c>
      <c r="AB64">
        <v>2</v>
      </c>
      <c r="AC64" t="s">
        <v>33</v>
      </c>
      <c r="AD64">
        <v>3</v>
      </c>
      <c r="AE64">
        <v>0</v>
      </c>
      <c r="AG64">
        <v>5</v>
      </c>
      <c r="AH64">
        <v>1</v>
      </c>
      <c r="AI64">
        <v>15</v>
      </c>
      <c r="AJ64">
        <v>5</v>
      </c>
      <c r="AK64">
        <v>7</v>
      </c>
      <c r="AL64">
        <v>1</v>
      </c>
      <c r="AM64">
        <f>AJ64*AK64*AL64/7</f>
        <v>5</v>
      </c>
      <c r="AN64" t="s">
        <v>117</v>
      </c>
      <c r="AO64">
        <v>0</v>
      </c>
      <c r="AV64">
        <f>AU64+AM64</f>
        <v>5</v>
      </c>
      <c r="AW64" t="s">
        <v>61</v>
      </c>
      <c r="AX64">
        <v>1</v>
      </c>
      <c r="AY64" t="s">
        <v>61</v>
      </c>
      <c r="AZ64">
        <v>2</v>
      </c>
      <c r="BA64">
        <v>0.27</v>
      </c>
      <c r="BB64">
        <v>7</v>
      </c>
      <c r="BC64">
        <v>1</v>
      </c>
      <c r="BD64">
        <f>BA64*BB64*1/7</f>
        <v>0.27</v>
      </c>
      <c r="BE64">
        <f>AM64+AU64+BD64</f>
        <v>5.27</v>
      </c>
      <c r="BF64" t="s">
        <v>61</v>
      </c>
      <c r="BG64">
        <v>0</v>
      </c>
      <c r="BH64">
        <v>7</v>
      </c>
      <c r="BI64">
        <v>1</v>
      </c>
      <c r="BJ64" t="s">
        <v>42</v>
      </c>
      <c r="BK64">
        <v>6</v>
      </c>
      <c r="BL64">
        <v>1</v>
      </c>
      <c r="BM64">
        <v>1</v>
      </c>
      <c r="BN64" t="s">
        <v>118</v>
      </c>
      <c r="BO64">
        <v>1</v>
      </c>
      <c r="BP64">
        <v>42</v>
      </c>
      <c r="BQ64">
        <v>0.13</v>
      </c>
      <c r="BR64">
        <v>0.5</v>
      </c>
      <c r="BS64">
        <v>6.5000000000000002E-2</v>
      </c>
      <c r="BT64">
        <f>BS64+BD64+AU64+AM64</f>
        <v>5.335</v>
      </c>
      <c r="BU64">
        <v>1</v>
      </c>
      <c r="BV64">
        <v>1</v>
      </c>
      <c r="BW64">
        <v>146.5</v>
      </c>
      <c r="BX64">
        <f>BW64/7</f>
        <v>20.928571428571427</v>
      </c>
      <c r="BY64">
        <f>0.00077*BX64</f>
        <v>1.6114999999999997E-2</v>
      </c>
      <c r="BZ64">
        <f t="shared" si="0"/>
        <v>5.3511150000000001</v>
      </c>
    </row>
    <row r="65" spans="1:78">
      <c r="A65" s="1">
        <v>45161.362159814817</v>
      </c>
      <c r="C65">
        <v>64</v>
      </c>
      <c r="D65" s="10">
        <v>34620</v>
      </c>
      <c r="E65">
        <v>28</v>
      </c>
      <c r="F65">
        <v>2</v>
      </c>
      <c r="G65">
        <v>1</v>
      </c>
      <c r="H65">
        <v>4</v>
      </c>
      <c r="I65" s="10">
        <v>44068</v>
      </c>
      <c r="J65">
        <v>1</v>
      </c>
      <c r="K65">
        <v>1</v>
      </c>
      <c r="L65">
        <v>1</v>
      </c>
      <c r="M65">
        <v>3280</v>
      </c>
      <c r="N65">
        <v>2</v>
      </c>
      <c r="O65" s="10">
        <v>43779</v>
      </c>
      <c r="P65">
        <v>0</v>
      </c>
      <c r="Q65">
        <v>41.285714285714285</v>
      </c>
      <c r="R65">
        <v>2</v>
      </c>
      <c r="S65">
        <v>63</v>
      </c>
      <c r="T65">
        <v>150</v>
      </c>
      <c r="U65">
        <v>74</v>
      </c>
      <c r="V65">
        <v>11</v>
      </c>
      <c r="W65">
        <v>2</v>
      </c>
      <c r="X65">
        <v>28</v>
      </c>
      <c r="Y65">
        <v>32.888888888888886</v>
      </c>
      <c r="Z65">
        <v>4.8888888888888857</v>
      </c>
      <c r="AA65">
        <v>3</v>
      </c>
      <c r="AB65">
        <v>4</v>
      </c>
      <c r="AC65" t="s">
        <v>33</v>
      </c>
      <c r="AD65">
        <v>3</v>
      </c>
      <c r="AE65">
        <v>0</v>
      </c>
      <c r="AG65">
        <v>5</v>
      </c>
      <c r="AH65">
        <v>1</v>
      </c>
      <c r="AI65">
        <v>13</v>
      </c>
      <c r="AJ65">
        <v>1</v>
      </c>
      <c r="AK65">
        <v>7</v>
      </c>
      <c r="AL65">
        <v>1</v>
      </c>
      <c r="AM65">
        <f>AJ65*AK65*AL65/7</f>
        <v>1</v>
      </c>
      <c r="AN65" t="s">
        <v>79</v>
      </c>
      <c r="AO65">
        <v>0</v>
      </c>
      <c r="AV65">
        <f>AU65+AM65</f>
        <v>1</v>
      </c>
      <c r="AW65" t="s">
        <v>58</v>
      </c>
      <c r="AX65">
        <v>1</v>
      </c>
      <c r="AY65" t="s">
        <v>58</v>
      </c>
      <c r="AZ65">
        <v>1</v>
      </c>
      <c r="BA65">
        <v>0.8</v>
      </c>
      <c r="BB65">
        <v>7</v>
      </c>
      <c r="BC65">
        <v>1</v>
      </c>
      <c r="BD65">
        <f>BA65*BB65*1/7</f>
        <v>0.8</v>
      </c>
      <c r="BE65">
        <f>AM65+AU65+BD65</f>
        <v>1.8</v>
      </c>
      <c r="BF65" t="s">
        <v>58</v>
      </c>
      <c r="BG65">
        <v>0</v>
      </c>
      <c r="BH65">
        <v>7</v>
      </c>
      <c r="BI65">
        <v>1</v>
      </c>
      <c r="BJ65" t="s">
        <v>42</v>
      </c>
      <c r="BK65">
        <v>6</v>
      </c>
      <c r="BL65">
        <v>1</v>
      </c>
      <c r="BM65">
        <v>1</v>
      </c>
      <c r="BN65" t="s">
        <v>30</v>
      </c>
      <c r="BO65">
        <v>1</v>
      </c>
      <c r="BP65">
        <v>168</v>
      </c>
      <c r="BQ65">
        <v>0.13</v>
      </c>
      <c r="BR65">
        <v>2</v>
      </c>
      <c r="BS65">
        <v>0.26</v>
      </c>
      <c r="BT65">
        <f>BS65+BD65+AU65+AM65</f>
        <v>2.06</v>
      </c>
      <c r="BU65">
        <v>1</v>
      </c>
      <c r="BV65">
        <v>2</v>
      </c>
      <c r="BW65">
        <v>293</v>
      </c>
      <c r="BX65">
        <f>BW65/7</f>
        <v>41.857142857142854</v>
      </c>
      <c r="BY65">
        <f>0.00077*BX65</f>
        <v>3.2229999999999995E-2</v>
      </c>
      <c r="BZ65">
        <f t="shared" si="0"/>
        <v>2.0922300000000003</v>
      </c>
    </row>
    <row r="66" spans="1:78">
      <c r="A66" s="1">
        <v>45161.454814166667</v>
      </c>
      <c r="C66">
        <v>65</v>
      </c>
      <c r="D66" s="10">
        <v>32982</v>
      </c>
      <c r="E66">
        <v>33</v>
      </c>
      <c r="F66">
        <v>1</v>
      </c>
      <c r="G66">
        <v>1</v>
      </c>
      <c r="H66">
        <v>4</v>
      </c>
      <c r="I66" s="10">
        <v>45127</v>
      </c>
      <c r="J66">
        <v>2</v>
      </c>
      <c r="K66">
        <v>0</v>
      </c>
      <c r="L66">
        <v>1</v>
      </c>
      <c r="M66">
        <v>3105</v>
      </c>
      <c r="N66">
        <v>2</v>
      </c>
      <c r="O66" s="10">
        <v>44853</v>
      </c>
      <c r="P66">
        <v>0</v>
      </c>
      <c r="Q66">
        <v>39.142857142857146</v>
      </c>
      <c r="R66">
        <v>2</v>
      </c>
      <c r="S66">
        <v>55</v>
      </c>
      <c r="T66">
        <v>160</v>
      </c>
      <c r="U66">
        <v>65</v>
      </c>
      <c r="V66">
        <v>10</v>
      </c>
      <c r="W66">
        <v>1</v>
      </c>
      <c r="X66">
        <v>21.484374999999996</v>
      </c>
      <c r="Y66">
        <v>25.390624999999996</v>
      </c>
      <c r="Z66">
        <v>3.90625</v>
      </c>
      <c r="AA66">
        <v>2</v>
      </c>
      <c r="AB66">
        <v>3</v>
      </c>
      <c r="AC66" t="s">
        <v>33</v>
      </c>
      <c r="AD66">
        <v>3</v>
      </c>
      <c r="AE66">
        <v>0</v>
      </c>
      <c r="AG66">
        <v>5</v>
      </c>
      <c r="AH66">
        <v>1</v>
      </c>
      <c r="AI66">
        <v>5</v>
      </c>
      <c r="AJ66">
        <v>5</v>
      </c>
      <c r="AK66">
        <v>7</v>
      </c>
      <c r="AL66">
        <v>1</v>
      </c>
      <c r="AM66">
        <f>AJ66*AK66*AL66/7</f>
        <v>5</v>
      </c>
      <c r="AN66" t="s">
        <v>27</v>
      </c>
      <c r="AO66">
        <v>1</v>
      </c>
      <c r="AP66">
        <v>24</v>
      </c>
      <c r="AQ66" t="s">
        <v>192</v>
      </c>
      <c r="AR66">
        <v>0.5</v>
      </c>
      <c r="AS66">
        <v>7</v>
      </c>
      <c r="AT66">
        <v>1</v>
      </c>
      <c r="AU66">
        <f>AR66*AS66*AT66/7</f>
        <v>0.5</v>
      </c>
      <c r="AV66">
        <f>AU66+AM66</f>
        <v>5.5</v>
      </c>
      <c r="AW66" t="s">
        <v>119</v>
      </c>
      <c r="AX66">
        <v>0</v>
      </c>
      <c r="BE66">
        <f>AM66+AU66+BD66</f>
        <v>5.5</v>
      </c>
      <c r="BG66">
        <v>0</v>
      </c>
      <c r="BJ66" t="s">
        <v>28</v>
      </c>
      <c r="BK66">
        <v>3</v>
      </c>
      <c r="BL66">
        <v>3</v>
      </c>
      <c r="BM66">
        <v>1</v>
      </c>
      <c r="BN66" t="s">
        <v>55</v>
      </c>
      <c r="BO66">
        <v>2</v>
      </c>
      <c r="BP66">
        <v>33.5</v>
      </c>
      <c r="BQ66">
        <v>0.1</v>
      </c>
      <c r="BR66">
        <v>0.5</v>
      </c>
      <c r="BS66">
        <v>0.05</v>
      </c>
      <c r="BT66">
        <f>BS66+BD66+AU66+AM66</f>
        <v>5.55</v>
      </c>
      <c r="BU66">
        <v>1</v>
      </c>
      <c r="BV66">
        <v>2</v>
      </c>
      <c r="BW66">
        <v>293</v>
      </c>
      <c r="BX66">
        <f>BW66/7</f>
        <v>41.857142857142854</v>
      </c>
      <c r="BY66">
        <f>0.00077*BX66</f>
        <v>3.2229999999999995E-2</v>
      </c>
      <c r="BZ66">
        <f t="shared" si="0"/>
        <v>5.58223</v>
      </c>
    </row>
    <row r="67" spans="1:78">
      <c r="A67" s="1">
        <v>45161.480313993059</v>
      </c>
      <c r="C67">
        <v>66</v>
      </c>
      <c r="D67" s="10">
        <v>31491</v>
      </c>
      <c r="E67">
        <v>37</v>
      </c>
      <c r="F67">
        <v>1</v>
      </c>
      <c r="G67">
        <v>1</v>
      </c>
      <c r="H67">
        <v>4</v>
      </c>
      <c r="I67" s="10">
        <v>43885</v>
      </c>
      <c r="J67">
        <v>4</v>
      </c>
      <c r="K67">
        <v>0</v>
      </c>
      <c r="L67">
        <v>2</v>
      </c>
      <c r="M67">
        <v>2830</v>
      </c>
      <c r="N67">
        <v>2</v>
      </c>
      <c r="O67" s="10">
        <v>43612</v>
      </c>
      <c r="P67">
        <v>0</v>
      </c>
      <c r="Q67">
        <v>39</v>
      </c>
      <c r="R67">
        <v>2</v>
      </c>
      <c r="S67">
        <v>83</v>
      </c>
      <c r="T67">
        <v>161</v>
      </c>
      <c r="U67">
        <v>90</v>
      </c>
      <c r="V67">
        <v>7</v>
      </c>
      <c r="W67">
        <v>2</v>
      </c>
      <c r="X67">
        <v>32.020369584506767</v>
      </c>
      <c r="Y67">
        <v>34.720882681995292</v>
      </c>
      <c r="Z67">
        <v>2.7005130974885247</v>
      </c>
      <c r="AA67">
        <v>4</v>
      </c>
      <c r="AB67">
        <v>4</v>
      </c>
      <c r="AC67" t="s">
        <v>33</v>
      </c>
      <c r="AD67">
        <v>3</v>
      </c>
      <c r="AE67">
        <v>0</v>
      </c>
      <c r="AG67">
        <v>5</v>
      </c>
      <c r="AH67">
        <v>1</v>
      </c>
      <c r="AI67">
        <v>13</v>
      </c>
      <c r="AJ67">
        <v>1</v>
      </c>
      <c r="AK67">
        <v>1</v>
      </c>
      <c r="AL67">
        <v>1</v>
      </c>
      <c r="AM67">
        <f>AJ67*AK67*AL67/7</f>
        <v>0.14285714285714285</v>
      </c>
      <c r="AN67" t="s">
        <v>79</v>
      </c>
      <c r="AO67">
        <v>0</v>
      </c>
      <c r="AV67">
        <f>AU67+AM67</f>
        <v>0.14285714285714285</v>
      </c>
      <c r="AX67">
        <v>0</v>
      </c>
      <c r="BE67">
        <f>AM67+AU67+BD67</f>
        <v>0.14285714285714285</v>
      </c>
      <c r="BG67">
        <v>0</v>
      </c>
      <c r="BJ67" t="s">
        <v>49</v>
      </c>
      <c r="BK67">
        <v>5</v>
      </c>
      <c r="BL67">
        <v>1</v>
      </c>
      <c r="BM67">
        <v>1</v>
      </c>
      <c r="BN67" t="s">
        <v>30</v>
      </c>
      <c r="BO67">
        <v>1</v>
      </c>
      <c r="BP67">
        <v>84</v>
      </c>
      <c r="BQ67">
        <v>0.13</v>
      </c>
      <c r="BR67">
        <v>1</v>
      </c>
      <c r="BS67">
        <v>0.13</v>
      </c>
      <c r="BT67">
        <f>BS67+BD67+AU67+AM67</f>
        <v>0.27285714285714285</v>
      </c>
      <c r="BU67">
        <v>1</v>
      </c>
      <c r="BV67">
        <v>1</v>
      </c>
      <c r="BW67">
        <v>146.5</v>
      </c>
      <c r="BX67">
        <f>BW67/7</f>
        <v>20.928571428571427</v>
      </c>
      <c r="BY67">
        <f>0.00077*BX67</f>
        <v>1.6114999999999997E-2</v>
      </c>
      <c r="BZ67">
        <f t="shared" si="0"/>
        <v>0.28897214285714284</v>
      </c>
    </row>
    <row r="68" spans="1:78">
      <c r="A68" s="1">
        <v>45161.495591435189</v>
      </c>
      <c r="C68">
        <v>67</v>
      </c>
      <c r="D68" s="10">
        <v>35712</v>
      </c>
      <c r="E68">
        <v>25</v>
      </c>
      <c r="F68">
        <v>1</v>
      </c>
      <c r="G68">
        <v>1</v>
      </c>
      <c r="H68">
        <v>3</v>
      </c>
      <c r="I68" s="10">
        <v>44391</v>
      </c>
      <c r="J68">
        <v>2</v>
      </c>
      <c r="K68">
        <v>0</v>
      </c>
      <c r="L68">
        <v>2</v>
      </c>
      <c r="M68">
        <v>3270</v>
      </c>
      <c r="N68">
        <v>2</v>
      </c>
      <c r="O68" s="10">
        <v>44117</v>
      </c>
      <c r="P68">
        <v>1</v>
      </c>
      <c r="Q68">
        <v>39.142857142857146</v>
      </c>
      <c r="R68">
        <v>2</v>
      </c>
      <c r="S68">
        <v>60</v>
      </c>
      <c r="T68">
        <v>165</v>
      </c>
      <c r="U68">
        <v>72</v>
      </c>
      <c r="V68">
        <v>12</v>
      </c>
      <c r="W68">
        <v>2</v>
      </c>
      <c r="X68">
        <v>22.03856749311295</v>
      </c>
      <c r="Y68">
        <v>26.446280991735541</v>
      </c>
      <c r="Z68">
        <v>4.4077134986225914</v>
      </c>
      <c r="AA68">
        <v>2</v>
      </c>
      <c r="AB68">
        <v>3</v>
      </c>
      <c r="AC68" t="s">
        <v>33</v>
      </c>
      <c r="AD68">
        <v>3</v>
      </c>
      <c r="AE68">
        <v>0</v>
      </c>
      <c r="AG68">
        <v>5</v>
      </c>
      <c r="AH68">
        <v>1</v>
      </c>
      <c r="AI68">
        <v>13</v>
      </c>
      <c r="AJ68">
        <v>1</v>
      </c>
      <c r="AK68">
        <v>7</v>
      </c>
      <c r="AL68">
        <v>1</v>
      </c>
      <c r="AM68">
        <f>AJ68*AK68*AL68/7</f>
        <v>1</v>
      </c>
      <c r="AN68" t="s">
        <v>79</v>
      </c>
      <c r="AO68">
        <v>0</v>
      </c>
      <c r="AV68">
        <f>AU68+AM68</f>
        <v>1</v>
      </c>
      <c r="AX68">
        <v>0</v>
      </c>
      <c r="BE68">
        <f>AM68+AU68+BD68</f>
        <v>1</v>
      </c>
      <c r="BG68">
        <v>0</v>
      </c>
      <c r="BJ68" t="s">
        <v>49</v>
      </c>
      <c r="BK68">
        <v>5</v>
      </c>
      <c r="BL68">
        <v>1</v>
      </c>
      <c r="BM68">
        <v>1</v>
      </c>
      <c r="BN68" t="s">
        <v>55</v>
      </c>
      <c r="BO68">
        <v>2</v>
      </c>
      <c r="BP68">
        <v>134</v>
      </c>
      <c r="BQ68">
        <v>0.1</v>
      </c>
      <c r="BR68">
        <v>2</v>
      </c>
      <c r="BS68">
        <v>0.2</v>
      </c>
      <c r="BT68">
        <f>BS68+BD68+AU68+AM68</f>
        <v>1.2</v>
      </c>
      <c r="BU68">
        <v>1</v>
      </c>
      <c r="BV68">
        <v>3</v>
      </c>
      <c r="BW68">
        <v>439.5</v>
      </c>
      <c r="BX68">
        <f>BW68/7</f>
        <v>62.785714285714285</v>
      </c>
      <c r="BY68">
        <f>0.00077*BX68</f>
        <v>4.8344999999999999E-2</v>
      </c>
      <c r="BZ68">
        <f t="shared" ref="BZ68:BZ131" si="1">BS68+BD68+AU68+AM68+BY68</f>
        <v>1.248345</v>
      </c>
    </row>
    <row r="69" spans="1:78">
      <c r="A69" s="1">
        <v>45161.557995763884</v>
      </c>
      <c r="C69">
        <v>68</v>
      </c>
      <c r="D69" s="10">
        <v>29289</v>
      </c>
      <c r="E69">
        <v>43</v>
      </c>
      <c r="F69">
        <v>1</v>
      </c>
      <c r="G69">
        <v>1</v>
      </c>
      <c r="H69">
        <v>5</v>
      </c>
      <c r="I69" s="10">
        <v>44107</v>
      </c>
      <c r="J69">
        <v>2</v>
      </c>
      <c r="K69">
        <v>0</v>
      </c>
      <c r="L69">
        <v>1</v>
      </c>
      <c r="M69">
        <v>3350</v>
      </c>
      <c r="N69">
        <v>2</v>
      </c>
      <c r="O69" s="10">
        <v>43834</v>
      </c>
      <c r="P69">
        <v>0</v>
      </c>
      <c r="Q69">
        <v>39</v>
      </c>
      <c r="R69">
        <v>2</v>
      </c>
      <c r="S69">
        <v>50</v>
      </c>
      <c r="T69">
        <v>156</v>
      </c>
      <c r="U69">
        <v>62</v>
      </c>
      <c r="V69">
        <v>12</v>
      </c>
      <c r="W69">
        <v>2</v>
      </c>
      <c r="X69">
        <v>20.5456936226167</v>
      </c>
      <c r="Y69">
        <v>25.476660092044707</v>
      </c>
      <c r="Z69">
        <v>4.9309664694280073</v>
      </c>
      <c r="AA69">
        <v>2</v>
      </c>
      <c r="AB69">
        <v>3</v>
      </c>
      <c r="AC69" t="s">
        <v>33</v>
      </c>
      <c r="AD69">
        <v>3</v>
      </c>
      <c r="AE69">
        <v>0</v>
      </c>
      <c r="AG69">
        <v>5</v>
      </c>
      <c r="AH69">
        <v>0</v>
      </c>
      <c r="AI69">
        <v>0</v>
      </c>
      <c r="AN69" t="s">
        <v>41</v>
      </c>
      <c r="AO69">
        <v>0</v>
      </c>
      <c r="AW69" t="s">
        <v>58</v>
      </c>
      <c r="AX69">
        <v>1</v>
      </c>
      <c r="AY69" t="s">
        <v>58</v>
      </c>
      <c r="AZ69">
        <v>1</v>
      </c>
      <c r="BA69">
        <v>0.8</v>
      </c>
      <c r="BB69">
        <v>7</v>
      </c>
      <c r="BC69">
        <v>1</v>
      </c>
      <c r="BD69">
        <f>BA69*BB69*1/7</f>
        <v>0.8</v>
      </c>
      <c r="BE69">
        <f>AM69+AU69+BD69</f>
        <v>0.8</v>
      </c>
      <c r="BF69" t="s">
        <v>58</v>
      </c>
      <c r="BG69">
        <v>0</v>
      </c>
      <c r="BH69">
        <v>7</v>
      </c>
      <c r="BI69">
        <v>1</v>
      </c>
      <c r="BJ69" t="s">
        <v>28</v>
      </c>
      <c r="BK69">
        <v>3</v>
      </c>
      <c r="BL69">
        <v>1</v>
      </c>
      <c r="BM69">
        <v>1</v>
      </c>
      <c r="BN69" t="s">
        <v>30</v>
      </c>
      <c r="BO69">
        <v>1</v>
      </c>
      <c r="BP69">
        <v>168</v>
      </c>
      <c r="BQ69">
        <v>0.13</v>
      </c>
      <c r="BR69">
        <v>2</v>
      </c>
      <c r="BS69">
        <v>0.26</v>
      </c>
      <c r="BT69">
        <f>BS69+BD69+AU69+AM69</f>
        <v>1.06</v>
      </c>
      <c r="BU69">
        <v>1</v>
      </c>
      <c r="BV69">
        <v>2</v>
      </c>
      <c r="BW69">
        <v>293</v>
      </c>
      <c r="BX69">
        <f>BW69/7</f>
        <v>41.857142857142854</v>
      </c>
      <c r="BY69">
        <f>0.00077*BX69</f>
        <v>3.2229999999999995E-2</v>
      </c>
      <c r="BZ69">
        <f t="shared" si="1"/>
        <v>1.09223</v>
      </c>
    </row>
    <row r="70" spans="1:78">
      <c r="A70" s="1">
        <v>45161.578248935184</v>
      </c>
      <c r="C70">
        <v>69</v>
      </c>
      <c r="D70" s="10">
        <v>31684</v>
      </c>
      <c r="E70">
        <v>36</v>
      </c>
      <c r="F70">
        <v>1</v>
      </c>
      <c r="G70">
        <v>1</v>
      </c>
      <c r="H70">
        <v>5</v>
      </c>
      <c r="I70" s="10">
        <v>42916</v>
      </c>
      <c r="J70">
        <v>2</v>
      </c>
      <c r="K70">
        <v>0</v>
      </c>
      <c r="L70">
        <v>1</v>
      </c>
      <c r="M70">
        <v>4050</v>
      </c>
      <c r="N70">
        <v>3</v>
      </c>
      <c r="O70" s="10">
        <v>42650</v>
      </c>
      <c r="P70">
        <v>0</v>
      </c>
      <c r="Q70">
        <v>38</v>
      </c>
      <c r="R70">
        <v>2</v>
      </c>
      <c r="S70">
        <v>56</v>
      </c>
      <c r="T70">
        <v>154</v>
      </c>
      <c r="U70">
        <v>66</v>
      </c>
      <c r="V70">
        <v>10</v>
      </c>
      <c r="W70">
        <v>1</v>
      </c>
      <c r="X70">
        <v>23.61275088547816</v>
      </c>
      <c r="Y70">
        <v>27.829313543599259</v>
      </c>
      <c r="Z70">
        <v>4.2165626581210987</v>
      </c>
      <c r="AA70">
        <v>2</v>
      </c>
      <c r="AB70">
        <v>3</v>
      </c>
      <c r="AC70" t="s">
        <v>33</v>
      </c>
      <c r="AD70">
        <v>3</v>
      </c>
      <c r="AE70">
        <v>0</v>
      </c>
      <c r="AG70">
        <v>5</v>
      </c>
      <c r="AH70">
        <v>0</v>
      </c>
      <c r="AI70">
        <v>0</v>
      </c>
      <c r="AN70" t="s">
        <v>121</v>
      </c>
      <c r="AO70">
        <v>0</v>
      </c>
      <c r="AX70">
        <v>0</v>
      </c>
      <c r="BG70">
        <v>0</v>
      </c>
      <c r="BJ70" t="s">
        <v>51</v>
      </c>
      <c r="BK70">
        <v>1</v>
      </c>
      <c r="BL70">
        <v>1</v>
      </c>
      <c r="BM70">
        <v>1</v>
      </c>
      <c r="BN70" t="s">
        <v>30</v>
      </c>
      <c r="BO70">
        <v>1</v>
      </c>
      <c r="BP70">
        <v>84</v>
      </c>
      <c r="BQ70">
        <v>0.13</v>
      </c>
      <c r="BR70">
        <v>1</v>
      </c>
      <c r="BS70">
        <v>0.13</v>
      </c>
      <c r="BT70">
        <f>BS70+BD70+AU70+AM70</f>
        <v>0.13</v>
      </c>
      <c r="BU70">
        <v>1</v>
      </c>
      <c r="BV70">
        <v>1</v>
      </c>
      <c r="BW70">
        <v>146.5</v>
      </c>
      <c r="BX70">
        <f>BW70/7</f>
        <v>20.928571428571427</v>
      </c>
      <c r="BY70">
        <f>0.00077*BX70</f>
        <v>1.6114999999999997E-2</v>
      </c>
      <c r="BZ70">
        <f t="shared" si="1"/>
        <v>0.14611499999999999</v>
      </c>
    </row>
    <row r="71" spans="1:78">
      <c r="A71" s="1">
        <v>45161.589863703703</v>
      </c>
      <c r="C71">
        <v>70</v>
      </c>
      <c r="D71" s="10">
        <v>32648</v>
      </c>
      <c r="E71">
        <v>34</v>
      </c>
      <c r="F71">
        <v>1</v>
      </c>
      <c r="G71">
        <v>1</v>
      </c>
      <c r="H71">
        <v>5</v>
      </c>
      <c r="I71" s="10">
        <v>43265</v>
      </c>
      <c r="J71">
        <v>3</v>
      </c>
      <c r="K71">
        <v>0</v>
      </c>
      <c r="L71">
        <v>1</v>
      </c>
      <c r="M71">
        <v>3990</v>
      </c>
      <c r="N71">
        <v>2</v>
      </c>
      <c r="O71" s="10">
        <v>42985</v>
      </c>
      <c r="P71">
        <v>0</v>
      </c>
      <c r="Q71">
        <v>40</v>
      </c>
      <c r="R71">
        <v>2</v>
      </c>
      <c r="S71">
        <v>63</v>
      </c>
      <c r="T71">
        <v>170</v>
      </c>
      <c r="U71">
        <v>78</v>
      </c>
      <c r="V71">
        <v>15</v>
      </c>
      <c r="W71">
        <v>2</v>
      </c>
      <c r="X71">
        <v>21.79930795847751</v>
      </c>
      <c r="Y71">
        <v>26.989619377162633</v>
      </c>
      <c r="Z71">
        <v>5.1903114186851234</v>
      </c>
      <c r="AA71">
        <v>2</v>
      </c>
      <c r="AB71">
        <v>3</v>
      </c>
      <c r="AC71" t="s">
        <v>44</v>
      </c>
      <c r="AD71">
        <v>1</v>
      </c>
      <c r="AE71">
        <v>0</v>
      </c>
      <c r="AG71">
        <v>5</v>
      </c>
      <c r="AH71">
        <v>1</v>
      </c>
      <c r="AI71">
        <v>2</v>
      </c>
      <c r="AJ71">
        <v>5</v>
      </c>
      <c r="AK71">
        <v>7</v>
      </c>
      <c r="AL71">
        <v>1</v>
      </c>
      <c r="AM71">
        <f>AJ71*AK71*AL71/7</f>
        <v>5</v>
      </c>
      <c r="AN71" t="s">
        <v>57</v>
      </c>
      <c r="AO71">
        <v>0</v>
      </c>
      <c r="AV71">
        <f>AU71+AM71</f>
        <v>5</v>
      </c>
      <c r="AW71" t="s">
        <v>58</v>
      </c>
      <c r="AX71">
        <v>1</v>
      </c>
      <c r="AY71" t="s">
        <v>58</v>
      </c>
      <c r="AZ71">
        <v>1</v>
      </c>
      <c r="BA71">
        <v>0.8</v>
      </c>
      <c r="BB71">
        <v>7</v>
      </c>
      <c r="BC71">
        <v>1</v>
      </c>
      <c r="BD71">
        <f>BA71*BB71*1/7</f>
        <v>0.8</v>
      </c>
      <c r="BE71">
        <f>AM71+AU71+BD71</f>
        <v>5.8</v>
      </c>
      <c r="BF71" t="s">
        <v>58</v>
      </c>
      <c r="BG71">
        <v>0</v>
      </c>
      <c r="BH71">
        <v>7</v>
      </c>
      <c r="BI71">
        <v>1</v>
      </c>
      <c r="BJ71" t="s">
        <v>28</v>
      </c>
      <c r="BK71">
        <v>3</v>
      </c>
      <c r="BL71">
        <v>1</v>
      </c>
      <c r="BM71">
        <v>1</v>
      </c>
      <c r="BN71" t="s">
        <v>37</v>
      </c>
      <c r="BO71">
        <v>4</v>
      </c>
      <c r="BP71">
        <v>27.5</v>
      </c>
      <c r="BQ71">
        <v>0.05</v>
      </c>
      <c r="BR71">
        <v>0.5</v>
      </c>
      <c r="BS71">
        <v>2.5000000000000001E-2</v>
      </c>
      <c r="BT71">
        <f>BS71+BD71+AU71+AM71</f>
        <v>5.8250000000000002</v>
      </c>
      <c r="BU71">
        <v>1</v>
      </c>
      <c r="BV71">
        <v>1</v>
      </c>
      <c r="BW71">
        <v>146.5</v>
      </c>
      <c r="BX71">
        <f>BW71/7</f>
        <v>20.928571428571427</v>
      </c>
      <c r="BY71">
        <f>0.00077*BX71</f>
        <v>1.6114999999999997E-2</v>
      </c>
      <c r="BZ71">
        <f t="shared" si="1"/>
        <v>5.8411150000000003</v>
      </c>
    </row>
    <row r="72" spans="1:78">
      <c r="A72" s="1">
        <v>45161.590759479164</v>
      </c>
      <c r="C72">
        <v>71</v>
      </c>
      <c r="D72" s="10">
        <v>31704</v>
      </c>
      <c r="E72">
        <v>37</v>
      </c>
      <c r="F72">
        <v>1</v>
      </c>
      <c r="G72">
        <v>14</v>
      </c>
      <c r="H72">
        <v>5</v>
      </c>
      <c r="I72" s="10">
        <v>44587</v>
      </c>
      <c r="J72">
        <v>3</v>
      </c>
      <c r="K72">
        <v>0</v>
      </c>
      <c r="L72">
        <v>2</v>
      </c>
      <c r="M72">
        <v>4030</v>
      </c>
      <c r="N72">
        <v>3</v>
      </c>
      <c r="O72" s="10">
        <v>44307</v>
      </c>
      <c r="P72">
        <v>1</v>
      </c>
      <c r="Q72">
        <v>40</v>
      </c>
      <c r="R72">
        <v>2</v>
      </c>
      <c r="S72">
        <v>74</v>
      </c>
      <c r="T72">
        <v>165</v>
      </c>
      <c r="U72">
        <v>95</v>
      </c>
      <c r="V72">
        <v>21</v>
      </c>
      <c r="W72">
        <v>3</v>
      </c>
      <c r="X72">
        <v>27.180899908172638</v>
      </c>
      <c r="Y72">
        <v>34.894398530762174</v>
      </c>
      <c r="Z72">
        <v>7.7134986225895368</v>
      </c>
      <c r="AA72">
        <v>3</v>
      </c>
      <c r="AB72">
        <v>4</v>
      </c>
      <c r="AC72" t="s">
        <v>33</v>
      </c>
      <c r="AD72">
        <v>3</v>
      </c>
      <c r="AE72">
        <v>0</v>
      </c>
      <c r="AG72">
        <v>5</v>
      </c>
      <c r="AH72">
        <v>0</v>
      </c>
      <c r="AI72">
        <v>0</v>
      </c>
      <c r="AN72" t="s">
        <v>41</v>
      </c>
      <c r="AO72">
        <v>0</v>
      </c>
      <c r="AW72" t="s">
        <v>58</v>
      </c>
      <c r="AX72">
        <v>1</v>
      </c>
      <c r="AY72" t="s">
        <v>58</v>
      </c>
      <c r="AZ72">
        <v>1</v>
      </c>
      <c r="BA72">
        <v>0.8</v>
      </c>
      <c r="BB72">
        <v>6</v>
      </c>
      <c r="BC72">
        <v>1</v>
      </c>
      <c r="BD72">
        <f>BA72*BB72*1/7</f>
        <v>0.68571428571428583</v>
      </c>
      <c r="BE72">
        <f>AM72+AU72+BD72</f>
        <v>0.68571428571428583</v>
      </c>
      <c r="BF72" t="s">
        <v>58</v>
      </c>
      <c r="BG72">
        <v>0</v>
      </c>
      <c r="BH72">
        <v>6</v>
      </c>
      <c r="BI72">
        <v>1</v>
      </c>
      <c r="BJ72" t="s">
        <v>49</v>
      </c>
      <c r="BK72">
        <v>5</v>
      </c>
      <c r="BL72">
        <v>1</v>
      </c>
      <c r="BM72">
        <v>1</v>
      </c>
      <c r="BN72" t="s">
        <v>55</v>
      </c>
      <c r="BO72">
        <v>2</v>
      </c>
      <c r="BP72">
        <v>134</v>
      </c>
      <c r="BQ72">
        <v>0.1</v>
      </c>
      <c r="BR72">
        <v>2</v>
      </c>
      <c r="BS72">
        <v>0.2</v>
      </c>
      <c r="BT72">
        <f>BS72+BD72+AU72+AM72</f>
        <v>0.8857142857142859</v>
      </c>
      <c r="BU72">
        <v>1</v>
      </c>
      <c r="BV72">
        <v>2</v>
      </c>
      <c r="BW72">
        <v>293</v>
      </c>
      <c r="BX72">
        <f>BW72/7</f>
        <v>41.857142857142854</v>
      </c>
      <c r="BY72">
        <f>0.00077*BX72</f>
        <v>3.2229999999999995E-2</v>
      </c>
      <c r="BZ72">
        <f t="shared" si="1"/>
        <v>0.91794428571428588</v>
      </c>
    </row>
    <row r="73" spans="1:78">
      <c r="A73" s="1">
        <v>45161.592592094908</v>
      </c>
      <c r="B73" t="s">
        <v>865</v>
      </c>
      <c r="C73">
        <v>72</v>
      </c>
      <c r="D73" s="10">
        <v>28160</v>
      </c>
      <c r="E73">
        <v>46</v>
      </c>
      <c r="F73">
        <v>1</v>
      </c>
      <c r="G73">
        <v>1</v>
      </c>
      <c r="H73">
        <v>4</v>
      </c>
      <c r="I73" s="10">
        <v>44667</v>
      </c>
      <c r="J73">
        <v>1</v>
      </c>
      <c r="K73">
        <v>1</v>
      </c>
      <c r="L73">
        <v>1</v>
      </c>
      <c r="M73">
        <v>2730</v>
      </c>
      <c r="N73">
        <v>2</v>
      </c>
      <c r="O73" s="10">
        <v>44394</v>
      </c>
      <c r="P73">
        <v>1</v>
      </c>
      <c r="Q73">
        <v>39</v>
      </c>
      <c r="R73">
        <v>2</v>
      </c>
      <c r="S73">
        <v>65</v>
      </c>
      <c r="T73">
        <v>165</v>
      </c>
      <c r="U73">
        <v>75</v>
      </c>
      <c r="V73">
        <v>10</v>
      </c>
      <c r="W73">
        <v>1</v>
      </c>
      <c r="X73">
        <v>23.875114784205696</v>
      </c>
      <c r="Y73">
        <v>27.548209366391188</v>
      </c>
      <c r="Z73">
        <v>3.6730945821854917</v>
      </c>
      <c r="AA73">
        <v>2</v>
      </c>
      <c r="AB73">
        <v>3</v>
      </c>
      <c r="AC73" t="s">
        <v>33</v>
      </c>
      <c r="AD73">
        <v>3</v>
      </c>
      <c r="AE73">
        <v>0</v>
      </c>
      <c r="AG73">
        <v>5</v>
      </c>
      <c r="AH73">
        <v>1</v>
      </c>
      <c r="AI73">
        <v>7</v>
      </c>
      <c r="AJ73">
        <v>5</v>
      </c>
      <c r="AK73">
        <v>7</v>
      </c>
      <c r="AL73">
        <v>1</v>
      </c>
      <c r="AM73">
        <f>AJ73*AK73*AL73/7</f>
        <v>5</v>
      </c>
      <c r="AN73" t="s">
        <v>206</v>
      </c>
      <c r="AO73">
        <v>0</v>
      </c>
      <c r="AV73">
        <f>AU73+AM73</f>
        <v>5</v>
      </c>
      <c r="AW73" t="s">
        <v>651</v>
      </c>
      <c r="AX73">
        <v>0</v>
      </c>
      <c r="BE73">
        <f>AM73+AU73+BD73</f>
        <v>5</v>
      </c>
      <c r="BF73" t="s">
        <v>651</v>
      </c>
      <c r="BG73">
        <v>1</v>
      </c>
      <c r="BH73">
        <v>7</v>
      </c>
      <c r="BI73">
        <v>2</v>
      </c>
      <c r="BJ73" t="s">
        <v>54</v>
      </c>
      <c r="BK73">
        <v>2</v>
      </c>
      <c r="BL73">
        <v>3</v>
      </c>
      <c r="BM73">
        <v>1</v>
      </c>
      <c r="BN73" t="s">
        <v>30</v>
      </c>
      <c r="BO73">
        <v>1</v>
      </c>
      <c r="BP73">
        <v>168</v>
      </c>
      <c r="BQ73">
        <v>0.13</v>
      </c>
      <c r="BR73">
        <v>2</v>
      </c>
      <c r="BS73">
        <v>0.26</v>
      </c>
      <c r="BT73">
        <f>BS73+BD73+AU73+AM73</f>
        <v>5.26</v>
      </c>
      <c r="BU73">
        <v>1</v>
      </c>
      <c r="BV73">
        <v>2</v>
      </c>
      <c r="BW73">
        <v>293</v>
      </c>
      <c r="BX73">
        <f>BW73/7</f>
        <v>41.857142857142854</v>
      </c>
      <c r="BY73">
        <f>0.00077*BX73</f>
        <v>3.2229999999999995E-2</v>
      </c>
      <c r="BZ73">
        <f t="shared" si="1"/>
        <v>5.29223</v>
      </c>
    </row>
    <row r="74" spans="1:78">
      <c r="A74" s="1">
        <v>45161.601816620372</v>
      </c>
      <c r="C74">
        <v>73</v>
      </c>
      <c r="D74" s="10">
        <v>30906</v>
      </c>
      <c r="E74">
        <v>39</v>
      </c>
      <c r="F74">
        <v>2</v>
      </c>
      <c r="G74">
        <v>1</v>
      </c>
      <c r="H74">
        <v>3</v>
      </c>
      <c r="I74" s="10">
        <v>42930</v>
      </c>
      <c r="J74">
        <v>2</v>
      </c>
      <c r="K74">
        <v>0</v>
      </c>
      <c r="L74">
        <v>2</v>
      </c>
      <c r="M74">
        <v>2300</v>
      </c>
      <c r="N74">
        <v>1</v>
      </c>
      <c r="O74" s="10">
        <v>42671</v>
      </c>
      <c r="P74">
        <v>0</v>
      </c>
      <c r="Q74">
        <v>37</v>
      </c>
      <c r="R74">
        <v>2</v>
      </c>
      <c r="S74">
        <v>68</v>
      </c>
      <c r="T74">
        <v>164</v>
      </c>
      <c r="U74">
        <v>85</v>
      </c>
      <c r="V74">
        <v>17</v>
      </c>
      <c r="W74">
        <v>3</v>
      </c>
      <c r="X74">
        <v>25.282569898869724</v>
      </c>
      <c r="Y74">
        <v>31.603212373587155</v>
      </c>
      <c r="Z74">
        <v>6.320642474717431</v>
      </c>
      <c r="AA74">
        <v>3</v>
      </c>
      <c r="AB74">
        <v>4</v>
      </c>
      <c r="AC74" t="s">
        <v>33</v>
      </c>
      <c r="AD74">
        <v>3</v>
      </c>
      <c r="AE74">
        <v>0</v>
      </c>
      <c r="AG74">
        <v>5</v>
      </c>
      <c r="AH74">
        <v>0</v>
      </c>
      <c r="AI74">
        <v>0</v>
      </c>
      <c r="AO74">
        <v>0</v>
      </c>
      <c r="AX74">
        <v>0</v>
      </c>
      <c r="BG74">
        <v>0</v>
      </c>
      <c r="BJ74" t="s">
        <v>51</v>
      </c>
      <c r="BK74">
        <v>1</v>
      </c>
      <c r="BL74">
        <v>1</v>
      </c>
      <c r="BM74">
        <v>1</v>
      </c>
      <c r="BN74" t="s">
        <v>30</v>
      </c>
      <c r="BO74">
        <v>1</v>
      </c>
      <c r="BP74">
        <v>336</v>
      </c>
      <c r="BQ74">
        <v>0.13</v>
      </c>
      <c r="BR74">
        <v>4</v>
      </c>
      <c r="BS74">
        <v>0.52</v>
      </c>
      <c r="BT74">
        <f>BS74+BD74+AU74+AM74</f>
        <v>0.52</v>
      </c>
      <c r="BU74">
        <v>1</v>
      </c>
      <c r="BV74">
        <v>4</v>
      </c>
      <c r="BW74">
        <v>586</v>
      </c>
      <c r="BX74">
        <f>BW74/7</f>
        <v>83.714285714285708</v>
      </c>
      <c r="BY74">
        <f>0.00077*BX74</f>
        <v>6.445999999999999E-2</v>
      </c>
      <c r="BZ74">
        <f t="shared" si="1"/>
        <v>0.58445999999999998</v>
      </c>
    </row>
    <row r="75" spans="1:78">
      <c r="A75" s="1">
        <v>45161.620288495367</v>
      </c>
      <c r="C75">
        <v>74</v>
      </c>
      <c r="D75" s="10">
        <v>31154</v>
      </c>
      <c r="E75">
        <v>38</v>
      </c>
      <c r="F75">
        <v>1</v>
      </c>
      <c r="G75">
        <v>4</v>
      </c>
      <c r="H75">
        <v>5</v>
      </c>
      <c r="I75" s="10">
        <v>43804</v>
      </c>
      <c r="J75">
        <v>2</v>
      </c>
      <c r="K75">
        <v>0</v>
      </c>
      <c r="L75">
        <v>1</v>
      </c>
      <c r="M75">
        <v>3500</v>
      </c>
      <c r="N75">
        <v>2</v>
      </c>
      <c r="O75" s="10">
        <v>43541</v>
      </c>
      <c r="P75">
        <v>0</v>
      </c>
      <c r="Q75">
        <v>37.571428571428569</v>
      </c>
      <c r="R75">
        <v>2</v>
      </c>
      <c r="S75">
        <v>70</v>
      </c>
      <c r="T75">
        <v>156</v>
      </c>
      <c r="U75">
        <v>82</v>
      </c>
      <c r="V75">
        <v>12</v>
      </c>
      <c r="W75">
        <v>3</v>
      </c>
      <c r="X75">
        <v>28.763971071663377</v>
      </c>
      <c r="Y75">
        <v>33.694937541091385</v>
      </c>
      <c r="Z75">
        <v>4.9309664694280073</v>
      </c>
      <c r="AA75">
        <v>3</v>
      </c>
      <c r="AB75">
        <v>4</v>
      </c>
      <c r="AC75" t="s">
        <v>33</v>
      </c>
      <c r="AD75">
        <v>3</v>
      </c>
      <c r="AE75">
        <v>0</v>
      </c>
      <c r="AG75">
        <v>5</v>
      </c>
      <c r="AH75">
        <v>1</v>
      </c>
      <c r="AI75">
        <v>2</v>
      </c>
      <c r="AJ75">
        <v>5</v>
      </c>
      <c r="AK75">
        <v>1</v>
      </c>
      <c r="AL75">
        <v>1</v>
      </c>
      <c r="AM75">
        <f>AJ75*AK75*AL75/7</f>
        <v>0.7142857142857143</v>
      </c>
      <c r="AN75" t="s">
        <v>57</v>
      </c>
      <c r="AO75">
        <v>0</v>
      </c>
      <c r="AV75">
        <f>AU75+AM75</f>
        <v>0.7142857142857143</v>
      </c>
      <c r="AX75">
        <v>0</v>
      </c>
      <c r="BE75">
        <f>AM75+AU75+BD75</f>
        <v>0.7142857142857143</v>
      </c>
      <c r="BG75">
        <v>0</v>
      </c>
      <c r="BJ75" t="s">
        <v>54</v>
      </c>
      <c r="BK75">
        <v>2</v>
      </c>
      <c r="BL75">
        <v>3</v>
      </c>
      <c r="BM75">
        <v>1</v>
      </c>
      <c r="BN75" t="s">
        <v>30</v>
      </c>
      <c r="BO75">
        <v>1</v>
      </c>
      <c r="BP75">
        <v>84</v>
      </c>
      <c r="BQ75">
        <v>0.13</v>
      </c>
      <c r="BR75">
        <v>1</v>
      </c>
      <c r="BS75">
        <v>0.13</v>
      </c>
      <c r="BT75">
        <f>BS75+BD75+AU75+AM75</f>
        <v>0.84428571428571431</v>
      </c>
      <c r="BU75">
        <v>1</v>
      </c>
      <c r="BV75">
        <v>1</v>
      </c>
      <c r="BW75">
        <v>146.5</v>
      </c>
      <c r="BX75">
        <f>BW75/7</f>
        <v>20.928571428571427</v>
      </c>
      <c r="BY75">
        <f>0.00077*BX75</f>
        <v>1.6114999999999997E-2</v>
      </c>
      <c r="BZ75">
        <f t="shared" si="1"/>
        <v>0.8604007142857143</v>
      </c>
    </row>
    <row r="76" spans="1:78">
      <c r="A76" s="1">
        <v>45161.691478564811</v>
      </c>
      <c r="C76">
        <v>75</v>
      </c>
      <c r="D76" s="10">
        <v>31828</v>
      </c>
      <c r="E76">
        <v>36</v>
      </c>
      <c r="F76">
        <v>1</v>
      </c>
      <c r="G76">
        <v>4</v>
      </c>
      <c r="H76">
        <v>5</v>
      </c>
      <c r="I76" s="10">
        <v>44734</v>
      </c>
      <c r="J76">
        <v>1</v>
      </c>
      <c r="K76">
        <v>1</v>
      </c>
      <c r="L76">
        <v>2</v>
      </c>
      <c r="M76">
        <v>3554</v>
      </c>
      <c r="N76">
        <v>2</v>
      </c>
      <c r="O76" s="10">
        <v>44454</v>
      </c>
      <c r="P76">
        <v>1</v>
      </c>
      <c r="Q76">
        <v>40</v>
      </c>
      <c r="R76">
        <v>2</v>
      </c>
      <c r="S76">
        <v>74</v>
      </c>
      <c r="T76">
        <v>172</v>
      </c>
      <c r="U76">
        <v>95.1</v>
      </c>
      <c r="V76">
        <v>21.099999999999994</v>
      </c>
      <c r="W76">
        <v>3</v>
      </c>
      <c r="X76">
        <v>25.013520822065985</v>
      </c>
      <c r="Y76">
        <v>32.145754461871284</v>
      </c>
      <c r="Z76">
        <v>7.1322336398052997</v>
      </c>
      <c r="AA76">
        <v>3</v>
      </c>
      <c r="AB76">
        <v>4</v>
      </c>
      <c r="AC76" t="s">
        <v>123</v>
      </c>
      <c r="AD76">
        <v>2</v>
      </c>
      <c r="AE76">
        <v>0</v>
      </c>
      <c r="AG76">
        <v>5</v>
      </c>
      <c r="AH76">
        <v>1</v>
      </c>
      <c r="AI76">
        <v>1</v>
      </c>
      <c r="AJ76">
        <v>1</v>
      </c>
      <c r="AK76">
        <v>7</v>
      </c>
      <c r="AL76">
        <v>1</v>
      </c>
      <c r="AM76">
        <f>AJ76*AK76*AL76/7</f>
        <v>1</v>
      </c>
      <c r="AN76" t="s">
        <v>56</v>
      </c>
      <c r="AO76">
        <v>0</v>
      </c>
      <c r="AV76">
        <f>AU76+AM76</f>
        <v>1</v>
      </c>
      <c r="AW76" t="s">
        <v>58</v>
      </c>
      <c r="AX76">
        <v>1</v>
      </c>
      <c r="AY76" t="s">
        <v>58</v>
      </c>
      <c r="AZ76">
        <v>1</v>
      </c>
      <c r="BA76">
        <v>0.8</v>
      </c>
      <c r="BB76">
        <v>7</v>
      </c>
      <c r="BC76">
        <v>1</v>
      </c>
      <c r="BD76">
        <f>BA76*BB76*1/7</f>
        <v>0.8</v>
      </c>
      <c r="BE76">
        <f>AM76+AU76+BD76</f>
        <v>1.8</v>
      </c>
      <c r="BF76" t="s">
        <v>58</v>
      </c>
      <c r="BG76">
        <v>0</v>
      </c>
      <c r="BH76">
        <v>7</v>
      </c>
      <c r="BI76">
        <v>1</v>
      </c>
      <c r="BJ76" t="s">
        <v>28</v>
      </c>
      <c r="BK76">
        <v>3</v>
      </c>
      <c r="BL76">
        <v>1</v>
      </c>
      <c r="BM76">
        <v>1</v>
      </c>
      <c r="BN76" t="s">
        <v>55</v>
      </c>
      <c r="BO76">
        <v>2</v>
      </c>
      <c r="BP76">
        <v>67</v>
      </c>
      <c r="BQ76">
        <v>0.1</v>
      </c>
      <c r="BR76">
        <v>1</v>
      </c>
      <c r="BS76">
        <v>0.1</v>
      </c>
      <c r="BT76">
        <f>BS76+BD76+AU76+AM76</f>
        <v>1.9</v>
      </c>
      <c r="BU76">
        <v>1</v>
      </c>
      <c r="BV76" t="s">
        <v>124</v>
      </c>
      <c r="BW76" t="e">
        <v>#VALUE!</v>
      </c>
      <c r="BX76" t="e">
        <f>BW76/7</f>
        <v>#VALUE!</v>
      </c>
      <c r="BY76" t="e">
        <f>0.00077*BX76</f>
        <v>#VALUE!</v>
      </c>
      <c r="BZ76" t="e">
        <f t="shared" si="1"/>
        <v>#VALUE!</v>
      </c>
    </row>
    <row r="77" spans="1:78">
      <c r="A77" s="1">
        <v>45161.74858782407</v>
      </c>
      <c r="C77">
        <v>76</v>
      </c>
      <c r="D77" s="10">
        <v>33520</v>
      </c>
      <c r="E77">
        <v>31</v>
      </c>
      <c r="F77">
        <v>1</v>
      </c>
      <c r="G77">
        <v>1</v>
      </c>
      <c r="H77">
        <v>5</v>
      </c>
      <c r="I77" s="10">
        <v>44901</v>
      </c>
      <c r="J77">
        <v>1</v>
      </c>
      <c r="K77">
        <v>1</v>
      </c>
      <c r="L77">
        <v>1</v>
      </c>
      <c r="M77">
        <v>4030</v>
      </c>
      <c r="N77">
        <v>3</v>
      </c>
      <c r="O77" s="10">
        <v>44614</v>
      </c>
      <c r="P77">
        <v>0</v>
      </c>
      <c r="Q77">
        <v>41</v>
      </c>
      <c r="R77">
        <v>2</v>
      </c>
      <c r="S77">
        <v>93</v>
      </c>
      <c r="T77">
        <v>160</v>
      </c>
      <c r="U77">
        <v>87</v>
      </c>
      <c r="V77">
        <v>-6</v>
      </c>
      <c r="W77">
        <v>1</v>
      </c>
      <c r="X77">
        <v>36.328124999999993</v>
      </c>
      <c r="Y77">
        <v>33.984374999999993</v>
      </c>
      <c r="Z77">
        <v>-2.34375</v>
      </c>
      <c r="AA77">
        <v>4</v>
      </c>
      <c r="AB77">
        <v>4</v>
      </c>
      <c r="AC77" t="s">
        <v>33</v>
      </c>
      <c r="AD77">
        <v>3</v>
      </c>
      <c r="AE77">
        <v>0</v>
      </c>
      <c r="AG77">
        <v>5</v>
      </c>
      <c r="AH77">
        <v>1</v>
      </c>
      <c r="AI77">
        <v>5</v>
      </c>
      <c r="AJ77">
        <v>5</v>
      </c>
      <c r="AK77">
        <v>7</v>
      </c>
      <c r="AL77">
        <v>1</v>
      </c>
      <c r="AM77">
        <f>AJ77*AK77*AL77/7</f>
        <v>5</v>
      </c>
      <c r="AN77" t="s">
        <v>27</v>
      </c>
      <c r="AO77">
        <v>0</v>
      </c>
      <c r="AV77">
        <f>AU77+AM77</f>
        <v>5</v>
      </c>
      <c r="AX77">
        <v>0</v>
      </c>
      <c r="BE77">
        <f>AM77+AU77+BD77</f>
        <v>5</v>
      </c>
      <c r="BG77">
        <v>0</v>
      </c>
      <c r="BJ77" t="s">
        <v>49</v>
      </c>
      <c r="BK77">
        <v>5</v>
      </c>
      <c r="BL77">
        <v>1</v>
      </c>
      <c r="BM77">
        <v>1</v>
      </c>
      <c r="BN77" t="s">
        <v>30</v>
      </c>
      <c r="BO77">
        <v>1</v>
      </c>
      <c r="BP77">
        <v>168</v>
      </c>
      <c r="BQ77">
        <v>0.13</v>
      </c>
      <c r="BR77">
        <v>2</v>
      </c>
      <c r="BS77">
        <v>0.26</v>
      </c>
      <c r="BT77">
        <f>BS77+BD77+AU77+AM77</f>
        <v>5.26</v>
      </c>
      <c r="BU77">
        <v>1</v>
      </c>
      <c r="BV77">
        <v>3</v>
      </c>
      <c r="BW77">
        <v>439.5</v>
      </c>
      <c r="BX77">
        <f>BW77/7</f>
        <v>62.785714285714285</v>
      </c>
      <c r="BY77">
        <f>0.00077*BX77</f>
        <v>4.8344999999999999E-2</v>
      </c>
      <c r="BZ77">
        <f t="shared" si="1"/>
        <v>5.3083450000000001</v>
      </c>
    </row>
    <row r="78" spans="1:78">
      <c r="A78" s="1">
        <v>45161.874077754634</v>
      </c>
      <c r="C78">
        <v>77</v>
      </c>
      <c r="D78" s="10">
        <v>29939</v>
      </c>
      <c r="E78">
        <v>41</v>
      </c>
      <c r="F78">
        <v>1</v>
      </c>
      <c r="G78">
        <v>1</v>
      </c>
      <c r="H78">
        <v>5</v>
      </c>
      <c r="I78" s="10">
        <v>44682</v>
      </c>
      <c r="J78">
        <v>3</v>
      </c>
      <c r="K78">
        <v>0</v>
      </c>
      <c r="L78">
        <v>2</v>
      </c>
      <c r="M78">
        <v>3098</v>
      </c>
      <c r="N78">
        <v>2</v>
      </c>
      <c r="O78" s="10">
        <v>44416</v>
      </c>
      <c r="P78">
        <v>1</v>
      </c>
      <c r="Q78">
        <v>38</v>
      </c>
      <c r="R78">
        <v>2</v>
      </c>
      <c r="S78">
        <v>60</v>
      </c>
      <c r="T78">
        <v>160</v>
      </c>
      <c r="U78">
        <v>72</v>
      </c>
      <c r="V78">
        <v>12</v>
      </c>
      <c r="W78">
        <v>2</v>
      </c>
      <c r="X78">
        <v>23.437499999999996</v>
      </c>
      <c r="Y78">
        <v>28.124999999999993</v>
      </c>
      <c r="Z78">
        <v>4.6874999999999964</v>
      </c>
      <c r="AA78">
        <v>2</v>
      </c>
      <c r="AB78">
        <v>3</v>
      </c>
      <c r="AC78" t="s">
        <v>33</v>
      </c>
      <c r="AD78">
        <v>3</v>
      </c>
      <c r="AE78">
        <v>0</v>
      </c>
      <c r="AG78">
        <v>5</v>
      </c>
      <c r="AH78">
        <v>1</v>
      </c>
      <c r="AI78">
        <v>4</v>
      </c>
      <c r="AJ78">
        <v>1</v>
      </c>
      <c r="AK78">
        <v>7</v>
      </c>
      <c r="AL78">
        <v>1</v>
      </c>
      <c r="AM78">
        <f>AJ78*AK78*AL78/7</f>
        <v>1</v>
      </c>
      <c r="AN78" t="s">
        <v>43</v>
      </c>
      <c r="AO78">
        <v>0</v>
      </c>
      <c r="AV78">
        <f>AU78+AM78</f>
        <v>1</v>
      </c>
      <c r="AX78">
        <v>0</v>
      </c>
      <c r="BE78">
        <f>AM78+AU78+BD78</f>
        <v>1</v>
      </c>
      <c r="BG78">
        <v>0</v>
      </c>
      <c r="BJ78" t="s">
        <v>49</v>
      </c>
      <c r="BK78">
        <v>5</v>
      </c>
      <c r="BL78">
        <v>3</v>
      </c>
      <c r="BM78">
        <v>1</v>
      </c>
      <c r="BN78" t="s">
        <v>55</v>
      </c>
      <c r="BO78">
        <v>2</v>
      </c>
      <c r="BP78">
        <v>134</v>
      </c>
      <c r="BQ78">
        <v>0.1</v>
      </c>
      <c r="BR78">
        <v>2</v>
      </c>
      <c r="BS78">
        <v>0.2</v>
      </c>
      <c r="BT78">
        <f>BS78+BD78+AU78+AM78</f>
        <v>1.2</v>
      </c>
      <c r="BU78">
        <v>1</v>
      </c>
      <c r="BV78">
        <v>1</v>
      </c>
      <c r="BW78">
        <v>146.5</v>
      </c>
      <c r="BX78">
        <f>BW78/7</f>
        <v>20.928571428571427</v>
      </c>
      <c r="BY78">
        <f>0.00077*BX78</f>
        <v>1.6114999999999997E-2</v>
      </c>
      <c r="BZ78">
        <f t="shared" si="1"/>
        <v>1.2161150000000001</v>
      </c>
    </row>
    <row r="79" spans="1:78">
      <c r="A79" s="1">
        <v>45161.87813837963</v>
      </c>
      <c r="C79">
        <v>78</v>
      </c>
      <c r="D79" s="10">
        <v>30557</v>
      </c>
      <c r="E79">
        <v>39</v>
      </c>
      <c r="F79">
        <v>1</v>
      </c>
      <c r="G79">
        <v>1</v>
      </c>
      <c r="H79">
        <v>3</v>
      </c>
      <c r="I79" s="10">
        <v>43444</v>
      </c>
      <c r="J79">
        <v>4</v>
      </c>
      <c r="K79">
        <v>0</v>
      </c>
      <c r="L79">
        <v>2</v>
      </c>
      <c r="M79">
        <v>3555</v>
      </c>
      <c r="N79">
        <v>2</v>
      </c>
      <c r="O79" s="10">
        <v>43164</v>
      </c>
      <c r="P79">
        <v>0</v>
      </c>
      <c r="Q79">
        <v>40</v>
      </c>
      <c r="R79">
        <v>2</v>
      </c>
      <c r="S79">
        <v>80</v>
      </c>
      <c r="T79">
        <v>159</v>
      </c>
      <c r="U79">
        <v>90</v>
      </c>
      <c r="V79">
        <v>10</v>
      </c>
      <c r="W79">
        <v>2</v>
      </c>
      <c r="X79">
        <v>31.644317867172973</v>
      </c>
      <c r="Y79">
        <v>35.599857600569592</v>
      </c>
      <c r="Z79">
        <v>3.9555397333966198</v>
      </c>
      <c r="AA79">
        <v>4</v>
      </c>
      <c r="AB79">
        <v>4</v>
      </c>
      <c r="AC79" t="s">
        <v>123</v>
      </c>
      <c r="AD79">
        <v>2</v>
      </c>
      <c r="AE79">
        <v>0</v>
      </c>
      <c r="AG79">
        <v>5</v>
      </c>
      <c r="AH79">
        <v>1</v>
      </c>
      <c r="AI79">
        <v>13</v>
      </c>
      <c r="AJ79">
        <v>1</v>
      </c>
      <c r="AK79">
        <v>7</v>
      </c>
      <c r="AL79">
        <v>1</v>
      </c>
      <c r="AM79">
        <f>AJ79*AK79*AL79/7</f>
        <v>1</v>
      </c>
      <c r="AN79" t="s">
        <v>79</v>
      </c>
      <c r="AO79">
        <v>0</v>
      </c>
      <c r="AV79">
        <f>AU79+AM79</f>
        <v>1</v>
      </c>
      <c r="AW79" t="s">
        <v>58</v>
      </c>
      <c r="AX79">
        <v>1</v>
      </c>
      <c r="AY79" t="s">
        <v>58</v>
      </c>
      <c r="AZ79">
        <v>1</v>
      </c>
      <c r="BA79">
        <v>0.8</v>
      </c>
      <c r="BB79">
        <v>7</v>
      </c>
      <c r="BC79">
        <v>1</v>
      </c>
      <c r="BD79">
        <f>BA79*BB79*1/7</f>
        <v>0.8</v>
      </c>
      <c r="BE79">
        <f>AM79+AU79+BD79</f>
        <v>1.8</v>
      </c>
      <c r="BF79" t="s">
        <v>58</v>
      </c>
      <c r="BG79">
        <v>0</v>
      </c>
      <c r="BH79">
        <v>7</v>
      </c>
      <c r="BI79">
        <v>1</v>
      </c>
      <c r="BJ79" t="s">
        <v>49</v>
      </c>
      <c r="BK79">
        <v>5</v>
      </c>
      <c r="BL79">
        <v>1</v>
      </c>
      <c r="BM79">
        <v>1</v>
      </c>
      <c r="BN79" t="s">
        <v>59</v>
      </c>
      <c r="BO79">
        <v>3</v>
      </c>
      <c r="BP79">
        <v>112</v>
      </c>
      <c r="BQ79">
        <v>0.08</v>
      </c>
      <c r="BR79">
        <v>2</v>
      </c>
      <c r="BS79">
        <v>0.16</v>
      </c>
      <c r="BT79">
        <f>BS79+BD79+AU79+AM79</f>
        <v>1.96</v>
      </c>
      <c r="BU79">
        <v>1</v>
      </c>
      <c r="BV79">
        <v>0.5</v>
      </c>
      <c r="BW79">
        <v>73.25</v>
      </c>
      <c r="BX79">
        <f>BW79/7</f>
        <v>10.464285714285714</v>
      </c>
      <c r="BY79">
        <f>0.00077*BX79</f>
        <v>8.0574999999999987E-3</v>
      </c>
      <c r="BZ79">
        <f t="shared" si="1"/>
        <v>1.9680575</v>
      </c>
    </row>
    <row r="80" spans="1:78">
      <c r="A80" s="1">
        <v>45161.883569467594</v>
      </c>
      <c r="C80">
        <v>79</v>
      </c>
      <c r="D80" s="10">
        <v>32126</v>
      </c>
      <c r="E80">
        <v>35</v>
      </c>
      <c r="F80">
        <v>1</v>
      </c>
      <c r="G80">
        <v>1</v>
      </c>
      <c r="H80">
        <v>5</v>
      </c>
      <c r="I80" s="10">
        <v>44330</v>
      </c>
      <c r="J80">
        <v>2</v>
      </c>
      <c r="K80">
        <v>0</v>
      </c>
      <c r="L80">
        <v>1</v>
      </c>
      <c r="M80">
        <v>3320</v>
      </c>
      <c r="N80">
        <v>2</v>
      </c>
      <c r="O80" s="10">
        <v>44057</v>
      </c>
      <c r="P80">
        <v>1</v>
      </c>
      <c r="Q80">
        <v>39</v>
      </c>
      <c r="R80">
        <v>2</v>
      </c>
      <c r="S80">
        <v>60</v>
      </c>
      <c r="T80">
        <v>165</v>
      </c>
      <c r="U80">
        <v>69</v>
      </c>
      <c r="V80">
        <v>9</v>
      </c>
      <c r="W80">
        <v>1</v>
      </c>
      <c r="X80">
        <v>22.03856749311295</v>
      </c>
      <c r="Y80">
        <v>25.344352617079892</v>
      </c>
      <c r="Z80">
        <v>3.3057851239669418</v>
      </c>
      <c r="AA80">
        <v>2</v>
      </c>
      <c r="AB80">
        <v>3</v>
      </c>
      <c r="AC80" t="s">
        <v>50</v>
      </c>
      <c r="AD80">
        <v>2</v>
      </c>
      <c r="AE80">
        <v>0</v>
      </c>
      <c r="AG80">
        <v>5</v>
      </c>
      <c r="AH80">
        <v>1</v>
      </c>
      <c r="AI80">
        <v>5</v>
      </c>
      <c r="AJ80">
        <v>5</v>
      </c>
      <c r="AK80">
        <v>7</v>
      </c>
      <c r="AL80">
        <v>1</v>
      </c>
      <c r="AM80">
        <f>AJ80*AK80*AL80/7</f>
        <v>5</v>
      </c>
      <c r="AN80" t="s">
        <v>27</v>
      </c>
      <c r="AO80">
        <v>0</v>
      </c>
      <c r="AV80">
        <f>AU80+AM80</f>
        <v>5</v>
      </c>
      <c r="AX80">
        <v>0</v>
      </c>
      <c r="BE80">
        <f>AM80+AU80+BD80</f>
        <v>5</v>
      </c>
      <c r="BG80">
        <v>0</v>
      </c>
      <c r="BJ80" t="s">
        <v>28</v>
      </c>
      <c r="BK80">
        <v>3</v>
      </c>
      <c r="BL80">
        <v>1</v>
      </c>
      <c r="BM80">
        <v>1</v>
      </c>
      <c r="BN80" t="s">
        <v>37</v>
      </c>
      <c r="BO80">
        <v>4</v>
      </c>
      <c r="BP80">
        <v>110</v>
      </c>
      <c r="BQ80">
        <v>0.05</v>
      </c>
      <c r="BR80">
        <v>2</v>
      </c>
      <c r="BS80">
        <v>0.1</v>
      </c>
      <c r="BT80">
        <f>BS80+BD80+AU80+AM80</f>
        <v>5.0999999999999996</v>
      </c>
      <c r="BU80">
        <v>1</v>
      </c>
      <c r="BV80">
        <v>1</v>
      </c>
      <c r="BW80">
        <v>146.5</v>
      </c>
      <c r="BX80">
        <f>BW80/7</f>
        <v>20.928571428571427</v>
      </c>
      <c r="BY80">
        <f>0.00077*BX80</f>
        <v>1.6114999999999997E-2</v>
      </c>
      <c r="BZ80">
        <f t="shared" si="1"/>
        <v>5.1161149999999997</v>
      </c>
    </row>
    <row r="81" spans="1:78">
      <c r="A81" s="1">
        <v>45161.885919340275</v>
      </c>
      <c r="C81">
        <v>80</v>
      </c>
      <c r="D81" s="10">
        <v>30344</v>
      </c>
      <c r="E81">
        <v>40</v>
      </c>
      <c r="F81">
        <v>1</v>
      </c>
      <c r="G81">
        <v>1</v>
      </c>
      <c r="H81">
        <v>5</v>
      </c>
      <c r="I81" s="10">
        <v>44827</v>
      </c>
      <c r="J81">
        <v>2</v>
      </c>
      <c r="K81">
        <v>0</v>
      </c>
      <c r="L81">
        <v>1</v>
      </c>
      <c r="M81">
        <v>3650</v>
      </c>
      <c r="N81">
        <v>2</v>
      </c>
      <c r="O81" s="10">
        <v>44554</v>
      </c>
      <c r="P81">
        <v>0</v>
      </c>
      <c r="Q81">
        <v>39</v>
      </c>
      <c r="R81">
        <v>2</v>
      </c>
      <c r="S81">
        <v>74</v>
      </c>
      <c r="T81">
        <v>174</v>
      </c>
      <c r="U81">
        <v>92</v>
      </c>
      <c r="V81">
        <v>18</v>
      </c>
      <c r="W81">
        <v>3</v>
      </c>
      <c r="X81">
        <v>24.441802087462015</v>
      </c>
      <c r="Y81">
        <v>30.38710529792575</v>
      </c>
      <c r="Z81">
        <v>5.9453032104637344</v>
      </c>
      <c r="AA81">
        <v>2</v>
      </c>
      <c r="AB81">
        <v>4</v>
      </c>
      <c r="AC81" t="s">
        <v>25</v>
      </c>
      <c r="AD81">
        <v>1</v>
      </c>
      <c r="AE81">
        <v>0</v>
      </c>
      <c r="AG81">
        <v>5</v>
      </c>
      <c r="AH81">
        <v>1</v>
      </c>
      <c r="AI81">
        <v>1</v>
      </c>
      <c r="AJ81">
        <v>1</v>
      </c>
      <c r="AK81">
        <v>7</v>
      </c>
      <c r="AL81">
        <v>1</v>
      </c>
      <c r="AM81">
        <f>AJ81*AK81*AL81/7</f>
        <v>1</v>
      </c>
      <c r="AN81" t="s">
        <v>56</v>
      </c>
      <c r="AO81">
        <v>0</v>
      </c>
      <c r="AV81">
        <f>AU81+AM81</f>
        <v>1</v>
      </c>
      <c r="AW81" t="s">
        <v>80</v>
      </c>
      <c r="AX81">
        <v>0</v>
      </c>
      <c r="BE81">
        <f>AM81+AU81+BD81</f>
        <v>1</v>
      </c>
      <c r="BF81" t="s">
        <v>80</v>
      </c>
      <c r="BG81">
        <v>1</v>
      </c>
      <c r="BH81">
        <v>7</v>
      </c>
      <c r="BI81">
        <v>1</v>
      </c>
      <c r="BJ81" t="s">
        <v>28</v>
      </c>
      <c r="BK81">
        <v>3</v>
      </c>
      <c r="BL81">
        <v>3</v>
      </c>
      <c r="BM81">
        <v>1</v>
      </c>
      <c r="BN81" t="s">
        <v>30</v>
      </c>
      <c r="BO81">
        <v>1</v>
      </c>
      <c r="BP81">
        <v>168</v>
      </c>
      <c r="BQ81">
        <v>0.13</v>
      </c>
      <c r="BR81">
        <v>2</v>
      </c>
      <c r="BS81">
        <v>0.26</v>
      </c>
      <c r="BT81">
        <f>BS81+BD81+AU81+AM81</f>
        <v>1.26</v>
      </c>
      <c r="BU81">
        <v>1</v>
      </c>
      <c r="BV81">
        <v>4</v>
      </c>
      <c r="BW81">
        <v>586</v>
      </c>
      <c r="BX81">
        <f>BW81/7</f>
        <v>83.714285714285708</v>
      </c>
      <c r="BY81">
        <f>0.00077*BX81</f>
        <v>6.445999999999999E-2</v>
      </c>
      <c r="BZ81">
        <f t="shared" si="1"/>
        <v>1.32446</v>
      </c>
    </row>
    <row r="82" spans="1:78">
      <c r="A82" s="1">
        <v>45161.891224965279</v>
      </c>
      <c r="B82" s="9" t="s">
        <v>866</v>
      </c>
      <c r="C82">
        <v>81</v>
      </c>
      <c r="D82" s="10">
        <v>30692</v>
      </c>
      <c r="E82">
        <v>39</v>
      </c>
      <c r="F82">
        <v>1</v>
      </c>
      <c r="G82">
        <v>1</v>
      </c>
      <c r="H82">
        <v>4</v>
      </c>
      <c r="I82" s="10">
        <v>43451</v>
      </c>
      <c r="J82">
        <v>4</v>
      </c>
      <c r="K82">
        <v>0</v>
      </c>
      <c r="L82">
        <v>1</v>
      </c>
      <c r="M82">
        <v>2800</v>
      </c>
      <c r="N82">
        <v>2</v>
      </c>
      <c r="O82" s="10">
        <v>43171</v>
      </c>
      <c r="P82">
        <v>0</v>
      </c>
      <c r="Q82">
        <v>40</v>
      </c>
      <c r="R82">
        <v>2</v>
      </c>
      <c r="S82">
        <v>62</v>
      </c>
      <c r="T82">
        <v>176</v>
      </c>
      <c r="U82">
        <v>72</v>
      </c>
      <c r="V82">
        <v>10</v>
      </c>
      <c r="W82">
        <v>1</v>
      </c>
      <c r="X82">
        <v>20.015495867768596</v>
      </c>
      <c r="Y82">
        <v>23.243801652892564</v>
      </c>
      <c r="Z82">
        <v>3.2283057851239683</v>
      </c>
      <c r="AA82">
        <v>2</v>
      </c>
      <c r="AB82">
        <v>2</v>
      </c>
      <c r="AC82" t="s">
        <v>123</v>
      </c>
      <c r="AD82">
        <v>2</v>
      </c>
      <c r="AE82">
        <v>0</v>
      </c>
      <c r="AG82">
        <v>5</v>
      </c>
      <c r="AH82">
        <v>1</v>
      </c>
      <c r="AI82" t="s">
        <v>258</v>
      </c>
      <c r="AJ82" t="s">
        <v>258</v>
      </c>
      <c r="AK82">
        <v>7</v>
      </c>
      <c r="AL82">
        <v>1</v>
      </c>
      <c r="AM82" t="s">
        <v>258</v>
      </c>
      <c r="AN82" t="s">
        <v>655</v>
      </c>
      <c r="AO82">
        <v>0</v>
      </c>
      <c r="AX82">
        <v>0</v>
      </c>
      <c r="BE82" t="s">
        <v>258</v>
      </c>
      <c r="BG82">
        <v>0</v>
      </c>
      <c r="BJ82" t="s">
        <v>49</v>
      </c>
      <c r="BK82">
        <v>5</v>
      </c>
      <c r="BL82">
        <v>1</v>
      </c>
      <c r="BM82">
        <v>1</v>
      </c>
      <c r="BN82" t="s">
        <v>30</v>
      </c>
      <c r="BO82">
        <v>1</v>
      </c>
      <c r="BP82">
        <v>42</v>
      </c>
      <c r="BQ82">
        <v>0.13</v>
      </c>
      <c r="BR82">
        <v>0.5</v>
      </c>
      <c r="BS82">
        <v>6.5000000000000002E-2</v>
      </c>
      <c r="BT82" t="e">
        <f>BS82+BD82+AU82+AM82</f>
        <v>#VALUE!</v>
      </c>
      <c r="BU82">
        <v>1</v>
      </c>
      <c r="BV82">
        <v>2</v>
      </c>
      <c r="BW82">
        <v>293</v>
      </c>
      <c r="BX82">
        <f>BW82/7</f>
        <v>41.857142857142854</v>
      </c>
      <c r="BY82">
        <f>0.00077*BX82</f>
        <v>3.2229999999999995E-2</v>
      </c>
      <c r="BZ82" t="e">
        <f t="shared" si="1"/>
        <v>#VALUE!</v>
      </c>
    </row>
    <row r="83" spans="1:78">
      <c r="A83" s="1">
        <v>45161.903574641205</v>
      </c>
      <c r="B83" t="s">
        <v>867</v>
      </c>
      <c r="C83">
        <v>82</v>
      </c>
      <c r="D83" s="10">
        <v>32631</v>
      </c>
      <c r="E83">
        <v>34</v>
      </c>
      <c r="F83">
        <v>1</v>
      </c>
      <c r="G83">
        <v>1</v>
      </c>
      <c r="H83">
        <v>4</v>
      </c>
      <c r="I83" s="10">
        <v>44636</v>
      </c>
      <c r="J83">
        <v>1</v>
      </c>
      <c r="K83">
        <v>1</v>
      </c>
      <c r="L83">
        <v>2</v>
      </c>
      <c r="M83">
        <v>3160</v>
      </c>
      <c r="N83">
        <v>2</v>
      </c>
      <c r="O83" s="10">
        <v>44371</v>
      </c>
      <c r="P83">
        <v>1</v>
      </c>
      <c r="Q83">
        <v>37.857142857142854</v>
      </c>
      <c r="R83">
        <v>2</v>
      </c>
      <c r="S83">
        <v>58</v>
      </c>
      <c r="T83">
        <v>167</v>
      </c>
      <c r="U83" t="s">
        <v>316</v>
      </c>
      <c r="V83" t="e">
        <v>#VALUE!</v>
      </c>
      <c r="W83" t="s">
        <v>1015</v>
      </c>
      <c r="X83">
        <v>20.796729893506402</v>
      </c>
      <c r="Y83" t="s">
        <v>657</v>
      </c>
      <c r="Z83" t="e">
        <v>#VALUE!</v>
      </c>
      <c r="AA83">
        <v>2</v>
      </c>
      <c r="AB83" t="e">
        <v>#VALUE!</v>
      </c>
      <c r="AC83" t="s">
        <v>33</v>
      </c>
      <c r="AD83">
        <v>3</v>
      </c>
      <c r="AE83">
        <v>0</v>
      </c>
      <c r="AG83">
        <v>5</v>
      </c>
      <c r="AH83">
        <v>1</v>
      </c>
      <c r="AI83">
        <v>5</v>
      </c>
      <c r="AJ83">
        <v>5</v>
      </c>
      <c r="AK83">
        <v>7</v>
      </c>
      <c r="AL83">
        <v>1</v>
      </c>
      <c r="AM83">
        <f>AJ83*AK83*AL83/7</f>
        <v>5</v>
      </c>
      <c r="AN83" t="s">
        <v>27</v>
      </c>
      <c r="AO83">
        <v>0</v>
      </c>
      <c r="AV83">
        <f>AU83+AM83</f>
        <v>5</v>
      </c>
      <c r="AW83" t="s">
        <v>35</v>
      </c>
      <c r="AX83">
        <v>1</v>
      </c>
      <c r="AY83" t="s">
        <v>35</v>
      </c>
      <c r="AZ83">
        <v>12</v>
      </c>
      <c r="BA83">
        <v>0.4</v>
      </c>
      <c r="BB83">
        <v>7</v>
      </c>
      <c r="BC83">
        <v>1</v>
      </c>
      <c r="BD83">
        <f>BA83*BB83*1/7</f>
        <v>0.4</v>
      </c>
      <c r="BE83">
        <f>AM83+AU83+BD83</f>
        <v>5.4</v>
      </c>
      <c r="BF83" t="s">
        <v>35</v>
      </c>
      <c r="BG83">
        <v>0</v>
      </c>
      <c r="BH83">
        <v>7</v>
      </c>
      <c r="BI83">
        <v>1</v>
      </c>
      <c r="BJ83" t="s">
        <v>36</v>
      </c>
      <c r="BK83">
        <v>4</v>
      </c>
      <c r="BL83">
        <v>1</v>
      </c>
      <c r="BM83">
        <v>1</v>
      </c>
      <c r="BN83" t="s">
        <v>37</v>
      </c>
      <c r="BO83">
        <v>4</v>
      </c>
      <c r="BP83">
        <v>110</v>
      </c>
      <c r="BQ83">
        <v>0.05</v>
      </c>
      <c r="BR83">
        <v>2</v>
      </c>
      <c r="BS83">
        <v>0.1</v>
      </c>
      <c r="BT83">
        <f>BS83+BD83+AU83+AM83</f>
        <v>5.5</v>
      </c>
      <c r="BU83">
        <v>1</v>
      </c>
      <c r="BV83">
        <v>1</v>
      </c>
      <c r="BW83">
        <v>146.5</v>
      </c>
      <c r="BX83">
        <f>BW83/7</f>
        <v>20.928571428571427</v>
      </c>
      <c r="BY83">
        <f>0.00077*BX83</f>
        <v>1.6114999999999997E-2</v>
      </c>
      <c r="BZ83">
        <f t="shared" si="1"/>
        <v>5.5161150000000001</v>
      </c>
    </row>
    <row r="84" spans="1:78">
      <c r="A84" s="1">
        <v>45161.920158113426</v>
      </c>
      <c r="C84">
        <v>83</v>
      </c>
      <c r="D84" s="10">
        <v>30706</v>
      </c>
      <c r="E84">
        <v>39</v>
      </c>
      <c r="F84">
        <v>1</v>
      </c>
      <c r="G84">
        <v>1</v>
      </c>
      <c r="H84">
        <v>4</v>
      </c>
      <c r="I84" s="10">
        <v>44356</v>
      </c>
      <c r="J84">
        <v>4</v>
      </c>
      <c r="K84">
        <v>0</v>
      </c>
      <c r="L84">
        <v>2</v>
      </c>
      <c r="M84">
        <v>2500</v>
      </c>
      <c r="N84">
        <v>2</v>
      </c>
      <c r="O84" s="10">
        <v>44083</v>
      </c>
      <c r="P84">
        <v>1</v>
      </c>
      <c r="Q84">
        <v>39</v>
      </c>
      <c r="R84">
        <v>2</v>
      </c>
      <c r="S84">
        <v>58</v>
      </c>
      <c r="T84">
        <v>165</v>
      </c>
      <c r="U84">
        <v>70</v>
      </c>
      <c r="V84">
        <v>12</v>
      </c>
      <c r="W84">
        <v>2</v>
      </c>
      <c r="X84">
        <v>21.30394857667585</v>
      </c>
      <c r="Y84">
        <v>25.711662075298442</v>
      </c>
      <c r="Z84">
        <v>4.4077134986225914</v>
      </c>
      <c r="AA84">
        <v>2</v>
      </c>
      <c r="AB84">
        <v>3</v>
      </c>
      <c r="AC84" t="s">
        <v>33</v>
      </c>
      <c r="AD84">
        <v>3</v>
      </c>
      <c r="AE84">
        <v>0</v>
      </c>
      <c r="AG84">
        <v>5</v>
      </c>
      <c r="AH84">
        <v>1</v>
      </c>
      <c r="AI84">
        <v>5</v>
      </c>
      <c r="AJ84">
        <v>5</v>
      </c>
      <c r="AK84">
        <v>7</v>
      </c>
      <c r="AL84">
        <v>1</v>
      </c>
      <c r="AM84">
        <f>AJ84*AK84*AL84/7</f>
        <v>5</v>
      </c>
      <c r="AN84" t="s">
        <v>27</v>
      </c>
      <c r="AO84">
        <v>0</v>
      </c>
      <c r="AV84">
        <f>AU84+AM84</f>
        <v>5</v>
      </c>
      <c r="AX84">
        <v>0</v>
      </c>
      <c r="BE84">
        <f>AM84+AU84+BD84</f>
        <v>5</v>
      </c>
      <c r="BG84">
        <v>0</v>
      </c>
      <c r="BJ84" t="s">
        <v>49</v>
      </c>
      <c r="BK84">
        <v>5</v>
      </c>
      <c r="BL84">
        <v>1</v>
      </c>
      <c r="BM84">
        <v>1</v>
      </c>
      <c r="BN84" t="s">
        <v>37</v>
      </c>
      <c r="BO84">
        <v>4</v>
      </c>
      <c r="BP84">
        <v>55</v>
      </c>
      <c r="BQ84">
        <v>0.05</v>
      </c>
      <c r="BR84">
        <v>1</v>
      </c>
      <c r="BS84">
        <v>0.05</v>
      </c>
      <c r="BT84">
        <f>BS84+BD84+AU84+AM84</f>
        <v>5.05</v>
      </c>
      <c r="BU84">
        <v>1</v>
      </c>
      <c r="BV84">
        <v>1</v>
      </c>
      <c r="BW84">
        <v>146.5</v>
      </c>
      <c r="BX84">
        <f>BW84/7</f>
        <v>20.928571428571427</v>
      </c>
      <c r="BY84">
        <f>0.00077*BX84</f>
        <v>1.6114999999999997E-2</v>
      </c>
      <c r="BZ84">
        <f t="shared" si="1"/>
        <v>5.0661149999999999</v>
      </c>
    </row>
    <row r="85" spans="1:78">
      <c r="A85" s="1">
        <v>45161.935166724536</v>
      </c>
      <c r="C85">
        <v>84</v>
      </c>
      <c r="D85" s="10">
        <v>31316</v>
      </c>
      <c r="E85">
        <v>37</v>
      </c>
      <c r="F85">
        <v>1</v>
      </c>
      <c r="G85">
        <v>1</v>
      </c>
      <c r="H85">
        <v>4</v>
      </c>
      <c r="I85" s="10">
        <v>44716</v>
      </c>
      <c r="J85">
        <v>2</v>
      </c>
      <c r="K85">
        <v>0</v>
      </c>
      <c r="L85">
        <v>2</v>
      </c>
      <c r="M85">
        <v>3290</v>
      </c>
      <c r="N85">
        <v>2</v>
      </c>
      <c r="O85" s="10">
        <v>44433</v>
      </c>
      <c r="P85">
        <v>1</v>
      </c>
      <c r="Q85">
        <v>40.428571428571431</v>
      </c>
      <c r="R85">
        <v>2</v>
      </c>
      <c r="S85">
        <v>72.5</v>
      </c>
      <c r="T85">
        <v>162</v>
      </c>
      <c r="U85">
        <v>79</v>
      </c>
      <c r="V85">
        <v>6.5</v>
      </c>
      <c r="W85">
        <v>1</v>
      </c>
      <c r="X85">
        <v>27.625361987501901</v>
      </c>
      <c r="Y85">
        <v>30.102118579484827</v>
      </c>
      <c r="Z85">
        <v>2.4767565919829266</v>
      </c>
      <c r="AA85">
        <v>3</v>
      </c>
      <c r="AB85">
        <v>4</v>
      </c>
      <c r="AC85" t="s">
        <v>33</v>
      </c>
      <c r="AD85">
        <v>3</v>
      </c>
      <c r="AE85">
        <v>0</v>
      </c>
      <c r="AG85">
        <v>5</v>
      </c>
      <c r="AH85">
        <v>1</v>
      </c>
      <c r="AI85">
        <v>4</v>
      </c>
      <c r="AJ85">
        <v>1</v>
      </c>
      <c r="AK85">
        <v>7</v>
      </c>
      <c r="AL85">
        <v>1</v>
      </c>
      <c r="AM85">
        <f>AJ85*AK85*AL85/7</f>
        <v>1</v>
      </c>
      <c r="AN85" t="s">
        <v>43</v>
      </c>
      <c r="AO85">
        <v>0</v>
      </c>
      <c r="AV85">
        <f>AU85+AM85</f>
        <v>1</v>
      </c>
      <c r="AW85" t="s">
        <v>71</v>
      </c>
      <c r="AX85">
        <v>1</v>
      </c>
      <c r="AY85" t="s">
        <v>71</v>
      </c>
      <c r="AZ85">
        <v>5</v>
      </c>
      <c r="BA85">
        <v>0.4</v>
      </c>
      <c r="BB85">
        <v>5</v>
      </c>
      <c r="BC85">
        <v>1</v>
      </c>
      <c r="BD85">
        <f>BA85*BB85*1/7</f>
        <v>0.2857142857142857</v>
      </c>
      <c r="BE85">
        <f>AM85+AU85+BD85</f>
        <v>1.2857142857142856</v>
      </c>
      <c r="BF85" t="s">
        <v>71</v>
      </c>
      <c r="BG85">
        <v>0</v>
      </c>
      <c r="BH85">
        <v>5</v>
      </c>
      <c r="BI85">
        <v>1</v>
      </c>
      <c r="BJ85" t="s">
        <v>28</v>
      </c>
      <c r="BK85">
        <v>3</v>
      </c>
      <c r="BL85">
        <v>1</v>
      </c>
      <c r="BM85">
        <v>1</v>
      </c>
      <c r="BN85" t="s">
        <v>59</v>
      </c>
      <c r="BO85">
        <v>3</v>
      </c>
      <c r="BP85">
        <v>56</v>
      </c>
      <c r="BQ85">
        <v>0.08</v>
      </c>
      <c r="BR85">
        <v>1</v>
      </c>
      <c r="BS85">
        <v>0.08</v>
      </c>
      <c r="BT85">
        <f>BS85+BD85+AU85+AM85</f>
        <v>1.3657142857142857</v>
      </c>
      <c r="BU85">
        <v>1</v>
      </c>
      <c r="BV85">
        <v>2</v>
      </c>
      <c r="BW85">
        <v>293</v>
      </c>
      <c r="BX85">
        <f>BW85/7</f>
        <v>41.857142857142854</v>
      </c>
      <c r="BY85">
        <f>0.00077*BX85</f>
        <v>3.2229999999999995E-2</v>
      </c>
      <c r="BZ85">
        <f t="shared" si="1"/>
        <v>1.3979442857142856</v>
      </c>
    </row>
    <row r="86" spans="1:78">
      <c r="A86" s="1">
        <v>45161.936864988427</v>
      </c>
      <c r="C86">
        <v>85</v>
      </c>
      <c r="D86" s="10">
        <v>30609</v>
      </c>
      <c r="E86">
        <v>39</v>
      </c>
      <c r="F86">
        <v>1</v>
      </c>
      <c r="G86">
        <v>1</v>
      </c>
      <c r="H86">
        <v>5</v>
      </c>
      <c r="I86" s="10">
        <v>43178</v>
      </c>
      <c r="J86">
        <v>2</v>
      </c>
      <c r="K86">
        <v>0</v>
      </c>
      <c r="L86">
        <v>2</v>
      </c>
      <c r="M86">
        <v>2850</v>
      </c>
      <c r="N86">
        <v>2</v>
      </c>
      <c r="O86" s="10">
        <v>42912</v>
      </c>
      <c r="P86">
        <v>0</v>
      </c>
      <c r="Q86">
        <v>38</v>
      </c>
      <c r="R86">
        <v>2</v>
      </c>
      <c r="S86">
        <v>58</v>
      </c>
      <c r="T86">
        <v>158</v>
      </c>
      <c r="U86">
        <v>70</v>
      </c>
      <c r="V86">
        <v>12</v>
      </c>
      <c r="W86">
        <v>2</v>
      </c>
      <c r="X86">
        <v>23.233456176894723</v>
      </c>
      <c r="Y86">
        <v>28.040378144528116</v>
      </c>
      <c r="Z86">
        <v>4.806921967633393</v>
      </c>
      <c r="AA86">
        <v>2</v>
      </c>
      <c r="AB86">
        <v>3</v>
      </c>
      <c r="AC86" t="s">
        <v>127</v>
      </c>
      <c r="AD86">
        <v>3</v>
      </c>
      <c r="AE86">
        <v>0</v>
      </c>
      <c r="AG86">
        <v>5</v>
      </c>
      <c r="AH86">
        <v>1</v>
      </c>
      <c r="AI86">
        <v>5</v>
      </c>
      <c r="AJ86">
        <v>5</v>
      </c>
      <c r="AK86">
        <v>7</v>
      </c>
      <c r="AL86">
        <v>1</v>
      </c>
      <c r="AM86">
        <f>AJ86*AK86*AL86/7</f>
        <v>5</v>
      </c>
      <c r="AN86" t="s">
        <v>27</v>
      </c>
      <c r="AO86">
        <v>0</v>
      </c>
      <c r="AV86">
        <f>AU86+AM86</f>
        <v>5</v>
      </c>
      <c r="AW86" t="s">
        <v>128</v>
      </c>
      <c r="AX86">
        <v>1</v>
      </c>
      <c r="AY86" t="s">
        <v>128</v>
      </c>
      <c r="AZ86">
        <v>4</v>
      </c>
      <c r="BA86">
        <v>0.2</v>
      </c>
      <c r="BB86">
        <v>7</v>
      </c>
      <c r="BC86">
        <v>1</v>
      </c>
      <c r="BD86">
        <f>BA86*BB86*1/7</f>
        <v>0.2</v>
      </c>
      <c r="BE86">
        <f>AM86+AU86+BD86</f>
        <v>5.2</v>
      </c>
      <c r="BF86" t="s">
        <v>128</v>
      </c>
      <c r="BG86">
        <v>0</v>
      </c>
      <c r="BH86">
        <v>7</v>
      </c>
      <c r="BI86">
        <v>1</v>
      </c>
      <c r="BJ86" t="s">
        <v>28</v>
      </c>
      <c r="BK86">
        <v>3</v>
      </c>
      <c r="BL86">
        <v>1</v>
      </c>
      <c r="BM86">
        <v>1</v>
      </c>
      <c r="BN86" t="s">
        <v>30</v>
      </c>
      <c r="BO86">
        <v>1</v>
      </c>
      <c r="BP86">
        <v>84</v>
      </c>
      <c r="BQ86">
        <v>0.13</v>
      </c>
      <c r="BR86">
        <v>1</v>
      </c>
      <c r="BS86">
        <v>0.13</v>
      </c>
      <c r="BT86">
        <f>BS86+BD86+AU86+AM86</f>
        <v>5.33</v>
      </c>
      <c r="BU86">
        <v>1</v>
      </c>
      <c r="BV86">
        <v>1</v>
      </c>
      <c r="BW86">
        <v>146.5</v>
      </c>
      <c r="BX86">
        <f>BW86/7</f>
        <v>20.928571428571427</v>
      </c>
      <c r="BY86">
        <f>0.00077*BX86</f>
        <v>1.6114999999999997E-2</v>
      </c>
      <c r="BZ86">
        <f t="shared" si="1"/>
        <v>5.3461150000000002</v>
      </c>
    </row>
    <row r="87" spans="1:78">
      <c r="A87" s="1">
        <v>45161.971058553245</v>
      </c>
      <c r="C87">
        <v>86</v>
      </c>
      <c r="D87" s="10">
        <v>32058</v>
      </c>
      <c r="E87">
        <v>35</v>
      </c>
      <c r="F87">
        <v>2</v>
      </c>
      <c r="G87">
        <v>1</v>
      </c>
      <c r="H87">
        <v>5</v>
      </c>
      <c r="I87" s="10">
        <v>44603</v>
      </c>
      <c r="J87">
        <v>1</v>
      </c>
      <c r="K87">
        <v>1</v>
      </c>
      <c r="L87">
        <v>2</v>
      </c>
      <c r="M87">
        <v>2760</v>
      </c>
      <c r="N87">
        <v>2</v>
      </c>
      <c r="O87" s="10">
        <v>44344</v>
      </c>
      <c r="P87">
        <v>1</v>
      </c>
      <c r="Q87">
        <v>37</v>
      </c>
      <c r="R87">
        <v>2</v>
      </c>
      <c r="S87">
        <v>56</v>
      </c>
      <c r="T87">
        <v>156</v>
      </c>
      <c r="U87">
        <v>64</v>
      </c>
      <c r="V87">
        <v>8</v>
      </c>
      <c r="W87">
        <v>1</v>
      </c>
      <c r="X87">
        <v>23.011176857330703</v>
      </c>
      <c r="Y87">
        <v>26.298487836949374</v>
      </c>
      <c r="Z87">
        <v>3.2873109796186704</v>
      </c>
      <c r="AA87">
        <v>2</v>
      </c>
      <c r="AB87">
        <v>3</v>
      </c>
      <c r="AC87" t="s">
        <v>33</v>
      </c>
      <c r="AD87">
        <v>3</v>
      </c>
      <c r="AE87">
        <v>0</v>
      </c>
      <c r="AG87">
        <v>5</v>
      </c>
      <c r="AH87">
        <v>1</v>
      </c>
      <c r="AI87">
        <v>5</v>
      </c>
      <c r="AJ87">
        <v>5</v>
      </c>
      <c r="AK87">
        <v>7</v>
      </c>
      <c r="AL87">
        <v>1</v>
      </c>
      <c r="AM87">
        <f>AJ87*AK87*AL87/7</f>
        <v>5</v>
      </c>
      <c r="AN87" t="s">
        <v>27</v>
      </c>
      <c r="AO87">
        <v>0</v>
      </c>
      <c r="AV87">
        <f>AU87+AM87</f>
        <v>5</v>
      </c>
      <c r="AW87" t="s">
        <v>58</v>
      </c>
      <c r="AX87">
        <v>1</v>
      </c>
      <c r="AY87" t="s">
        <v>58</v>
      </c>
      <c r="AZ87">
        <v>1</v>
      </c>
      <c r="BA87">
        <v>0.8</v>
      </c>
      <c r="BB87">
        <v>7</v>
      </c>
      <c r="BC87">
        <v>1</v>
      </c>
      <c r="BD87">
        <f>BA87*BB87*1/7</f>
        <v>0.8</v>
      </c>
      <c r="BE87">
        <f>AM87+AU87+BD87</f>
        <v>5.8</v>
      </c>
      <c r="BF87" t="s">
        <v>58</v>
      </c>
      <c r="BG87">
        <v>0</v>
      </c>
      <c r="BH87">
        <v>7</v>
      </c>
      <c r="BI87">
        <v>1</v>
      </c>
      <c r="BJ87" t="s">
        <v>36</v>
      </c>
      <c r="BK87">
        <v>4</v>
      </c>
      <c r="BL87">
        <v>1</v>
      </c>
      <c r="BM87">
        <v>1</v>
      </c>
      <c r="BN87" t="s">
        <v>37</v>
      </c>
      <c r="BO87">
        <v>4</v>
      </c>
      <c r="BP87">
        <v>27.5</v>
      </c>
      <c r="BQ87">
        <v>0.05</v>
      </c>
      <c r="BR87">
        <v>0.5</v>
      </c>
      <c r="BS87">
        <v>2.5000000000000001E-2</v>
      </c>
      <c r="BT87">
        <f>BS87+BD87+AU87+AM87</f>
        <v>5.8250000000000002</v>
      </c>
      <c r="BU87">
        <v>1</v>
      </c>
      <c r="BV87">
        <v>1</v>
      </c>
      <c r="BW87">
        <v>146.5</v>
      </c>
      <c r="BX87">
        <f>BW87/7</f>
        <v>20.928571428571427</v>
      </c>
      <c r="BY87">
        <f>0.00077*BX87</f>
        <v>1.6114999999999997E-2</v>
      </c>
      <c r="BZ87">
        <f t="shared" si="1"/>
        <v>5.8411150000000003</v>
      </c>
    </row>
    <row r="88" spans="1:78">
      <c r="A88" s="1">
        <v>45161.973267708338</v>
      </c>
      <c r="C88">
        <v>87</v>
      </c>
      <c r="D88" s="10">
        <v>31658</v>
      </c>
      <c r="E88">
        <v>36</v>
      </c>
      <c r="F88">
        <v>1</v>
      </c>
      <c r="G88">
        <v>4</v>
      </c>
      <c r="H88">
        <v>4</v>
      </c>
      <c r="I88" s="10">
        <v>44427</v>
      </c>
      <c r="J88">
        <v>2</v>
      </c>
      <c r="K88">
        <v>0</v>
      </c>
      <c r="L88">
        <v>1</v>
      </c>
      <c r="M88">
        <v>3850</v>
      </c>
      <c r="N88">
        <v>2</v>
      </c>
      <c r="O88" s="10">
        <v>44147</v>
      </c>
      <c r="P88">
        <v>1</v>
      </c>
      <c r="Q88">
        <v>40</v>
      </c>
      <c r="R88">
        <v>2</v>
      </c>
      <c r="S88">
        <v>62</v>
      </c>
      <c r="T88">
        <v>160</v>
      </c>
      <c r="U88">
        <v>80</v>
      </c>
      <c r="V88">
        <v>18</v>
      </c>
      <c r="W88">
        <v>3</v>
      </c>
      <c r="X88">
        <v>24.218749999999996</v>
      </c>
      <c r="Y88">
        <v>31.249999999999993</v>
      </c>
      <c r="Z88">
        <v>7.0312499999999964</v>
      </c>
      <c r="AA88">
        <v>2</v>
      </c>
      <c r="AB88">
        <v>4</v>
      </c>
      <c r="AC88" t="s">
        <v>33</v>
      </c>
      <c r="AD88">
        <v>3</v>
      </c>
      <c r="AE88">
        <v>0</v>
      </c>
      <c r="AG88">
        <v>5</v>
      </c>
      <c r="AH88">
        <v>0</v>
      </c>
      <c r="AI88">
        <v>0</v>
      </c>
      <c r="AN88" t="s">
        <v>41</v>
      </c>
      <c r="AO88">
        <v>0</v>
      </c>
      <c r="AW88" t="s">
        <v>58</v>
      </c>
      <c r="AX88">
        <v>1</v>
      </c>
      <c r="AY88" t="s">
        <v>58</v>
      </c>
      <c r="AZ88">
        <v>1</v>
      </c>
      <c r="BA88">
        <v>0.8</v>
      </c>
      <c r="BB88">
        <v>7</v>
      </c>
      <c r="BC88">
        <v>1</v>
      </c>
      <c r="BD88">
        <f>BA88*BB88*1/7</f>
        <v>0.8</v>
      </c>
      <c r="BE88">
        <f>AM88+AU88+BD88</f>
        <v>0.8</v>
      </c>
      <c r="BF88" t="s">
        <v>58</v>
      </c>
      <c r="BG88">
        <v>0</v>
      </c>
      <c r="BH88">
        <v>7</v>
      </c>
      <c r="BI88">
        <v>1</v>
      </c>
      <c r="BJ88" t="s">
        <v>49</v>
      </c>
      <c r="BK88">
        <v>5</v>
      </c>
      <c r="BL88">
        <v>1</v>
      </c>
      <c r="BM88">
        <v>1</v>
      </c>
      <c r="BN88" t="s">
        <v>55</v>
      </c>
      <c r="BO88">
        <v>2</v>
      </c>
      <c r="BP88">
        <v>134</v>
      </c>
      <c r="BQ88">
        <v>0.1</v>
      </c>
      <c r="BR88">
        <v>2</v>
      </c>
      <c r="BS88">
        <v>0.2</v>
      </c>
      <c r="BT88">
        <f>BS88+BD88+AU88+AM88</f>
        <v>1</v>
      </c>
      <c r="BU88">
        <v>1</v>
      </c>
      <c r="BV88">
        <v>2</v>
      </c>
      <c r="BW88">
        <v>293</v>
      </c>
      <c r="BX88">
        <f>BW88/7</f>
        <v>41.857142857142854</v>
      </c>
      <c r="BY88">
        <f>0.00077*BX88</f>
        <v>3.2229999999999995E-2</v>
      </c>
      <c r="BZ88">
        <f t="shared" si="1"/>
        <v>1.03223</v>
      </c>
    </row>
    <row r="89" spans="1:78">
      <c r="A89" s="1">
        <v>45162.02052445602</v>
      </c>
      <c r="B89" t="s">
        <v>301</v>
      </c>
      <c r="C89">
        <v>88</v>
      </c>
      <c r="D89" s="10">
        <v>33958</v>
      </c>
      <c r="E89">
        <v>30</v>
      </c>
      <c r="F89">
        <v>1</v>
      </c>
      <c r="G89">
        <v>1</v>
      </c>
      <c r="H89">
        <v>5</v>
      </c>
      <c r="I89" s="10">
        <v>45146</v>
      </c>
      <c r="J89">
        <v>2</v>
      </c>
      <c r="K89">
        <v>0</v>
      </c>
      <c r="L89">
        <v>2</v>
      </c>
      <c r="M89">
        <v>4050</v>
      </c>
      <c r="N89">
        <v>3</v>
      </c>
      <c r="O89" s="10">
        <v>44873</v>
      </c>
      <c r="P89">
        <v>0</v>
      </c>
      <c r="Q89">
        <v>39</v>
      </c>
      <c r="R89">
        <v>2</v>
      </c>
      <c r="S89">
        <v>65</v>
      </c>
      <c r="T89">
        <v>175</v>
      </c>
      <c r="U89">
        <v>74</v>
      </c>
      <c r="V89">
        <v>9</v>
      </c>
      <c r="W89">
        <v>1</v>
      </c>
      <c r="X89">
        <v>21.224489795918366</v>
      </c>
      <c r="Y89">
        <v>24.163265306122447</v>
      </c>
      <c r="Z89">
        <v>2.9387755102040813</v>
      </c>
      <c r="AA89">
        <v>2</v>
      </c>
      <c r="AB89">
        <v>2</v>
      </c>
      <c r="AC89" t="s">
        <v>44</v>
      </c>
      <c r="AD89">
        <v>1</v>
      </c>
      <c r="AE89">
        <v>0</v>
      </c>
      <c r="AG89">
        <v>5</v>
      </c>
      <c r="AH89">
        <v>1</v>
      </c>
      <c r="AI89">
        <v>4</v>
      </c>
      <c r="AJ89">
        <v>1</v>
      </c>
      <c r="AK89">
        <v>7</v>
      </c>
      <c r="AL89">
        <v>1</v>
      </c>
      <c r="AM89">
        <f>AJ89*AK89*AL89/7</f>
        <v>1</v>
      </c>
      <c r="AN89" t="s">
        <v>43</v>
      </c>
      <c r="AO89">
        <v>0</v>
      </c>
      <c r="AV89">
        <f>AU89+AM89</f>
        <v>1</v>
      </c>
      <c r="AW89" t="s">
        <v>58</v>
      </c>
      <c r="AX89">
        <v>1</v>
      </c>
      <c r="AY89" t="s">
        <v>58</v>
      </c>
      <c r="AZ89">
        <v>1</v>
      </c>
      <c r="BA89">
        <v>0.8</v>
      </c>
      <c r="BB89">
        <v>7</v>
      </c>
      <c r="BC89">
        <v>1</v>
      </c>
      <c r="BD89">
        <f>BA89*BB89*1/7</f>
        <v>0.8</v>
      </c>
      <c r="BE89">
        <f>AM89+AU89+BD89</f>
        <v>1.8</v>
      </c>
      <c r="BF89" t="s">
        <v>58</v>
      </c>
      <c r="BG89">
        <v>0</v>
      </c>
      <c r="BH89">
        <v>7</v>
      </c>
      <c r="BI89">
        <v>1</v>
      </c>
      <c r="BJ89" t="s">
        <v>28</v>
      </c>
      <c r="BK89">
        <v>3</v>
      </c>
      <c r="BL89">
        <v>1</v>
      </c>
      <c r="BM89">
        <v>0</v>
      </c>
      <c r="BN89" t="s">
        <v>129</v>
      </c>
      <c r="BO89">
        <v>0</v>
      </c>
      <c r="BP89">
        <v>0</v>
      </c>
      <c r="BQ89">
        <v>0</v>
      </c>
      <c r="BR89">
        <v>0.5</v>
      </c>
      <c r="BS89">
        <v>0</v>
      </c>
      <c r="BT89">
        <f>BS89+BD89+AU89+AM89</f>
        <v>1.8</v>
      </c>
      <c r="BU89">
        <v>0</v>
      </c>
      <c r="BW89">
        <v>0</v>
      </c>
      <c r="BX89">
        <f>BW89/7</f>
        <v>0</v>
      </c>
      <c r="BY89">
        <f>0.00077*BX89</f>
        <v>0</v>
      </c>
      <c r="BZ89">
        <f t="shared" si="1"/>
        <v>1.8</v>
      </c>
    </row>
    <row r="90" spans="1:78">
      <c r="A90" s="1">
        <v>45162.302009849533</v>
      </c>
      <c r="C90">
        <v>89</v>
      </c>
      <c r="D90" s="10">
        <v>30685</v>
      </c>
      <c r="E90">
        <v>39</v>
      </c>
      <c r="F90">
        <v>1</v>
      </c>
      <c r="G90">
        <v>1</v>
      </c>
      <c r="H90">
        <v>4</v>
      </c>
      <c r="I90" s="10">
        <v>43588</v>
      </c>
      <c r="J90">
        <v>4</v>
      </c>
      <c r="K90">
        <v>0</v>
      </c>
      <c r="L90">
        <v>2</v>
      </c>
      <c r="M90">
        <v>3200</v>
      </c>
      <c r="N90">
        <v>2</v>
      </c>
      <c r="O90" s="10">
        <v>43322</v>
      </c>
      <c r="P90">
        <v>0</v>
      </c>
      <c r="Q90">
        <v>38</v>
      </c>
      <c r="R90">
        <v>2</v>
      </c>
      <c r="S90">
        <v>50</v>
      </c>
      <c r="T90">
        <v>154</v>
      </c>
      <c r="U90">
        <v>56</v>
      </c>
      <c r="V90">
        <v>6</v>
      </c>
      <c r="W90">
        <v>1</v>
      </c>
      <c r="X90">
        <v>21.0828132906055</v>
      </c>
      <c r="Y90">
        <v>23.61275088547816</v>
      </c>
      <c r="Z90">
        <v>2.5299375948726599</v>
      </c>
      <c r="AA90">
        <v>2</v>
      </c>
      <c r="AB90">
        <v>2</v>
      </c>
      <c r="AC90" t="s">
        <v>33</v>
      </c>
      <c r="AD90">
        <v>3</v>
      </c>
      <c r="AE90">
        <v>0</v>
      </c>
      <c r="AG90">
        <v>5</v>
      </c>
      <c r="AH90">
        <v>1</v>
      </c>
      <c r="AI90">
        <v>18</v>
      </c>
      <c r="AJ90">
        <v>2</v>
      </c>
      <c r="AK90">
        <v>7</v>
      </c>
      <c r="AL90">
        <v>1</v>
      </c>
      <c r="AM90">
        <f>AJ90*AK90*AL90/7</f>
        <v>2</v>
      </c>
      <c r="AN90" t="s">
        <v>130</v>
      </c>
      <c r="AO90">
        <v>0</v>
      </c>
      <c r="AV90">
        <f>AU90+AM90</f>
        <v>2</v>
      </c>
      <c r="AW90" t="s">
        <v>58</v>
      </c>
      <c r="AX90">
        <v>1</v>
      </c>
      <c r="AY90" t="s">
        <v>58</v>
      </c>
      <c r="AZ90">
        <v>1</v>
      </c>
      <c r="BA90">
        <v>0.8</v>
      </c>
      <c r="BB90">
        <v>7</v>
      </c>
      <c r="BC90">
        <v>1</v>
      </c>
      <c r="BD90">
        <f>BA90*BB90*1/7</f>
        <v>0.8</v>
      </c>
      <c r="BE90">
        <f>AM90+AU90+BD90</f>
        <v>2.8</v>
      </c>
      <c r="BF90" t="s">
        <v>58</v>
      </c>
      <c r="BG90">
        <v>0</v>
      </c>
      <c r="BH90">
        <v>7</v>
      </c>
      <c r="BI90">
        <v>1</v>
      </c>
      <c r="BJ90" t="s">
        <v>49</v>
      </c>
      <c r="BK90">
        <v>5</v>
      </c>
      <c r="BL90">
        <v>1</v>
      </c>
      <c r="BM90">
        <v>1</v>
      </c>
      <c r="BN90" t="s">
        <v>30</v>
      </c>
      <c r="BO90">
        <v>1</v>
      </c>
      <c r="BP90">
        <v>42</v>
      </c>
      <c r="BQ90">
        <v>0.13</v>
      </c>
      <c r="BR90">
        <v>0.5</v>
      </c>
      <c r="BS90">
        <v>6.5000000000000002E-2</v>
      </c>
      <c r="BT90">
        <f>BS90+BD90+AU90+AM90</f>
        <v>2.8650000000000002</v>
      </c>
      <c r="BU90">
        <v>1</v>
      </c>
      <c r="BV90">
        <v>1</v>
      </c>
      <c r="BW90">
        <v>146.5</v>
      </c>
      <c r="BX90">
        <f>BW90/7</f>
        <v>20.928571428571427</v>
      </c>
      <c r="BY90">
        <f>0.00077*BX90</f>
        <v>1.6114999999999997E-2</v>
      </c>
      <c r="BZ90">
        <f t="shared" si="1"/>
        <v>2.8811150000000003</v>
      </c>
    </row>
    <row r="91" spans="1:78">
      <c r="A91" s="1">
        <v>45162.326994583331</v>
      </c>
      <c r="C91">
        <v>90</v>
      </c>
      <c r="D91" s="10">
        <v>30596</v>
      </c>
      <c r="E91">
        <v>39</v>
      </c>
      <c r="F91">
        <v>1</v>
      </c>
      <c r="G91">
        <v>1</v>
      </c>
      <c r="H91">
        <v>5</v>
      </c>
      <c r="I91" s="10">
        <v>43168</v>
      </c>
      <c r="J91">
        <v>3</v>
      </c>
      <c r="K91">
        <v>0</v>
      </c>
      <c r="L91">
        <v>2</v>
      </c>
      <c r="M91">
        <v>3320</v>
      </c>
      <c r="N91">
        <v>2</v>
      </c>
      <c r="O91" s="10">
        <v>42894</v>
      </c>
      <c r="P91">
        <v>0</v>
      </c>
      <c r="Q91">
        <v>39.142857142857146</v>
      </c>
      <c r="R91">
        <v>2</v>
      </c>
      <c r="S91">
        <v>52</v>
      </c>
      <c r="T91">
        <v>166</v>
      </c>
      <c r="U91">
        <v>62</v>
      </c>
      <c r="V91">
        <v>10</v>
      </c>
      <c r="W91">
        <v>1</v>
      </c>
      <c r="X91">
        <v>18.870663376397157</v>
      </c>
      <c r="Y91">
        <v>22.499637102627378</v>
      </c>
      <c r="Z91">
        <v>3.6289737262302211</v>
      </c>
      <c r="AA91">
        <v>2</v>
      </c>
      <c r="AB91">
        <v>2</v>
      </c>
      <c r="AC91" t="s">
        <v>33</v>
      </c>
      <c r="AD91">
        <v>3</v>
      </c>
      <c r="AE91">
        <v>0</v>
      </c>
      <c r="AG91">
        <v>5</v>
      </c>
      <c r="AH91">
        <v>1</v>
      </c>
      <c r="AI91">
        <v>4</v>
      </c>
      <c r="AJ91">
        <v>1</v>
      </c>
      <c r="AK91">
        <v>7</v>
      </c>
      <c r="AL91">
        <v>1</v>
      </c>
      <c r="AM91">
        <f>AJ91*AK91*AL91/7</f>
        <v>1</v>
      </c>
      <c r="AN91" t="s">
        <v>43</v>
      </c>
      <c r="AO91">
        <v>0</v>
      </c>
      <c r="AV91">
        <f>AU91+AM91</f>
        <v>1</v>
      </c>
      <c r="AW91" t="s">
        <v>58</v>
      </c>
      <c r="AX91">
        <v>1</v>
      </c>
      <c r="AY91" t="s">
        <v>58</v>
      </c>
      <c r="AZ91">
        <v>1</v>
      </c>
      <c r="BA91">
        <v>0.8</v>
      </c>
      <c r="BB91">
        <v>7</v>
      </c>
      <c r="BC91">
        <v>1</v>
      </c>
      <c r="BD91">
        <f>BA91*BB91*1/7</f>
        <v>0.8</v>
      </c>
      <c r="BE91">
        <f>AM91+AU91+BD91</f>
        <v>1.8</v>
      </c>
      <c r="BF91" t="s">
        <v>58</v>
      </c>
      <c r="BG91">
        <v>0</v>
      </c>
      <c r="BH91">
        <v>7</v>
      </c>
      <c r="BI91">
        <v>1</v>
      </c>
      <c r="BJ91" t="s">
        <v>28</v>
      </c>
      <c r="BK91">
        <v>3</v>
      </c>
      <c r="BL91">
        <v>3</v>
      </c>
      <c r="BM91">
        <v>1</v>
      </c>
      <c r="BN91" t="s">
        <v>37</v>
      </c>
      <c r="BO91">
        <v>4</v>
      </c>
      <c r="BP91">
        <v>27.5</v>
      </c>
      <c r="BQ91">
        <v>0.05</v>
      </c>
      <c r="BR91">
        <v>0.5</v>
      </c>
      <c r="BS91">
        <v>2.5000000000000001E-2</v>
      </c>
      <c r="BT91">
        <f>BS91+BD91+AU91+AM91</f>
        <v>1.8250000000000002</v>
      </c>
      <c r="BU91">
        <v>1</v>
      </c>
      <c r="BV91">
        <v>1</v>
      </c>
      <c r="BW91">
        <v>146.5</v>
      </c>
      <c r="BX91">
        <f>BW91/7</f>
        <v>20.928571428571427</v>
      </c>
      <c r="BY91">
        <f>0.00077*BX91</f>
        <v>1.6114999999999997E-2</v>
      </c>
      <c r="BZ91">
        <f t="shared" si="1"/>
        <v>1.8411150000000003</v>
      </c>
    </row>
    <row r="92" spans="1:78">
      <c r="A92" s="1">
        <v>45162.346232430558</v>
      </c>
      <c r="C92">
        <v>91</v>
      </c>
      <c r="D92" s="10">
        <v>32491</v>
      </c>
      <c r="E92">
        <v>34</v>
      </c>
      <c r="F92">
        <v>1</v>
      </c>
      <c r="G92">
        <v>1</v>
      </c>
      <c r="H92">
        <v>5</v>
      </c>
      <c r="I92" s="10">
        <v>44865</v>
      </c>
      <c r="J92">
        <v>1</v>
      </c>
      <c r="K92">
        <v>1</v>
      </c>
      <c r="L92">
        <v>2</v>
      </c>
      <c r="M92">
        <v>3200</v>
      </c>
      <c r="N92">
        <v>2</v>
      </c>
      <c r="O92" s="10">
        <v>44606</v>
      </c>
      <c r="P92">
        <v>0</v>
      </c>
      <c r="Q92">
        <v>37</v>
      </c>
      <c r="R92">
        <v>2</v>
      </c>
      <c r="S92">
        <v>62</v>
      </c>
      <c r="T92">
        <v>160</v>
      </c>
      <c r="U92">
        <v>70</v>
      </c>
      <c r="V92">
        <v>8</v>
      </c>
      <c r="W92">
        <v>1</v>
      </c>
      <c r="X92">
        <v>24.218749999999996</v>
      </c>
      <c r="Y92">
        <v>27.343749999999996</v>
      </c>
      <c r="Z92">
        <v>3.125</v>
      </c>
      <c r="AA92">
        <v>2</v>
      </c>
      <c r="AB92">
        <v>3</v>
      </c>
      <c r="AC92" t="s">
        <v>50</v>
      </c>
      <c r="AD92">
        <v>2</v>
      </c>
      <c r="AE92">
        <v>0</v>
      </c>
      <c r="AG92">
        <v>5</v>
      </c>
      <c r="AH92">
        <v>1</v>
      </c>
      <c r="AI92">
        <v>2</v>
      </c>
      <c r="AJ92">
        <v>5</v>
      </c>
      <c r="AK92">
        <v>7</v>
      </c>
      <c r="AL92">
        <v>1</v>
      </c>
      <c r="AM92">
        <f>AJ92*AK92*AL92/7</f>
        <v>5</v>
      </c>
      <c r="AN92" t="s">
        <v>57</v>
      </c>
      <c r="AO92">
        <v>0</v>
      </c>
      <c r="AV92">
        <f>AU92+AM92</f>
        <v>5</v>
      </c>
      <c r="AX92">
        <v>0</v>
      </c>
      <c r="BE92">
        <f>AM92+AU92+BD92</f>
        <v>5</v>
      </c>
      <c r="BG92">
        <v>0</v>
      </c>
      <c r="BJ92" t="s">
        <v>28</v>
      </c>
      <c r="BK92">
        <v>3</v>
      </c>
      <c r="BL92">
        <v>1</v>
      </c>
      <c r="BM92">
        <v>1</v>
      </c>
      <c r="BN92" t="s">
        <v>37</v>
      </c>
      <c r="BO92">
        <v>4</v>
      </c>
      <c r="BP92">
        <v>110</v>
      </c>
      <c r="BQ92">
        <v>0.05</v>
      </c>
      <c r="BR92">
        <v>2</v>
      </c>
      <c r="BS92">
        <v>0.1</v>
      </c>
      <c r="BT92">
        <f>BS92+BD92+AU92+AM92</f>
        <v>5.0999999999999996</v>
      </c>
      <c r="BU92">
        <v>1</v>
      </c>
      <c r="BV92">
        <v>2</v>
      </c>
      <c r="BW92">
        <v>293</v>
      </c>
      <c r="BX92">
        <f>BW92/7</f>
        <v>41.857142857142854</v>
      </c>
      <c r="BY92">
        <f>0.00077*BX92</f>
        <v>3.2229999999999995E-2</v>
      </c>
      <c r="BZ92">
        <f t="shared" si="1"/>
        <v>5.1322299999999998</v>
      </c>
    </row>
    <row r="93" spans="1:78">
      <c r="A93" s="1">
        <v>45162.574661724539</v>
      </c>
      <c r="B93" s="8" t="s">
        <v>864</v>
      </c>
      <c r="C93">
        <v>92</v>
      </c>
      <c r="D93" s="10">
        <v>33265</v>
      </c>
      <c r="E93">
        <v>32</v>
      </c>
      <c r="F93">
        <v>1</v>
      </c>
      <c r="G93">
        <v>4</v>
      </c>
      <c r="H93">
        <v>4</v>
      </c>
      <c r="I93" s="10">
        <v>33253</v>
      </c>
      <c r="J93">
        <v>1</v>
      </c>
      <c r="K93">
        <v>1</v>
      </c>
      <c r="L93">
        <v>1</v>
      </c>
      <c r="M93">
        <v>3030</v>
      </c>
      <c r="N93">
        <v>2</v>
      </c>
      <c r="O93" s="10">
        <v>32987</v>
      </c>
      <c r="P93">
        <v>0</v>
      </c>
      <c r="Q93">
        <v>38</v>
      </c>
      <c r="R93">
        <v>2</v>
      </c>
      <c r="S93">
        <v>79</v>
      </c>
      <c r="T93">
        <v>172</v>
      </c>
      <c r="U93">
        <v>92</v>
      </c>
      <c r="V93">
        <v>13</v>
      </c>
      <c r="W93">
        <v>3</v>
      </c>
      <c r="X93">
        <v>26.703623580313685</v>
      </c>
      <c r="Y93">
        <v>31.09789075175771</v>
      </c>
      <c r="Z93">
        <v>4.3942671714440245</v>
      </c>
      <c r="AA93">
        <v>3</v>
      </c>
      <c r="AB93">
        <v>4</v>
      </c>
      <c r="AC93" t="s">
        <v>33</v>
      </c>
      <c r="AD93">
        <v>3</v>
      </c>
      <c r="AE93">
        <v>0</v>
      </c>
      <c r="AG93">
        <v>5</v>
      </c>
      <c r="AH93">
        <v>1</v>
      </c>
      <c r="AI93">
        <v>13</v>
      </c>
      <c r="AJ93">
        <v>1</v>
      </c>
      <c r="AK93">
        <v>7</v>
      </c>
      <c r="AL93">
        <v>1</v>
      </c>
      <c r="AM93">
        <f>AJ93*AK93*AL93/7</f>
        <v>1</v>
      </c>
      <c r="AN93" t="s">
        <v>79</v>
      </c>
      <c r="AO93">
        <v>0</v>
      </c>
      <c r="AV93">
        <f>AU93+AM93</f>
        <v>1</v>
      </c>
      <c r="AX93">
        <v>0</v>
      </c>
      <c r="BE93">
        <f>AM93+AU93+BD93</f>
        <v>1</v>
      </c>
      <c r="BG93">
        <v>0</v>
      </c>
      <c r="BJ93" t="s">
        <v>49</v>
      </c>
      <c r="BK93">
        <v>5</v>
      </c>
      <c r="BL93">
        <v>1</v>
      </c>
      <c r="BM93">
        <v>1</v>
      </c>
      <c r="BN93" t="s">
        <v>30</v>
      </c>
      <c r="BO93">
        <v>1</v>
      </c>
      <c r="BP93">
        <v>84</v>
      </c>
      <c r="BQ93">
        <v>0.13</v>
      </c>
      <c r="BR93">
        <v>1</v>
      </c>
      <c r="BS93">
        <v>0.13</v>
      </c>
      <c r="BT93">
        <f>BS93+BD93+AU93+AM93</f>
        <v>1.1299999999999999</v>
      </c>
      <c r="BU93">
        <v>1</v>
      </c>
      <c r="BW93">
        <v>0</v>
      </c>
      <c r="BX93">
        <f>BW93/7</f>
        <v>0</v>
      </c>
      <c r="BY93">
        <f>0.00077*BX93</f>
        <v>0</v>
      </c>
      <c r="BZ93">
        <f t="shared" si="1"/>
        <v>1.1299999999999999</v>
      </c>
    </row>
    <row r="94" spans="1:78">
      <c r="A94" s="1">
        <v>45162.641455763893</v>
      </c>
      <c r="B94" s="9" t="s">
        <v>866</v>
      </c>
      <c r="C94">
        <v>93</v>
      </c>
      <c r="D94" s="10">
        <v>34955</v>
      </c>
      <c r="E94">
        <v>27</v>
      </c>
      <c r="F94">
        <v>1</v>
      </c>
      <c r="G94">
        <v>4</v>
      </c>
      <c r="H94">
        <v>4</v>
      </c>
      <c r="I94" s="10">
        <v>44727</v>
      </c>
      <c r="J94">
        <v>1</v>
      </c>
      <c r="K94">
        <v>1</v>
      </c>
      <c r="L94">
        <v>2</v>
      </c>
      <c r="M94">
        <v>3150</v>
      </c>
      <c r="N94">
        <v>2</v>
      </c>
      <c r="O94" s="10">
        <v>44461</v>
      </c>
      <c r="P94">
        <v>1</v>
      </c>
      <c r="Q94">
        <v>38</v>
      </c>
      <c r="R94">
        <v>2</v>
      </c>
      <c r="S94">
        <v>80</v>
      </c>
      <c r="T94">
        <v>164</v>
      </c>
      <c r="U94">
        <v>90</v>
      </c>
      <c r="V94">
        <v>10</v>
      </c>
      <c r="W94">
        <v>2</v>
      </c>
      <c r="X94">
        <v>29.744199881023206</v>
      </c>
      <c r="Y94">
        <v>33.462224866151104</v>
      </c>
      <c r="Z94">
        <v>3.7180249851278973</v>
      </c>
      <c r="AA94">
        <v>3</v>
      </c>
      <c r="AB94">
        <v>4</v>
      </c>
      <c r="AC94" t="s">
        <v>33</v>
      </c>
      <c r="AD94">
        <v>3</v>
      </c>
      <c r="AE94">
        <v>0</v>
      </c>
      <c r="AG94">
        <v>5</v>
      </c>
      <c r="AH94">
        <v>1</v>
      </c>
      <c r="AI94" t="s">
        <v>258</v>
      </c>
      <c r="AJ94" t="s">
        <v>258</v>
      </c>
      <c r="AK94">
        <v>7</v>
      </c>
      <c r="AL94">
        <v>1</v>
      </c>
      <c r="AM94" t="s">
        <v>258</v>
      </c>
      <c r="AN94" t="s">
        <v>95</v>
      </c>
      <c r="AO94">
        <v>0</v>
      </c>
      <c r="AX94">
        <v>0</v>
      </c>
      <c r="BE94" t="s">
        <v>258</v>
      </c>
      <c r="BG94">
        <v>0</v>
      </c>
      <c r="BJ94" t="s">
        <v>49</v>
      </c>
      <c r="BK94">
        <v>5</v>
      </c>
      <c r="BL94">
        <v>1</v>
      </c>
      <c r="BM94">
        <v>1</v>
      </c>
      <c r="BN94" t="s">
        <v>30</v>
      </c>
      <c r="BO94">
        <v>1</v>
      </c>
      <c r="BP94">
        <v>168</v>
      </c>
      <c r="BQ94">
        <v>0.13</v>
      </c>
      <c r="BR94">
        <v>2</v>
      </c>
      <c r="BS94">
        <v>0.26</v>
      </c>
      <c r="BT94" t="e">
        <f>BS94+BD94+AU94+AM94</f>
        <v>#VALUE!</v>
      </c>
      <c r="BU94">
        <v>1</v>
      </c>
      <c r="BV94">
        <v>1</v>
      </c>
      <c r="BW94">
        <v>146.5</v>
      </c>
      <c r="BX94">
        <f>BW94/7</f>
        <v>20.928571428571427</v>
      </c>
      <c r="BY94">
        <f>0.00077*BX94</f>
        <v>1.6114999999999997E-2</v>
      </c>
      <c r="BZ94" t="e">
        <f t="shared" si="1"/>
        <v>#VALUE!</v>
      </c>
    </row>
    <row r="95" spans="1:78">
      <c r="A95" s="1">
        <v>45162.806585393519</v>
      </c>
      <c r="C95">
        <v>94</v>
      </c>
      <c r="D95" s="10">
        <v>31335</v>
      </c>
      <c r="E95">
        <v>37</v>
      </c>
      <c r="F95">
        <v>1</v>
      </c>
      <c r="G95">
        <v>1</v>
      </c>
      <c r="H95">
        <v>4</v>
      </c>
      <c r="I95" s="10">
        <v>42832</v>
      </c>
      <c r="J95">
        <v>3</v>
      </c>
      <c r="K95">
        <v>0</v>
      </c>
      <c r="L95">
        <v>1</v>
      </c>
      <c r="M95">
        <v>3240</v>
      </c>
      <c r="N95">
        <v>2</v>
      </c>
      <c r="O95" s="10">
        <v>42566</v>
      </c>
      <c r="P95">
        <v>0</v>
      </c>
      <c r="Q95">
        <v>38</v>
      </c>
      <c r="R95">
        <v>2</v>
      </c>
      <c r="S95">
        <v>80</v>
      </c>
      <c r="T95">
        <v>172</v>
      </c>
      <c r="U95">
        <v>95</v>
      </c>
      <c r="V95">
        <v>15</v>
      </c>
      <c r="W95">
        <v>3</v>
      </c>
      <c r="X95">
        <v>27.041644131963228</v>
      </c>
      <c r="Y95">
        <v>32.11195240670633</v>
      </c>
      <c r="Z95">
        <v>5.0703082747431019</v>
      </c>
      <c r="AA95">
        <v>3</v>
      </c>
      <c r="AB95">
        <v>4</v>
      </c>
      <c r="AC95" t="s">
        <v>25</v>
      </c>
      <c r="AD95">
        <v>1</v>
      </c>
      <c r="AE95">
        <v>0</v>
      </c>
      <c r="AG95">
        <v>5</v>
      </c>
      <c r="AH95">
        <v>1</v>
      </c>
      <c r="AI95">
        <v>2</v>
      </c>
      <c r="AJ95">
        <v>5</v>
      </c>
      <c r="AK95">
        <v>7</v>
      </c>
      <c r="AL95">
        <v>1</v>
      </c>
      <c r="AM95">
        <f>AJ95*AK95*AL95/7</f>
        <v>5</v>
      </c>
      <c r="AN95" t="s">
        <v>57</v>
      </c>
      <c r="AO95">
        <v>0</v>
      </c>
      <c r="AV95">
        <f>AU95+AM95</f>
        <v>5</v>
      </c>
      <c r="AX95">
        <v>0</v>
      </c>
      <c r="BE95">
        <f>AM95+AU95+BD95</f>
        <v>5</v>
      </c>
      <c r="BG95">
        <v>0</v>
      </c>
      <c r="BJ95" t="s">
        <v>49</v>
      </c>
      <c r="BK95">
        <v>5</v>
      </c>
      <c r="BL95">
        <v>1</v>
      </c>
      <c r="BM95">
        <v>1</v>
      </c>
      <c r="BN95" t="s">
        <v>30</v>
      </c>
      <c r="BO95">
        <v>1</v>
      </c>
      <c r="BP95">
        <v>168</v>
      </c>
      <c r="BQ95">
        <v>0.13</v>
      </c>
      <c r="BR95">
        <v>2</v>
      </c>
      <c r="BS95">
        <v>0.26</v>
      </c>
      <c r="BT95">
        <f>BS95+BD95+AU95+AM95</f>
        <v>5.26</v>
      </c>
      <c r="BU95">
        <v>1</v>
      </c>
      <c r="BV95">
        <v>2</v>
      </c>
      <c r="BW95">
        <v>293</v>
      </c>
      <c r="BX95">
        <f>BW95/7</f>
        <v>41.857142857142854</v>
      </c>
      <c r="BY95">
        <f>0.00077*BX95</f>
        <v>3.2229999999999995E-2</v>
      </c>
      <c r="BZ95">
        <f t="shared" si="1"/>
        <v>5.29223</v>
      </c>
    </row>
    <row r="96" spans="1:78">
      <c r="A96" s="1">
        <v>45163.026856608798</v>
      </c>
      <c r="C96">
        <v>95</v>
      </c>
      <c r="D96" s="10">
        <v>32564</v>
      </c>
      <c r="E96">
        <v>34</v>
      </c>
      <c r="F96">
        <v>1</v>
      </c>
      <c r="G96">
        <v>4</v>
      </c>
      <c r="H96">
        <v>2</v>
      </c>
      <c r="I96" s="10">
        <v>44806</v>
      </c>
      <c r="J96">
        <v>1</v>
      </c>
      <c r="K96">
        <v>1</v>
      </c>
      <c r="L96">
        <v>2</v>
      </c>
      <c r="M96">
        <v>3050</v>
      </c>
      <c r="N96">
        <v>2</v>
      </c>
      <c r="O96" s="10">
        <v>44540</v>
      </c>
      <c r="P96">
        <v>0</v>
      </c>
      <c r="Q96">
        <v>38</v>
      </c>
      <c r="R96">
        <v>2</v>
      </c>
      <c r="S96">
        <v>105</v>
      </c>
      <c r="T96">
        <v>163</v>
      </c>
      <c r="U96">
        <v>124.5</v>
      </c>
      <c r="V96">
        <v>19.5</v>
      </c>
      <c r="W96">
        <v>3</v>
      </c>
      <c r="X96">
        <v>39.519741051601493</v>
      </c>
      <c r="Y96">
        <v>46.859121532613202</v>
      </c>
      <c r="Z96">
        <v>7.3393804810117089</v>
      </c>
      <c r="AA96">
        <v>4</v>
      </c>
      <c r="AB96">
        <v>4</v>
      </c>
      <c r="AC96" t="s">
        <v>50</v>
      </c>
      <c r="AD96">
        <v>2</v>
      </c>
      <c r="AE96">
        <v>0</v>
      </c>
      <c r="AG96">
        <v>5</v>
      </c>
      <c r="AH96">
        <v>1</v>
      </c>
      <c r="AI96">
        <v>5</v>
      </c>
      <c r="AJ96">
        <v>5</v>
      </c>
      <c r="AK96">
        <v>7</v>
      </c>
      <c r="AL96">
        <v>1</v>
      </c>
      <c r="AM96">
        <f>AJ96*AK96*AL96/7</f>
        <v>5</v>
      </c>
      <c r="AN96" t="s">
        <v>27</v>
      </c>
      <c r="AO96">
        <v>0</v>
      </c>
      <c r="AV96">
        <f>AU96+AM96</f>
        <v>5</v>
      </c>
      <c r="AW96" t="s">
        <v>132</v>
      </c>
      <c r="AX96">
        <v>1</v>
      </c>
      <c r="AY96" t="s">
        <v>132</v>
      </c>
      <c r="AZ96">
        <v>5</v>
      </c>
      <c r="BA96">
        <v>0.4</v>
      </c>
      <c r="BB96">
        <v>7</v>
      </c>
      <c r="BC96">
        <v>1</v>
      </c>
      <c r="BD96">
        <f>BA96*BB96*1/7</f>
        <v>0.4</v>
      </c>
      <c r="BE96">
        <f>AM96+AU96+BD96</f>
        <v>5.4</v>
      </c>
      <c r="BF96" t="s">
        <v>132</v>
      </c>
      <c r="BG96">
        <v>0</v>
      </c>
      <c r="BH96">
        <v>7</v>
      </c>
      <c r="BI96">
        <v>1</v>
      </c>
      <c r="BJ96" t="s">
        <v>49</v>
      </c>
      <c r="BK96">
        <v>5</v>
      </c>
      <c r="BL96">
        <v>1</v>
      </c>
      <c r="BM96">
        <v>1</v>
      </c>
      <c r="BN96" t="s">
        <v>30</v>
      </c>
      <c r="BO96">
        <v>1</v>
      </c>
      <c r="BP96">
        <v>84</v>
      </c>
      <c r="BQ96">
        <v>0.13</v>
      </c>
      <c r="BR96">
        <v>1</v>
      </c>
      <c r="BS96">
        <v>0.13</v>
      </c>
      <c r="BT96">
        <f>BS96+BD96+AU96+AM96</f>
        <v>5.53</v>
      </c>
      <c r="BU96">
        <v>1</v>
      </c>
      <c r="BV96">
        <v>2</v>
      </c>
      <c r="BW96">
        <v>293</v>
      </c>
      <c r="BX96">
        <f>BW96/7</f>
        <v>41.857142857142854</v>
      </c>
      <c r="BY96">
        <f>0.00077*BX96</f>
        <v>3.2229999999999995E-2</v>
      </c>
      <c r="BZ96">
        <f t="shared" si="1"/>
        <v>5.5622300000000005</v>
      </c>
    </row>
    <row r="97" spans="1:78">
      <c r="A97" s="1">
        <v>45163.28930532407</v>
      </c>
      <c r="C97">
        <v>96</v>
      </c>
      <c r="D97" s="10">
        <v>31182</v>
      </c>
      <c r="E97">
        <v>38</v>
      </c>
      <c r="F97">
        <v>1</v>
      </c>
      <c r="G97">
        <v>1</v>
      </c>
      <c r="H97">
        <v>4</v>
      </c>
      <c r="I97" s="10">
        <v>44138</v>
      </c>
      <c r="J97">
        <v>2</v>
      </c>
      <c r="K97">
        <v>0</v>
      </c>
      <c r="L97">
        <v>1</v>
      </c>
      <c r="M97">
        <v>2700</v>
      </c>
      <c r="N97">
        <v>2</v>
      </c>
      <c r="O97" s="10">
        <v>43872</v>
      </c>
      <c r="P97">
        <v>0</v>
      </c>
      <c r="Q97">
        <v>38</v>
      </c>
      <c r="R97">
        <v>2</v>
      </c>
      <c r="S97">
        <v>67</v>
      </c>
      <c r="T97">
        <v>162</v>
      </c>
      <c r="U97">
        <v>74</v>
      </c>
      <c r="V97">
        <v>7</v>
      </c>
      <c r="W97">
        <v>2</v>
      </c>
      <c r="X97">
        <v>25.529644871208653</v>
      </c>
      <c r="Y97">
        <v>28.196921201036421</v>
      </c>
      <c r="Z97">
        <v>2.667276329827768</v>
      </c>
      <c r="AA97">
        <v>3</v>
      </c>
      <c r="AB97">
        <v>3</v>
      </c>
      <c r="AC97" t="s">
        <v>44</v>
      </c>
      <c r="AD97">
        <v>1</v>
      </c>
      <c r="AE97">
        <v>0</v>
      </c>
      <c r="AG97">
        <v>5</v>
      </c>
      <c r="AH97">
        <v>0</v>
      </c>
      <c r="AI97">
        <v>0</v>
      </c>
      <c r="AN97" t="s">
        <v>41</v>
      </c>
      <c r="AO97">
        <v>0</v>
      </c>
      <c r="AW97" t="s">
        <v>58</v>
      </c>
      <c r="AX97">
        <v>1</v>
      </c>
      <c r="AY97" t="s">
        <v>58</v>
      </c>
      <c r="AZ97">
        <v>1</v>
      </c>
      <c r="BA97">
        <v>0.8</v>
      </c>
      <c r="BB97">
        <v>7</v>
      </c>
      <c r="BC97">
        <v>1</v>
      </c>
      <c r="BD97">
        <f>BA97*BB97*1/7</f>
        <v>0.8</v>
      </c>
      <c r="BE97">
        <f>AM97+AU97+BD97</f>
        <v>0.8</v>
      </c>
      <c r="BF97" t="s">
        <v>58</v>
      </c>
      <c r="BG97">
        <v>0</v>
      </c>
      <c r="BH97">
        <v>7</v>
      </c>
      <c r="BI97">
        <v>1</v>
      </c>
      <c r="BJ97" t="s">
        <v>42</v>
      </c>
      <c r="BK97">
        <v>6</v>
      </c>
      <c r="BL97">
        <v>1</v>
      </c>
      <c r="BM97">
        <v>1</v>
      </c>
      <c r="BN97" t="s">
        <v>30</v>
      </c>
      <c r="BO97">
        <v>1</v>
      </c>
      <c r="BP97">
        <v>84</v>
      </c>
      <c r="BQ97">
        <v>0.13</v>
      </c>
      <c r="BR97">
        <v>1</v>
      </c>
      <c r="BS97">
        <v>0.13</v>
      </c>
      <c r="BT97">
        <f>BS97+BD97+AU97+AM97</f>
        <v>0.93</v>
      </c>
      <c r="BU97">
        <v>1</v>
      </c>
      <c r="BV97">
        <v>0.5</v>
      </c>
      <c r="BW97">
        <v>73.25</v>
      </c>
      <c r="BX97">
        <f>BW97/7</f>
        <v>10.464285714285714</v>
      </c>
      <c r="BY97">
        <f>0.00077*BX97</f>
        <v>8.0574999999999987E-3</v>
      </c>
      <c r="BZ97">
        <f t="shared" si="1"/>
        <v>0.9380575000000001</v>
      </c>
    </row>
    <row r="98" spans="1:78">
      <c r="A98" s="1">
        <v>45163.349673726851</v>
      </c>
      <c r="C98">
        <v>97</v>
      </c>
      <c r="D98" s="10">
        <v>30345</v>
      </c>
      <c r="E98">
        <v>40</v>
      </c>
      <c r="F98">
        <v>1</v>
      </c>
      <c r="G98">
        <v>1</v>
      </c>
      <c r="H98">
        <v>4</v>
      </c>
      <c r="I98" s="10">
        <v>43811</v>
      </c>
      <c r="J98">
        <v>1</v>
      </c>
      <c r="K98">
        <v>1</v>
      </c>
      <c r="L98">
        <v>1</v>
      </c>
      <c r="M98">
        <v>3510</v>
      </c>
      <c r="N98">
        <v>2</v>
      </c>
      <c r="O98" s="10">
        <v>43552</v>
      </c>
      <c r="P98">
        <v>0</v>
      </c>
      <c r="Q98">
        <v>37</v>
      </c>
      <c r="R98">
        <v>2</v>
      </c>
      <c r="S98">
        <v>78</v>
      </c>
      <c r="T98">
        <v>170</v>
      </c>
      <c r="U98">
        <v>89</v>
      </c>
      <c r="V98">
        <v>11</v>
      </c>
      <c r="W98">
        <v>2</v>
      </c>
      <c r="X98">
        <v>26.989619377162633</v>
      </c>
      <c r="Y98">
        <v>30.795847750865054</v>
      </c>
      <c r="Z98">
        <v>3.806228373702421</v>
      </c>
      <c r="AA98">
        <v>3</v>
      </c>
      <c r="AB98">
        <v>4</v>
      </c>
      <c r="AC98" t="s">
        <v>33</v>
      </c>
      <c r="AD98">
        <v>3</v>
      </c>
      <c r="AE98">
        <v>0</v>
      </c>
      <c r="AG98">
        <v>5</v>
      </c>
      <c r="AH98">
        <v>0</v>
      </c>
      <c r="AI98">
        <v>0</v>
      </c>
      <c r="AN98" t="s">
        <v>121</v>
      </c>
      <c r="AO98">
        <v>0</v>
      </c>
      <c r="AX98">
        <v>0</v>
      </c>
      <c r="BG98">
        <v>0</v>
      </c>
      <c r="BJ98" t="s">
        <v>51</v>
      </c>
      <c r="BK98">
        <v>1</v>
      </c>
      <c r="BL98">
        <v>3</v>
      </c>
      <c r="BM98">
        <v>1</v>
      </c>
      <c r="BN98" t="s">
        <v>30</v>
      </c>
      <c r="BO98">
        <v>1</v>
      </c>
      <c r="BP98">
        <v>84</v>
      </c>
      <c r="BQ98">
        <v>0.13</v>
      </c>
      <c r="BR98">
        <v>1</v>
      </c>
      <c r="BS98">
        <v>0.13</v>
      </c>
      <c r="BT98">
        <f>BS98+BD98+AU98+AM98</f>
        <v>0.13</v>
      </c>
      <c r="BU98">
        <v>1</v>
      </c>
      <c r="BV98">
        <v>1</v>
      </c>
      <c r="BW98">
        <v>146.5</v>
      </c>
      <c r="BX98">
        <f>BW98/7</f>
        <v>20.928571428571427</v>
      </c>
      <c r="BY98">
        <f>0.00077*BX98</f>
        <v>1.6114999999999997E-2</v>
      </c>
      <c r="BZ98">
        <f t="shared" si="1"/>
        <v>0.14611499999999999</v>
      </c>
    </row>
    <row r="99" spans="1:78">
      <c r="A99" s="1">
        <v>45163.53278115741</v>
      </c>
      <c r="C99">
        <v>98</v>
      </c>
      <c r="D99" s="10">
        <v>33038</v>
      </c>
      <c r="E99">
        <v>33</v>
      </c>
      <c r="F99">
        <v>2</v>
      </c>
      <c r="G99">
        <v>1</v>
      </c>
      <c r="H99">
        <v>5</v>
      </c>
      <c r="I99" s="10">
        <v>43940</v>
      </c>
      <c r="J99">
        <v>1</v>
      </c>
      <c r="K99">
        <v>1</v>
      </c>
      <c r="L99">
        <v>2</v>
      </c>
      <c r="M99">
        <v>3760</v>
      </c>
      <c r="N99">
        <v>2</v>
      </c>
      <c r="O99" s="10">
        <v>43674</v>
      </c>
      <c r="P99">
        <v>0</v>
      </c>
      <c r="Q99">
        <v>38</v>
      </c>
      <c r="R99">
        <v>2</v>
      </c>
      <c r="S99">
        <v>65</v>
      </c>
      <c r="T99">
        <v>161</v>
      </c>
      <c r="U99">
        <v>87</v>
      </c>
      <c r="V99">
        <v>22</v>
      </c>
      <c r="W99">
        <v>3</v>
      </c>
      <c r="X99">
        <v>25.076193048107708</v>
      </c>
      <c r="Y99">
        <v>33.56351992592878</v>
      </c>
      <c r="Z99">
        <v>8.4873268778210722</v>
      </c>
      <c r="AA99">
        <v>3</v>
      </c>
      <c r="AB99">
        <v>4</v>
      </c>
      <c r="AC99" t="s">
        <v>33</v>
      </c>
      <c r="AD99">
        <v>3</v>
      </c>
      <c r="AE99">
        <v>0</v>
      </c>
      <c r="AG99">
        <v>5</v>
      </c>
      <c r="AH99">
        <v>1</v>
      </c>
      <c r="AI99">
        <v>1</v>
      </c>
      <c r="AJ99">
        <v>1</v>
      </c>
      <c r="AK99">
        <v>7</v>
      </c>
      <c r="AL99">
        <v>1</v>
      </c>
      <c r="AM99">
        <f>AJ99*AK99*AL99/7</f>
        <v>1</v>
      </c>
      <c r="AN99" t="s">
        <v>56</v>
      </c>
      <c r="AO99">
        <v>0</v>
      </c>
      <c r="AV99">
        <f>AU99+AM99</f>
        <v>1</v>
      </c>
      <c r="AW99" t="s">
        <v>61</v>
      </c>
      <c r="AX99">
        <v>1</v>
      </c>
      <c r="AY99" t="s">
        <v>61</v>
      </c>
      <c r="AZ99">
        <v>2</v>
      </c>
      <c r="BA99">
        <v>0.27</v>
      </c>
      <c r="BB99">
        <v>7</v>
      </c>
      <c r="BC99">
        <v>1</v>
      </c>
      <c r="BD99">
        <f>BA99*BB99*1/7</f>
        <v>0.27</v>
      </c>
      <c r="BE99">
        <f>AM99+AU99+BD99</f>
        <v>1.27</v>
      </c>
      <c r="BF99" t="s">
        <v>61</v>
      </c>
      <c r="BG99">
        <v>0</v>
      </c>
      <c r="BH99">
        <v>7</v>
      </c>
      <c r="BI99">
        <v>1</v>
      </c>
      <c r="BJ99" t="s">
        <v>28</v>
      </c>
      <c r="BK99">
        <v>3</v>
      </c>
      <c r="BL99">
        <v>1</v>
      </c>
      <c r="BM99">
        <v>1</v>
      </c>
      <c r="BN99" t="s">
        <v>30</v>
      </c>
      <c r="BO99">
        <v>1</v>
      </c>
      <c r="BP99">
        <v>168</v>
      </c>
      <c r="BQ99">
        <v>0.13</v>
      </c>
      <c r="BR99">
        <v>2</v>
      </c>
      <c r="BS99">
        <v>0.26</v>
      </c>
      <c r="BT99">
        <f>BS99+BD99+AU99+AM99</f>
        <v>1.53</v>
      </c>
      <c r="BU99">
        <v>1</v>
      </c>
      <c r="BV99">
        <v>2</v>
      </c>
      <c r="BW99">
        <v>293</v>
      </c>
      <c r="BX99">
        <f>BW99/7</f>
        <v>41.857142857142854</v>
      </c>
      <c r="BY99">
        <f>0.00077*BX99</f>
        <v>3.2229999999999995E-2</v>
      </c>
      <c r="BZ99">
        <f t="shared" si="1"/>
        <v>1.56223</v>
      </c>
    </row>
    <row r="100" spans="1:78">
      <c r="A100" s="1">
        <v>45163.534654699077</v>
      </c>
      <c r="B100" s="8" t="s">
        <v>864</v>
      </c>
      <c r="C100">
        <v>99</v>
      </c>
      <c r="D100" s="10">
        <v>29980</v>
      </c>
      <c r="E100">
        <v>41</v>
      </c>
      <c r="F100">
        <v>2</v>
      </c>
      <c r="G100">
        <v>1</v>
      </c>
      <c r="H100">
        <v>4</v>
      </c>
      <c r="I100" s="10">
        <v>42200</v>
      </c>
      <c r="J100">
        <v>2</v>
      </c>
      <c r="K100">
        <v>0</v>
      </c>
      <c r="L100">
        <v>1</v>
      </c>
      <c r="M100">
        <v>3260</v>
      </c>
      <c r="N100">
        <v>2</v>
      </c>
      <c r="O100" s="10">
        <v>41941</v>
      </c>
      <c r="P100">
        <v>0</v>
      </c>
      <c r="Q100">
        <v>37</v>
      </c>
      <c r="R100">
        <v>2</v>
      </c>
      <c r="S100">
        <v>60</v>
      </c>
      <c r="T100">
        <v>164</v>
      </c>
      <c r="U100">
        <v>65</v>
      </c>
      <c r="V100">
        <v>5</v>
      </c>
      <c r="W100">
        <v>1</v>
      </c>
      <c r="X100">
        <v>22.308149910767405</v>
      </c>
      <c r="Y100">
        <v>24.167162403331353</v>
      </c>
      <c r="Z100">
        <v>1.8590124925639486</v>
      </c>
      <c r="AA100">
        <v>2</v>
      </c>
      <c r="AB100">
        <v>2</v>
      </c>
      <c r="AC100" t="s">
        <v>33</v>
      </c>
      <c r="AD100">
        <v>3</v>
      </c>
      <c r="AE100">
        <v>0</v>
      </c>
      <c r="AG100">
        <v>5</v>
      </c>
      <c r="AH100">
        <v>0</v>
      </c>
      <c r="AI100">
        <v>0</v>
      </c>
      <c r="AN100" t="s">
        <v>41</v>
      </c>
      <c r="AO100">
        <v>0</v>
      </c>
      <c r="AW100" t="s">
        <v>58</v>
      </c>
      <c r="AX100">
        <v>1</v>
      </c>
      <c r="AY100" t="s">
        <v>58</v>
      </c>
      <c r="AZ100">
        <v>1</v>
      </c>
      <c r="BA100">
        <v>0.8</v>
      </c>
      <c r="BB100">
        <v>7</v>
      </c>
      <c r="BC100">
        <v>1</v>
      </c>
      <c r="BD100">
        <f>BA100*BB100*1/7</f>
        <v>0.8</v>
      </c>
      <c r="BE100">
        <f>AM100+AU100+BD100</f>
        <v>0.8</v>
      </c>
      <c r="BF100" t="s">
        <v>58</v>
      </c>
      <c r="BG100">
        <v>0</v>
      </c>
      <c r="BH100">
        <v>7</v>
      </c>
      <c r="BI100">
        <v>1</v>
      </c>
      <c r="BJ100" t="s">
        <v>42</v>
      </c>
      <c r="BK100">
        <v>6</v>
      </c>
      <c r="BL100">
        <v>1</v>
      </c>
      <c r="BM100">
        <v>1</v>
      </c>
      <c r="BN100" t="s">
        <v>59</v>
      </c>
      <c r="BO100">
        <v>3</v>
      </c>
      <c r="BP100">
        <v>56</v>
      </c>
      <c r="BQ100">
        <v>0.08</v>
      </c>
      <c r="BR100">
        <v>1</v>
      </c>
      <c r="BS100">
        <v>0.08</v>
      </c>
      <c r="BT100">
        <f>BS100+BD100+AU100+AM100</f>
        <v>0.88</v>
      </c>
      <c r="BU100">
        <v>1</v>
      </c>
      <c r="BV100">
        <v>5</v>
      </c>
      <c r="BW100">
        <v>732.5</v>
      </c>
      <c r="BX100">
        <f>BW100/7</f>
        <v>104.64285714285714</v>
      </c>
      <c r="BY100">
        <f>0.00077*BX100</f>
        <v>8.0574999999999994E-2</v>
      </c>
      <c r="BZ100">
        <f t="shared" si="1"/>
        <v>0.96057499999999996</v>
      </c>
    </row>
    <row r="101" spans="1:78">
      <c r="A101" s="1">
        <v>45163.536342083331</v>
      </c>
      <c r="B101" s="8" t="s">
        <v>864</v>
      </c>
      <c r="C101">
        <v>100</v>
      </c>
      <c r="D101" s="10">
        <v>31901</v>
      </c>
      <c r="E101">
        <v>36</v>
      </c>
      <c r="F101">
        <v>2</v>
      </c>
      <c r="G101">
        <v>1</v>
      </c>
      <c r="H101">
        <v>4</v>
      </c>
      <c r="I101" s="10">
        <v>41941</v>
      </c>
      <c r="J101">
        <v>1</v>
      </c>
      <c r="K101">
        <v>1</v>
      </c>
      <c r="L101">
        <v>2</v>
      </c>
      <c r="M101">
        <v>2800</v>
      </c>
      <c r="N101">
        <v>2</v>
      </c>
      <c r="O101" s="10">
        <v>41675</v>
      </c>
      <c r="P101">
        <v>0</v>
      </c>
      <c r="Q101">
        <v>38</v>
      </c>
      <c r="R101">
        <v>2</v>
      </c>
      <c r="S101">
        <v>80</v>
      </c>
      <c r="T101">
        <v>168</v>
      </c>
      <c r="U101">
        <v>87</v>
      </c>
      <c r="V101">
        <v>7</v>
      </c>
      <c r="W101">
        <v>2</v>
      </c>
      <c r="X101">
        <v>28.344671201814062</v>
      </c>
      <c r="Y101">
        <v>30.824829931972793</v>
      </c>
      <c r="Z101">
        <v>2.4801587301587311</v>
      </c>
      <c r="AA101">
        <v>3</v>
      </c>
      <c r="AB101">
        <v>4</v>
      </c>
      <c r="AC101" t="s">
        <v>33</v>
      </c>
      <c r="AD101">
        <v>3</v>
      </c>
      <c r="AE101">
        <v>0</v>
      </c>
      <c r="AG101">
        <v>5</v>
      </c>
      <c r="AH101">
        <v>1</v>
      </c>
      <c r="AI101">
        <v>22</v>
      </c>
      <c r="AJ101">
        <v>0.4</v>
      </c>
      <c r="AK101">
        <v>7</v>
      </c>
      <c r="AL101">
        <v>1</v>
      </c>
      <c r="AM101">
        <f>AJ101*AK101*AL101/7</f>
        <v>0.4</v>
      </c>
      <c r="AN101" t="s">
        <v>509</v>
      </c>
      <c r="AO101">
        <v>0</v>
      </c>
      <c r="AV101">
        <f>AU101+AM101</f>
        <v>0.4</v>
      </c>
      <c r="AX101">
        <v>0</v>
      </c>
      <c r="BE101">
        <f>AM101+AU101+BD101</f>
        <v>0.4</v>
      </c>
      <c r="BG101">
        <v>0</v>
      </c>
      <c r="BJ101" t="s">
        <v>42</v>
      </c>
      <c r="BK101">
        <v>6</v>
      </c>
      <c r="BL101">
        <v>1</v>
      </c>
      <c r="BM101">
        <v>0</v>
      </c>
      <c r="BO101">
        <v>0</v>
      </c>
      <c r="BP101">
        <v>0</v>
      </c>
      <c r="BQ101">
        <v>0</v>
      </c>
      <c r="BR101">
        <v>0.5</v>
      </c>
      <c r="BS101">
        <v>0</v>
      </c>
      <c r="BT101">
        <f>BS101+BD101+AU101+AM101</f>
        <v>0.4</v>
      </c>
      <c r="BU101">
        <v>1</v>
      </c>
      <c r="BV101">
        <v>1</v>
      </c>
      <c r="BW101">
        <v>146.5</v>
      </c>
      <c r="BX101">
        <f>BW101/7</f>
        <v>20.928571428571427</v>
      </c>
      <c r="BY101">
        <f>0.00077*BX101</f>
        <v>1.6114999999999997E-2</v>
      </c>
      <c r="BZ101">
        <f t="shared" si="1"/>
        <v>0.41611500000000001</v>
      </c>
    </row>
    <row r="102" spans="1:78">
      <c r="A102" s="1">
        <v>45163.53673576389</v>
      </c>
      <c r="C102">
        <v>101</v>
      </c>
      <c r="D102" s="10">
        <v>32890</v>
      </c>
      <c r="E102">
        <v>33</v>
      </c>
      <c r="F102">
        <v>1</v>
      </c>
      <c r="G102">
        <v>1</v>
      </c>
      <c r="H102">
        <v>5</v>
      </c>
      <c r="I102" s="10">
        <v>43795</v>
      </c>
      <c r="J102">
        <v>1</v>
      </c>
      <c r="K102">
        <v>1</v>
      </c>
      <c r="L102">
        <v>2</v>
      </c>
      <c r="M102">
        <v>3400</v>
      </c>
      <c r="N102">
        <v>2</v>
      </c>
      <c r="O102" s="10">
        <v>43515</v>
      </c>
      <c r="P102">
        <v>0</v>
      </c>
      <c r="Q102">
        <v>40</v>
      </c>
      <c r="R102">
        <v>2</v>
      </c>
      <c r="S102">
        <v>56</v>
      </c>
      <c r="T102">
        <v>154</v>
      </c>
      <c r="U102">
        <v>68</v>
      </c>
      <c r="V102">
        <v>12</v>
      </c>
      <c r="W102">
        <v>2</v>
      </c>
      <c r="X102">
        <v>23.61275088547816</v>
      </c>
      <c r="Y102">
        <v>28.67262607522348</v>
      </c>
      <c r="Z102">
        <v>5.0598751897453198</v>
      </c>
      <c r="AA102">
        <v>2</v>
      </c>
      <c r="AB102">
        <v>3</v>
      </c>
      <c r="AC102" t="s">
        <v>33</v>
      </c>
      <c r="AD102">
        <v>3</v>
      </c>
      <c r="AE102">
        <v>0</v>
      </c>
      <c r="AG102">
        <v>5</v>
      </c>
      <c r="AH102">
        <v>1</v>
      </c>
      <c r="AI102">
        <v>2</v>
      </c>
      <c r="AJ102">
        <v>5</v>
      </c>
      <c r="AK102">
        <v>7</v>
      </c>
      <c r="AL102">
        <v>1</v>
      </c>
      <c r="AM102">
        <f>AJ102*AK102*AL102/7</f>
        <v>5</v>
      </c>
      <c r="AN102" t="s">
        <v>57</v>
      </c>
      <c r="AO102">
        <v>0</v>
      </c>
      <c r="AV102">
        <f>AU102+AM102</f>
        <v>5</v>
      </c>
      <c r="AX102">
        <v>0</v>
      </c>
      <c r="BE102">
        <f>AM102+AU102+BD102</f>
        <v>5</v>
      </c>
      <c r="BG102">
        <v>0</v>
      </c>
      <c r="BJ102" t="s">
        <v>49</v>
      </c>
      <c r="BK102">
        <v>5</v>
      </c>
      <c r="BL102">
        <v>3</v>
      </c>
      <c r="BM102">
        <v>1</v>
      </c>
      <c r="BN102" t="s">
        <v>30</v>
      </c>
      <c r="BO102">
        <v>1</v>
      </c>
      <c r="BP102">
        <v>42</v>
      </c>
      <c r="BQ102">
        <v>0.13</v>
      </c>
      <c r="BR102">
        <v>0.5</v>
      </c>
      <c r="BS102">
        <v>6.5000000000000002E-2</v>
      </c>
      <c r="BT102">
        <f>BS102+BD102+AU102+AM102</f>
        <v>5.0650000000000004</v>
      </c>
      <c r="BU102">
        <v>1</v>
      </c>
      <c r="BV102">
        <v>1</v>
      </c>
      <c r="BW102">
        <v>146.5</v>
      </c>
      <c r="BX102">
        <f>BW102/7</f>
        <v>20.928571428571427</v>
      </c>
      <c r="BY102">
        <f>0.00077*BX102</f>
        <v>1.6114999999999997E-2</v>
      </c>
      <c r="BZ102">
        <f t="shared" si="1"/>
        <v>5.0811150000000005</v>
      </c>
    </row>
    <row r="103" spans="1:78">
      <c r="A103" s="1">
        <v>45163.575332037042</v>
      </c>
      <c r="C103">
        <v>102</v>
      </c>
      <c r="D103" s="10">
        <v>33878</v>
      </c>
      <c r="E103">
        <v>30</v>
      </c>
      <c r="F103">
        <v>2</v>
      </c>
      <c r="G103">
        <v>1</v>
      </c>
      <c r="H103">
        <v>4</v>
      </c>
      <c r="I103" s="10">
        <v>44559</v>
      </c>
      <c r="J103">
        <v>1</v>
      </c>
      <c r="K103">
        <v>1</v>
      </c>
      <c r="L103">
        <v>1</v>
      </c>
      <c r="M103">
        <v>2225</v>
      </c>
      <c r="N103">
        <v>1</v>
      </c>
      <c r="O103" s="10">
        <v>44300</v>
      </c>
      <c r="P103">
        <v>1</v>
      </c>
      <c r="Q103">
        <v>37</v>
      </c>
      <c r="R103">
        <v>2</v>
      </c>
      <c r="S103">
        <v>50</v>
      </c>
      <c r="T103">
        <v>160</v>
      </c>
      <c r="U103">
        <v>56</v>
      </c>
      <c r="V103">
        <v>6</v>
      </c>
      <c r="W103">
        <v>1</v>
      </c>
      <c r="X103">
        <v>19.531249999999996</v>
      </c>
      <c r="Y103">
        <v>21.874999999999996</v>
      </c>
      <c r="Z103">
        <v>2.34375</v>
      </c>
      <c r="AA103">
        <v>2</v>
      </c>
      <c r="AB103">
        <v>2</v>
      </c>
      <c r="AC103" t="s">
        <v>33</v>
      </c>
      <c r="AD103">
        <v>3</v>
      </c>
      <c r="AE103">
        <v>1</v>
      </c>
      <c r="AF103" t="s">
        <v>135</v>
      </c>
      <c r="AG103" t="e">
        <v>#N/A</v>
      </c>
      <c r="AH103">
        <v>0</v>
      </c>
      <c r="AI103">
        <v>0</v>
      </c>
      <c r="AN103" t="s">
        <v>136</v>
      </c>
      <c r="AO103">
        <v>0</v>
      </c>
      <c r="AW103" t="s">
        <v>136</v>
      </c>
      <c r="AX103">
        <v>1</v>
      </c>
      <c r="AY103" t="s">
        <v>136</v>
      </c>
      <c r="AZ103">
        <v>8</v>
      </c>
      <c r="BA103">
        <v>0.4</v>
      </c>
      <c r="BB103">
        <v>7</v>
      </c>
      <c r="BC103">
        <v>1</v>
      </c>
      <c r="BD103">
        <f>BA103*BB103*1/7</f>
        <v>0.4</v>
      </c>
      <c r="BE103">
        <f>AM103+AU103+BD103</f>
        <v>0.4</v>
      </c>
      <c r="BF103" t="s">
        <v>136</v>
      </c>
      <c r="BG103">
        <v>0</v>
      </c>
      <c r="BH103">
        <v>7</v>
      </c>
      <c r="BI103">
        <v>1</v>
      </c>
      <c r="BJ103" t="s">
        <v>42</v>
      </c>
      <c r="BK103">
        <v>6</v>
      </c>
      <c r="BL103">
        <v>1</v>
      </c>
      <c r="BM103">
        <v>1</v>
      </c>
      <c r="BN103" t="s">
        <v>59</v>
      </c>
      <c r="BO103">
        <v>3</v>
      </c>
      <c r="BP103">
        <v>56</v>
      </c>
      <c r="BQ103">
        <v>0.08</v>
      </c>
      <c r="BR103">
        <v>1</v>
      </c>
      <c r="BS103">
        <v>0.08</v>
      </c>
      <c r="BT103">
        <f>BS103+BD103+AU103+AM103</f>
        <v>0.48000000000000004</v>
      </c>
      <c r="BU103">
        <v>1</v>
      </c>
      <c r="BV103">
        <v>0.5</v>
      </c>
      <c r="BW103">
        <v>73.25</v>
      </c>
      <c r="BX103">
        <f>BW103/7</f>
        <v>10.464285714285714</v>
      </c>
      <c r="BY103">
        <f>0.00077*BX103</f>
        <v>8.0574999999999987E-3</v>
      </c>
      <c r="BZ103">
        <f t="shared" si="1"/>
        <v>0.48805750000000003</v>
      </c>
    </row>
    <row r="104" spans="1:78">
      <c r="A104" s="1">
        <v>45163.579768773146</v>
      </c>
      <c r="C104">
        <v>103</v>
      </c>
      <c r="D104" s="10">
        <v>32679</v>
      </c>
      <c r="E104">
        <v>34</v>
      </c>
      <c r="F104">
        <v>2</v>
      </c>
      <c r="G104">
        <v>1</v>
      </c>
      <c r="H104">
        <v>4</v>
      </c>
      <c r="I104" s="10">
        <v>43684</v>
      </c>
      <c r="J104">
        <v>3</v>
      </c>
      <c r="K104">
        <v>0</v>
      </c>
      <c r="L104">
        <v>1</v>
      </c>
      <c r="M104">
        <v>3600</v>
      </c>
      <c r="N104">
        <v>2</v>
      </c>
      <c r="O104" s="10">
        <v>43418</v>
      </c>
      <c r="P104">
        <v>0</v>
      </c>
      <c r="Q104">
        <v>38</v>
      </c>
      <c r="R104">
        <v>2</v>
      </c>
      <c r="S104">
        <v>68</v>
      </c>
      <c r="T104">
        <v>170</v>
      </c>
      <c r="U104">
        <v>81</v>
      </c>
      <c r="V104">
        <v>13</v>
      </c>
      <c r="W104">
        <v>2</v>
      </c>
      <c r="X104">
        <v>23.529411764705884</v>
      </c>
      <c r="Y104">
        <v>28.027681660899656</v>
      </c>
      <c r="Z104">
        <v>4.4982698961937722</v>
      </c>
      <c r="AA104">
        <v>2</v>
      </c>
      <c r="AB104">
        <v>3</v>
      </c>
      <c r="AC104" t="s">
        <v>33</v>
      </c>
      <c r="AD104">
        <v>3</v>
      </c>
      <c r="AE104">
        <v>0</v>
      </c>
      <c r="AG104">
        <v>5</v>
      </c>
      <c r="AH104">
        <v>1</v>
      </c>
      <c r="AI104">
        <v>1</v>
      </c>
      <c r="AJ104">
        <v>1</v>
      </c>
      <c r="AK104">
        <v>7</v>
      </c>
      <c r="AL104">
        <v>1</v>
      </c>
      <c r="AM104">
        <f>AJ104*AK104*AL104/7</f>
        <v>1</v>
      </c>
      <c r="AN104" t="s">
        <v>56</v>
      </c>
      <c r="AO104">
        <v>0</v>
      </c>
      <c r="AV104">
        <f>AU104+AM104</f>
        <v>1</v>
      </c>
      <c r="AX104">
        <v>0</v>
      </c>
      <c r="BE104">
        <f>AM104+AU104+BD104</f>
        <v>1</v>
      </c>
      <c r="BG104">
        <v>0</v>
      </c>
      <c r="BJ104" t="s">
        <v>42</v>
      </c>
      <c r="BK104">
        <v>6</v>
      </c>
      <c r="BL104">
        <v>3</v>
      </c>
      <c r="BM104">
        <v>1</v>
      </c>
      <c r="BN104" t="s">
        <v>59</v>
      </c>
      <c r="BO104">
        <v>3</v>
      </c>
      <c r="BP104">
        <v>168</v>
      </c>
      <c r="BQ104">
        <v>0.08</v>
      </c>
      <c r="BR104">
        <v>3</v>
      </c>
      <c r="BS104">
        <v>0.24</v>
      </c>
      <c r="BT104">
        <f>BS104+BD104+AU104+AM104</f>
        <v>1.24</v>
      </c>
      <c r="BU104">
        <v>1</v>
      </c>
      <c r="BV104">
        <v>1</v>
      </c>
      <c r="BW104">
        <v>146.5</v>
      </c>
      <c r="BX104">
        <f>BW104/7</f>
        <v>20.928571428571427</v>
      </c>
      <c r="BY104">
        <f>0.00077*BX104</f>
        <v>1.6114999999999997E-2</v>
      </c>
      <c r="BZ104">
        <f t="shared" si="1"/>
        <v>1.2561150000000001</v>
      </c>
    </row>
    <row r="105" spans="1:78">
      <c r="A105" s="1">
        <v>45163.594502361113</v>
      </c>
      <c r="C105">
        <v>104</v>
      </c>
      <c r="D105" s="10">
        <v>33164</v>
      </c>
      <c r="E105">
        <v>32</v>
      </c>
      <c r="F105">
        <v>2</v>
      </c>
      <c r="G105">
        <v>1</v>
      </c>
      <c r="H105">
        <v>4</v>
      </c>
      <c r="I105" s="10">
        <v>43615</v>
      </c>
      <c r="J105">
        <v>1</v>
      </c>
      <c r="K105">
        <v>1</v>
      </c>
      <c r="L105">
        <v>2</v>
      </c>
      <c r="M105">
        <v>3390</v>
      </c>
      <c r="N105">
        <v>2</v>
      </c>
      <c r="O105" s="10">
        <v>43347</v>
      </c>
      <c r="P105">
        <v>0</v>
      </c>
      <c r="Q105">
        <v>38.285714285714285</v>
      </c>
      <c r="R105">
        <v>2</v>
      </c>
      <c r="S105">
        <v>59</v>
      </c>
      <c r="T105">
        <v>158</v>
      </c>
      <c r="U105">
        <v>70</v>
      </c>
      <c r="V105">
        <v>11</v>
      </c>
      <c r="W105">
        <v>1</v>
      </c>
      <c r="X105">
        <v>23.634033007530842</v>
      </c>
      <c r="Y105">
        <v>28.040378144528116</v>
      </c>
      <c r="Z105">
        <v>4.4063451369972739</v>
      </c>
      <c r="AA105">
        <v>2</v>
      </c>
      <c r="AB105">
        <v>3</v>
      </c>
      <c r="AC105" t="s">
        <v>33</v>
      </c>
      <c r="AD105">
        <v>3</v>
      </c>
      <c r="AE105">
        <v>0</v>
      </c>
      <c r="AG105">
        <v>5</v>
      </c>
      <c r="AH105">
        <v>1</v>
      </c>
      <c r="AI105">
        <v>1</v>
      </c>
      <c r="AJ105">
        <v>1</v>
      </c>
      <c r="AK105">
        <v>7</v>
      </c>
      <c r="AL105">
        <v>1</v>
      </c>
      <c r="AM105">
        <f>AJ105*AK105*AL105/7</f>
        <v>1</v>
      </c>
      <c r="AN105" t="s">
        <v>56</v>
      </c>
      <c r="AO105">
        <v>0</v>
      </c>
      <c r="AV105">
        <f>AU105+AM105</f>
        <v>1</v>
      </c>
      <c r="AW105" t="s">
        <v>137</v>
      </c>
      <c r="AX105">
        <v>1</v>
      </c>
      <c r="AY105" t="s">
        <v>137</v>
      </c>
      <c r="AZ105">
        <v>9</v>
      </c>
      <c r="BA105">
        <v>0.8</v>
      </c>
      <c r="BB105">
        <v>7</v>
      </c>
      <c r="BC105">
        <v>1</v>
      </c>
      <c r="BD105">
        <f>BA105*BB105*1/7</f>
        <v>0.8</v>
      </c>
      <c r="BE105">
        <f>AM105+AU105+BD105</f>
        <v>1.8</v>
      </c>
      <c r="BF105" t="s">
        <v>137</v>
      </c>
      <c r="BG105">
        <v>0</v>
      </c>
      <c r="BH105">
        <v>7</v>
      </c>
      <c r="BI105">
        <v>1</v>
      </c>
      <c r="BJ105" t="s">
        <v>49</v>
      </c>
      <c r="BK105">
        <v>5</v>
      </c>
      <c r="BL105">
        <v>1</v>
      </c>
      <c r="BM105">
        <v>1</v>
      </c>
      <c r="BN105" t="s">
        <v>138</v>
      </c>
      <c r="BO105">
        <v>1</v>
      </c>
      <c r="BP105">
        <v>12.5</v>
      </c>
      <c r="BQ105">
        <v>0.13</v>
      </c>
      <c r="BR105">
        <v>0.5</v>
      </c>
      <c r="BS105">
        <v>6.5000000000000002E-2</v>
      </c>
      <c r="BT105">
        <f>BS105+BD105+AU105+AM105</f>
        <v>1.865</v>
      </c>
      <c r="BU105">
        <v>1</v>
      </c>
      <c r="BV105">
        <v>0.5</v>
      </c>
      <c r="BW105">
        <v>73.25</v>
      </c>
      <c r="BX105">
        <f>BW105/7</f>
        <v>10.464285714285714</v>
      </c>
      <c r="BY105">
        <f>0.00077*BX105</f>
        <v>8.0574999999999987E-3</v>
      </c>
      <c r="BZ105">
        <f t="shared" si="1"/>
        <v>1.8730575</v>
      </c>
    </row>
    <row r="106" spans="1:78">
      <c r="A106" s="1">
        <v>45163.63427224537</v>
      </c>
      <c r="B106" t="s">
        <v>865</v>
      </c>
      <c r="C106">
        <v>105</v>
      </c>
      <c r="D106" s="10">
        <v>33824</v>
      </c>
      <c r="E106">
        <v>31</v>
      </c>
      <c r="F106">
        <v>2</v>
      </c>
      <c r="G106">
        <v>1</v>
      </c>
      <c r="H106">
        <v>5</v>
      </c>
      <c r="I106" s="10">
        <v>43439</v>
      </c>
      <c r="J106">
        <v>1</v>
      </c>
      <c r="K106">
        <v>1</v>
      </c>
      <c r="L106">
        <v>2</v>
      </c>
      <c r="M106">
        <v>3900</v>
      </c>
      <c r="N106">
        <v>2</v>
      </c>
      <c r="O106" s="10">
        <v>43166</v>
      </c>
      <c r="P106">
        <v>0</v>
      </c>
      <c r="Q106">
        <v>39</v>
      </c>
      <c r="R106">
        <v>2</v>
      </c>
      <c r="S106">
        <v>66</v>
      </c>
      <c r="T106">
        <v>166</v>
      </c>
      <c r="U106">
        <v>76</v>
      </c>
      <c r="V106">
        <v>10</v>
      </c>
      <c r="W106">
        <v>1</v>
      </c>
      <c r="X106">
        <v>23.951226593119468</v>
      </c>
      <c r="Y106">
        <v>27.580200319349689</v>
      </c>
      <c r="Z106">
        <v>3.6289737262302211</v>
      </c>
      <c r="AA106">
        <v>2</v>
      </c>
      <c r="AB106">
        <v>3</v>
      </c>
      <c r="AC106" t="s">
        <v>33</v>
      </c>
      <c r="AD106">
        <v>3</v>
      </c>
      <c r="AE106">
        <v>0</v>
      </c>
      <c r="AG106">
        <v>5</v>
      </c>
      <c r="AH106">
        <v>1</v>
      </c>
      <c r="AI106">
        <v>6</v>
      </c>
      <c r="AJ106">
        <v>1</v>
      </c>
      <c r="AK106">
        <v>7</v>
      </c>
      <c r="AL106">
        <v>1</v>
      </c>
      <c r="AM106">
        <f>AJ106*AK106*AL106/7</f>
        <v>1</v>
      </c>
      <c r="AN106" t="s">
        <v>373</v>
      </c>
      <c r="AO106">
        <v>0</v>
      </c>
      <c r="AV106">
        <f>AU106+AM106</f>
        <v>1</v>
      </c>
      <c r="AW106" t="s">
        <v>665</v>
      </c>
      <c r="AX106">
        <v>1</v>
      </c>
      <c r="AY106" t="s">
        <v>665</v>
      </c>
      <c r="BE106">
        <f>AM106+AU106+BD106</f>
        <v>1</v>
      </c>
      <c r="BF106" t="s">
        <v>665</v>
      </c>
      <c r="BG106">
        <v>0</v>
      </c>
      <c r="BH106">
        <v>7</v>
      </c>
      <c r="BI106">
        <v>1</v>
      </c>
      <c r="BJ106" t="s">
        <v>42</v>
      </c>
      <c r="BK106">
        <v>6</v>
      </c>
      <c r="BL106">
        <v>1</v>
      </c>
      <c r="BM106">
        <v>1</v>
      </c>
      <c r="BN106" t="s">
        <v>591</v>
      </c>
      <c r="BO106">
        <v>10</v>
      </c>
      <c r="BP106">
        <v>30.5</v>
      </c>
      <c r="BQ106">
        <v>0.04</v>
      </c>
      <c r="BR106">
        <v>0.5</v>
      </c>
      <c r="BS106">
        <v>0.02</v>
      </c>
      <c r="BT106">
        <f>BS106+BD106+AU106+AM106</f>
        <v>1.02</v>
      </c>
      <c r="BU106">
        <v>1</v>
      </c>
      <c r="BV106">
        <v>2</v>
      </c>
      <c r="BW106">
        <v>293</v>
      </c>
      <c r="BX106">
        <f>BW106/7</f>
        <v>41.857142857142854</v>
      </c>
      <c r="BY106">
        <f>0.00077*BX106</f>
        <v>3.2229999999999995E-2</v>
      </c>
      <c r="BZ106">
        <f t="shared" si="1"/>
        <v>1.05223</v>
      </c>
    </row>
    <row r="107" spans="1:78">
      <c r="A107" s="1">
        <v>45163.673474930554</v>
      </c>
      <c r="C107">
        <v>106</v>
      </c>
      <c r="D107" s="10">
        <v>32272</v>
      </c>
      <c r="E107">
        <v>35</v>
      </c>
      <c r="F107">
        <v>2</v>
      </c>
      <c r="G107">
        <v>1</v>
      </c>
      <c r="H107">
        <v>5</v>
      </c>
      <c r="I107" s="10">
        <v>43013</v>
      </c>
      <c r="J107">
        <v>2</v>
      </c>
      <c r="K107">
        <v>0</v>
      </c>
      <c r="L107">
        <v>1</v>
      </c>
      <c r="M107">
        <v>3440</v>
      </c>
      <c r="N107">
        <v>2</v>
      </c>
      <c r="O107" s="10">
        <v>42747</v>
      </c>
      <c r="P107">
        <v>0</v>
      </c>
      <c r="Q107">
        <v>38</v>
      </c>
      <c r="R107">
        <v>2</v>
      </c>
      <c r="S107">
        <v>63</v>
      </c>
      <c r="T107">
        <v>167</v>
      </c>
      <c r="U107">
        <v>75</v>
      </c>
      <c r="V107">
        <v>12</v>
      </c>
      <c r="W107">
        <v>2</v>
      </c>
      <c r="X107">
        <v>22.589551436050055</v>
      </c>
      <c r="Y107">
        <v>26.892323138154829</v>
      </c>
      <c r="Z107">
        <v>4.3027717021047742</v>
      </c>
      <c r="AA107">
        <v>2</v>
      </c>
      <c r="AB107">
        <v>3</v>
      </c>
      <c r="AC107" t="s">
        <v>33</v>
      </c>
      <c r="AD107">
        <v>3</v>
      </c>
      <c r="AE107">
        <v>0</v>
      </c>
      <c r="AG107">
        <v>5</v>
      </c>
      <c r="AH107">
        <v>1</v>
      </c>
      <c r="AI107">
        <v>2</v>
      </c>
      <c r="AJ107">
        <v>5</v>
      </c>
      <c r="AK107">
        <v>7</v>
      </c>
      <c r="AL107">
        <v>1</v>
      </c>
      <c r="AM107">
        <f>AJ107*AK107*AL107/7</f>
        <v>5</v>
      </c>
      <c r="AN107" t="s">
        <v>57</v>
      </c>
      <c r="AO107">
        <v>0</v>
      </c>
      <c r="AV107">
        <f>AU107+AM107</f>
        <v>5</v>
      </c>
      <c r="AW107" t="s">
        <v>61</v>
      </c>
      <c r="AX107">
        <v>1</v>
      </c>
      <c r="AY107" t="s">
        <v>61</v>
      </c>
      <c r="AZ107">
        <v>2</v>
      </c>
      <c r="BA107">
        <v>0.27</v>
      </c>
      <c r="BB107">
        <v>7</v>
      </c>
      <c r="BC107">
        <v>1</v>
      </c>
      <c r="BD107">
        <f>BA107*BB107*1/7</f>
        <v>0.27</v>
      </c>
      <c r="BE107">
        <f>AM107+AU107+BD107</f>
        <v>5.27</v>
      </c>
      <c r="BF107" t="s">
        <v>61</v>
      </c>
      <c r="BG107">
        <v>0</v>
      </c>
      <c r="BH107">
        <v>7</v>
      </c>
      <c r="BI107">
        <v>1</v>
      </c>
      <c r="BJ107" t="s">
        <v>36</v>
      </c>
      <c r="BK107">
        <v>4</v>
      </c>
      <c r="BL107">
        <v>3</v>
      </c>
      <c r="BM107">
        <v>1</v>
      </c>
      <c r="BN107" t="s">
        <v>30</v>
      </c>
      <c r="BO107">
        <v>1</v>
      </c>
      <c r="BP107">
        <v>42</v>
      </c>
      <c r="BQ107">
        <v>0.13</v>
      </c>
      <c r="BR107">
        <v>0.5</v>
      </c>
      <c r="BS107">
        <v>6.5000000000000002E-2</v>
      </c>
      <c r="BT107">
        <f>BS107+BD107+AU107+AM107</f>
        <v>5.335</v>
      </c>
      <c r="BU107">
        <v>1</v>
      </c>
      <c r="BV107">
        <v>1</v>
      </c>
      <c r="BW107">
        <v>146.5</v>
      </c>
      <c r="BX107">
        <f>BW107/7</f>
        <v>20.928571428571427</v>
      </c>
      <c r="BY107">
        <f>0.00077*BX107</f>
        <v>1.6114999999999997E-2</v>
      </c>
      <c r="BZ107">
        <f t="shared" si="1"/>
        <v>5.3511150000000001</v>
      </c>
    </row>
    <row r="108" spans="1:78">
      <c r="A108" s="1">
        <v>45163.731396354167</v>
      </c>
      <c r="C108">
        <v>107</v>
      </c>
      <c r="D108" s="10">
        <v>33112</v>
      </c>
      <c r="E108">
        <v>32</v>
      </c>
      <c r="F108">
        <v>1</v>
      </c>
      <c r="G108">
        <v>1</v>
      </c>
      <c r="H108">
        <v>5</v>
      </c>
      <c r="I108" s="10">
        <v>44263</v>
      </c>
      <c r="J108">
        <v>2</v>
      </c>
      <c r="K108">
        <v>0</v>
      </c>
      <c r="L108">
        <v>1</v>
      </c>
      <c r="M108">
        <v>3800</v>
      </c>
      <c r="N108">
        <v>2</v>
      </c>
      <c r="O108" s="10">
        <v>43997</v>
      </c>
      <c r="P108">
        <v>1</v>
      </c>
      <c r="Q108">
        <v>38</v>
      </c>
      <c r="R108">
        <v>2</v>
      </c>
      <c r="S108">
        <v>73</v>
      </c>
      <c r="T108">
        <v>170</v>
      </c>
      <c r="U108">
        <v>98</v>
      </c>
      <c r="V108">
        <v>25</v>
      </c>
      <c r="W108">
        <v>3</v>
      </c>
      <c r="X108">
        <v>25.259515570934258</v>
      </c>
      <c r="Y108">
        <v>33.910034602076131</v>
      </c>
      <c r="Z108">
        <v>8.6505190311418723</v>
      </c>
      <c r="AA108">
        <v>3</v>
      </c>
      <c r="AB108">
        <v>4</v>
      </c>
      <c r="AC108" t="s">
        <v>25</v>
      </c>
      <c r="AD108">
        <v>1</v>
      </c>
      <c r="AE108">
        <v>0</v>
      </c>
      <c r="AG108">
        <v>5</v>
      </c>
      <c r="AH108">
        <v>0</v>
      </c>
      <c r="AI108">
        <v>0</v>
      </c>
      <c r="AO108">
        <v>0</v>
      </c>
      <c r="AX108">
        <v>0</v>
      </c>
      <c r="BG108">
        <v>0</v>
      </c>
      <c r="BJ108" t="s">
        <v>51</v>
      </c>
      <c r="BK108">
        <v>1</v>
      </c>
      <c r="BL108">
        <v>1</v>
      </c>
      <c r="BM108">
        <v>1</v>
      </c>
      <c r="BN108" t="s">
        <v>30</v>
      </c>
      <c r="BO108">
        <v>1</v>
      </c>
      <c r="BP108">
        <v>168</v>
      </c>
      <c r="BQ108">
        <v>0.13</v>
      </c>
      <c r="BR108">
        <v>2</v>
      </c>
      <c r="BS108">
        <v>0.26</v>
      </c>
      <c r="BT108">
        <f>BS108+BD108+AU108+AM108</f>
        <v>0.26</v>
      </c>
      <c r="BU108">
        <v>1</v>
      </c>
      <c r="BV108">
        <v>2</v>
      </c>
      <c r="BW108">
        <v>293</v>
      </c>
      <c r="BX108">
        <f>BW108/7</f>
        <v>41.857142857142854</v>
      </c>
      <c r="BY108">
        <f>0.00077*BX108</f>
        <v>3.2229999999999995E-2</v>
      </c>
      <c r="BZ108">
        <f t="shared" si="1"/>
        <v>0.29222999999999999</v>
      </c>
    </row>
    <row r="109" spans="1:78">
      <c r="A109" s="1">
        <v>45163.822823182869</v>
      </c>
      <c r="C109">
        <v>108</v>
      </c>
      <c r="D109" s="10">
        <v>28999</v>
      </c>
      <c r="E109">
        <v>44</v>
      </c>
      <c r="F109">
        <v>1</v>
      </c>
      <c r="G109">
        <v>2</v>
      </c>
      <c r="H109">
        <v>5</v>
      </c>
      <c r="I109" s="10">
        <v>44168</v>
      </c>
      <c r="J109">
        <v>4</v>
      </c>
      <c r="K109">
        <v>0</v>
      </c>
      <c r="L109">
        <v>2</v>
      </c>
      <c r="M109">
        <v>3650</v>
      </c>
      <c r="N109">
        <v>2</v>
      </c>
      <c r="O109" s="10">
        <v>43884</v>
      </c>
      <c r="P109">
        <v>0</v>
      </c>
      <c r="Q109">
        <v>40.571428571428569</v>
      </c>
      <c r="R109">
        <v>2</v>
      </c>
      <c r="S109">
        <v>51</v>
      </c>
      <c r="T109">
        <v>160</v>
      </c>
      <c r="U109">
        <v>61</v>
      </c>
      <c r="V109">
        <v>10</v>
      </c>
      <c r="W109">
        <v>1</v>
      </c>
      <c r="X109">
        <v>19.921874999999996</v>
      </c>
      <c r="Y109">
        <v>23.828124999999996</v>
      </c>
      <c r="Z109">
        <v>3.90625</v>
      </c>
      <c r="AA109">
        <v>2</v>
      </c>
      <c r="AB109">
        <v>2</v>
      </c>
      <c r="AC109" t="s">
        <v>33</v>
      </c>
      <c r="AD109">
        <v>3</v>
      </c>
      <c r="AE109">
        <v>0</v>
      </c>
      <c r="AG109">
        <v>5</v>
      </c>
      <c r="AH109">
        <v>1</v>
      </c>
      <c r="AI109">
        <v>5</v>
      </c>
      <c r="AJ109">
        <v>5</v>
      </c>
      <c r="AK109">
        <v>7</v>
      </c>
      <c r="AL109">
        <v>1</v>
      </c>
      <c r="AM109">
        <f>AJ109*AK109*AL109/7</f>
        <v>5</v>
      </c>
      <c r="AN109" t="s">
        <v>27</v>
      </c>
      <c r="AO109">
        <v>0</v>
      </c>
      <c r="AV109">
        <f>AU109+AM109</f>
        <v>5</v>
      </c>
      <c r="AW109" t="s">
        <v>58</v>
      </c>
      <c r="AX109">
        <v>1</v>
      </c>
      <c r="AY109" t="s">
        <v>58</v>
      </c>
      <c r="AZ109">
        <v>1</v>
      </c>
      <c r="BA109">
        <v>0.8</v>
      </c>
      <c r="BB109">
        <v>7</v>
      </c>
      <c r="BC109">
        <v>1</v>
      </c>
      <c r="BD109">
        <f>BA109*BB109*1/7</f>
        <v>0.8</v>
      </c>
      <c r="BE109">
        <f>AM109+AU109+BD109</f>
        <v>5.8</v>
      </c>
      <c r="BF109" t="s">
        <v>58</v>
      </c>
      <c r="BG109">
        <v>0</v>
      </c>
      <c r="BH109">
        <v>7</v>
      </c>
      <c r="BI109">
        <v>1</v>
      </c>
      <c r="BJ109" t="s">
        <v>42</v>
      </c>
      <c r="BK109">
        <v>6</v>
      </c>
      <c r="BL109">
        <v>1</v>
      </c>
      <c r="BM109">
        <v>1</v>
      </c>
      <c r="BN109" t="s">
        <v>55</v>
      </c>
      <c r="BO109">
        <v>2</v>
      </c>
      <c r="BP109">
        <v>67</v>
      </c>
      <c r="BQ109">
        <v>0.1</v>
      </c>
      <c r="BR109">
        <v>1</v>
      </c>
      <c r="BS109">
        <v>0.1</v>
      </c>
      <c r="BT109">
        <f>BS109+BD109+AU109+AM109</f>
        <v>5.9</v>
      </c>
      <c r="BU109">
        <v>1</v>
      </c>
      <c r="BV109">
        <v>3</v>
      </c>
      <c r="BW109">
        <v>439.5</v>
      </c>
      <c r="BX109">
        <f>BW109/7</f>
        <v>62.785714285714285</v>
      </c>
      <c r="BY109">
        <f>0.00077*BX109</f>
        <v>4.8344999999999999E-2</v>
      </c>
      <c r="BZ109">
        <f t="shared" si="1"/>
        <v>5.9483450000000007</v>
      </c>
    </row>
    <row r="110" spans="1:78">
      <c r="A110" s="1">
        <v>45166.481616817131</v>
      </c>
      <c r="C110">
        <v>109</v>
      </c>
      <c r="D110" s="10">
        <v>31903</v>
      </c>
      <c r="E110">
        <v>36</v>
      </c>
      <c r="F110">
        <v>1</v>
      </c>
      <c r="G110">
        <v>1</v>
      </c>
      <c r="H110">
        <v>4</v>
      </c>
      <c r="I110" s="10">
        <v>43705</v>
      </c>
      <c r="J110">
        <v>1</v>
      </c>
      <c r="K110">
        <v>1</v>
      </c>
      <c r="L110">
        <v>2</v>
      </c>
      <c r="M110">
        <v>3695</v>
      </c>
      <c r="N110">
        <v>2</v>
      </c>
      <c r="O110" s="10">
        <v>43420</v>
      </c>
      <c r="P110">
        <v>0</v>
      </c>
      <c r="Q110">
        <v>40.714285714285715</v>
      </c>
      <c r="R110">
        <v>2</v>
      </c>
      <c r="S110">
        <v>55</v>
      </c>
      <c r="T110">
        <v>154</v>
      </c>
      <c r="U110">
        <v>66</v>
      </c>
      <c r="V110">
        <v>11</v>
      </c>
      <c r="W110">
        <v>1</v>
      </c>
      <c r="X110">
        <v>23.19109461966605</v>
      </c>
      <c r="Y110">
        <v>27.829313543599259</v>
      </c>
      <c r="Z110">
        <v>4.6382189239332092</v>
      </c>
      <c r="AA110">
        <v>2</v>
      </c>
      <c r="AB110">
        <v>3</v>
      </c>
      <c r="AC110" t="s">
        <v>33</v>
      </c>
      <c r="AD110">
        <v>3</v>
      </c>
      <c r="AE110">
        <v>0</v>
      </c>
      <c r="AG110">
        <v>5</v>
      </c>
      <c r="AH110">
        <v>1</v>
      </c>
      <c r="AI110">
        <v>17</v>
      </c>
      <c r="AJ110">
        <v>0.6</v>
      </c>
      <c r="AK110">
        <v>7</v>
      </c>
      <c r="AL110">
        <v>1</v>
      </c>
      <c r="AM110">
        <f>AJ110*AK110*AL110/7</f>
        <v>0.6</v>
      </c>
      <c r="AN110" t="s">
        <v>140</v>
      </c>
      <c r="AO110">
        <v>0</v>
      </c>
      <c r="AV110">
        <f>AU110+AM110</f>
        <v>0.6</v>
      </c>
      <c r="AX110">
        <v>0</v>
      </c>
      <c r="BE110">
        <f>AM110+AU110+BD110</f>
        <v>0.6</v>
      </c>
      <c r="BG110">
        <v>0</v>
      </c>
      <c r="BJ110" t="s">
        <v>42</v>
      </c>
      <c r="BK110">
        <v>6</v>
      </c>
      <c r="BL110">
        <v>1</v>
      </c>
      <c r="BM110">
        <v>1</v>
      </c>
      <c r="BN110" t="s">
        <v>30</v>
      </c>
      <c r="BO110">
        <v>1</v>
      </c>
      <c r="BP110">
        <v>84</v>
      </c>
      <c r="BQ110">
        <v>0.13</v>
      </c>
      <c r="BR110">
        <v>1</v>
      </c>
      <c r="BS110">
        <v>0.13</v>
      </c>
      <c r="BT110">
        <f>BS110+BD110+AU110+AM110</f>
        <v>0.73</v>
      </c>
      <c r="BU110">
        <v>1</v>
      </c>
      <c r="BV110">
        <v>1</v>
      </c>
      <c r="BW110">
        <v>146.5</v>
      </c>
      <c r="BX110">
        <f>BW110/7</f>
        <v>20.928571428571427</v>
      </c>
      <c r="BY110">
        <f>0.00077*BX110</f>
        <v>1.6114999999999997E-2</v>
      </c>
      <c r="BZ110">
        <f t="shared" si="1"/>
        <v>0.74611499999999997</v>
      </c>
    </row>
    <row r="111" spans="1:78">
      <c r="A111" s="1">
        <v>45166.498683148151</v>
      </c>
      <c r="C111">
        <v>110</v>
      </c>
      <c r="D111" s="10">
        <v>31850</v>
      </c>
      <c r="E111">
        <v>36</v>
      </c>
      <c r="F111">
        <v>1</v>
      </c>
      <c r="G111">
        <v>6</v>
      </c>
      <c r="H111">
        <v>5</v>
      </c>
      <c r="I111" s="10">
        <v>44136</v>
      </c>
      <c r="J111">
        <v>1</v>
      </c>
      <c r="K111">
        <v>1</v>
      </c>
      <c r="L111">
        <v>1</v>
      </c>
      <c r="M111">
        <v>3090</v>
      </c>
      <c r="N111">
        <v>2</v>
      </c>
      <c r="O111" s="10">
        <v>43863</v>
      </c>
      <c r="P111">
        <v>0</v>
      </c>
      <c r="Q111">
        <v>39</v>
      </c>
      <c r="R111">
        <v>2</v>
      </c>
      <c r="S111">
        <v>67</v>
      </c>
      <c r="T111">
        <v>170</v>
      </c>
      <c r="U111">
        <v>77</v>
      </c>
      <c r="V111">
        <v>10</v>
      </c>
      <c r="W111">
        <v>1</v>
      </c>
      <c r="X111">
        <v>23.183391003460208</v>
      </c>
      <c r="Y111">
        <v>26.643598615916957</v>
      </c>
      <c r="Z111">
        <v>3.4602076124567489</v>
      </c>
      <c r="AA111">
        <v>2</v>
      </c>
      <c r="AB111">
        <v>3</v>
      </c>
      <c r="AC111" t="s">
        <v>44</v>
      </c>
      <c r="AD111">
        <v>1</v>
      </c>
      <c r="AE111">
        <v>0</v>
      </c>
      <c r="AG111">
        <v>5</v>
      </c>
      <c r="AH111">
        <v>1</v>
      </c>
      <c r="AI111">
        <v>13</v>
      </c>
      <c r="AJ111">
        <v>1</v>
      </c>
      <c r="AK111">
        <v>7</v>
      </c>
      <c r="AL111">
        <v>1</v>
      </c>
      <c r="AM111">
        <f>AJ111*AK111*AL111/7</f>
        <v>1</v>
      </c>
      <c r="AN111" t="s">
        <v>79</v>
      </c>
      <c r="AO111">
        <v>0</v>
      </c>
      <c r="AV111">
        <f>AU111+AM111</f>
        <v>1</v>
      </c>
      <c r="AW111" t="s">
        <v>141</v>
      </c>
      <c r="AX111">
        <v>1</v>
      </c>
      <c r="AY111" t="s">
        <v>879</v>
      </c>
      <c r="AZ111">
        <v>16</v>
      </c>
      <c r="BA111" t="s">
        <v>258</v>
      </c>
      <c r="BB111">
        <v>7</v>
      </c>
      <c r="BC111">
        <v>2</v>
      </c>
      <c r="BE111">
        <f>AM111+AU111+BD111</f>
        <v>1</v>
      </c>
      <c r="BF111" t="s">
        <v>879</v>
      </c>
      <c r="BG111">
        <v>1</v>
      </c>
      <c r="BH111">
        <v>7</v>
      </c>
      <c r="BI111">
        <v>2</v>
      </c>
      <c r="BJ111" t="s">
        <v>49</v>
      </c>
      <c r="BK111">
        <v>5</v>
      </c>
      <c r="BL111">
        <v>4</v>
      </c>
      <c r="BM111">
        <v>1</v>
      </c>
      <c r="BN111" t="s">
        <v>143</v>
      </c>
      <c r="BO111">
        <v>13</v>
      </c>
      <c r="BP111">
        <v>22.5</v>
      </c>
      <c r="BQ111">
        <v>0.05</v>
      </c>
      <c r="BR111">
        <v>0.5</v>
      </c>
      <c r="BS111">
        <v>2.5000000000000001E-2</v>
      </c>
      <c r="BT111">
        <f>BS111+BD111+AU111+AM111</f>
        <v>1.0249999999999999</v>
      </c>
      <c r="BU111">
        <v>1</v>
      </c>
      <c r="BV111">
        <v>0.5</v>
      </c>
      <c r="BW111">
        <v>73.25</v>
      </c>
      <c r="BX111">
        <f>BW111/7</f>
        <v>10.464285714285714</v>
      </c>
      <c r="BY111">
        <f>0.00077*BX111</f>
        <v>8.0574999999999987E-3</v>
      </c>
      <c r="BZ111">
        <f t="shared" si="1"/>
        <v>1.0330575</v>
      </c>
    </row>
    <row r="112" spans="1:78">
      <c r="A112" s="1">
        <v>45166.499477395831</v>
      </c>
      <c r="C112">
        <v>111</v>
      </c>
      <c r="D112" s="10">
        <v>31955</v>
      </c>
      <c r="E112">
        <v>36</v>
      </c>
      <c r="F112">
        <v>1</v>
      </c>
      <c r="G112">
        <v>1</v>
      </c>
      <c r="H112">
        <v>4</v>
      </c>
      <c r="I112" s="10">
        <v>43475</v>
      </c>
      <c r="J112">
        <v>1</v>
      </c>
      <c r="K112">
        <v>1</v>
      </c>
      <c r="L112">
        <v>2</v>
      </c>
      <c r="M112">
        <v>3330</v>
      </c>
      <c r="N112">
        <v>2</v>
      </c>
      <c r="O112" s="10">
        <v>43216</v>
      </c>
      <c r="P112">
        <v>0</v>
      </c>
      <c r="Q112">
        <v>37</v>
      </c>
      <c r="R112">
        <v>2</v>
      </c>
      <c r="S112">
        <v>80</v>
      </c>
      <c r="T112">
        <v>161</v>
      </c>
      <c r="U112">
        <v>104</v>
      </c>
      <c r="V112">
        <v>24</v>
      </c>
      <c r="W112">
        <v>3</v>
      </c>
      <c r="X112">
        <v>30.863006828440259</v>
      </c>
      <c r="Y112">
        <v>40.121908876972334</v>
      </c>
      <c r="Z112">
        <v>9.2589020485320752</v>
      </c>
      <c r="AA112">
        <v>4</v>
      </c>
      <c r="AB112">
        <v>4</v>
      </c>
      <c r="AC112" t="s">
        <v>33</v>
      </c>
      <c r="AD112">
        <v>3</v>
      </c>
      <c r="AE112">
        <v>1</v>
      </c>
      <c r="AF112" t="s">
        <v>144</v>
      </c>
      <c r="AG112">
        <v>2</v>
      </c>
      <c r="AH112">
        <v>1</v>
      </c>
      <c r="AI112">
        <v>5</v>
      </c>
      <c r="AJ112">
        <v>5</v>
      </c>
      <c r="AK112">
        <v>7</v>
      </c>
      <c r="AL112">
        <v>1</v>
      </c>
      <c r="AM112">
        <f>AJ112*AK112*AL112/7</f>
        <v>5</v>
      </c>
      <c r="AN112" t="s">
        <v>27</v>
      </c>
      <c r="AO112">
        <v>0</v>
      </c>
      <c r="AV112">
        <f>AU112+AM112</f>
        <v>5</v>
      </c>
      <c r="AX112">
        <v>0</v>
      </c>
      <c r="BE112">
        <f>AM112+AU112+BD112</f>
        <v>5</v>
      </c>
      <c r="BG112">
        <v>0</v>
      </c>
      <c r="BJ112" t="s">
        <v>42</v>
      </c>
      <c r="BK112">
        <v>6</v>
      </c>
      <c r="BL112">
        <v>1</v>
      </c>
      <c r="BM112">
        <v>1</v>
      </c>
      <c r="BN112" t="s">
        <v>30</v>
      </c>
      <c r="BO112">
        <v>1</v>
      </c>
      <c r="BP112">
        <v>168</v>
      </c>
      <c r="BQ112">
        <v>0.13</v>
      </c>
      <c r="BR112">
        <v>2</v>
      </c>
      <c r="BS112">
        <v>0.26</v>
      </c>
      <c r="BT112">
        <f>BS112+BD112+AU112+AM112</f>
        <v>5.26</v>
      </c>
      <c r="BU112">
        <v>1</v>
      </c>
      <c r="BV112">
        <v>3</v>
      </c>
      <c r="BW112">
        <v>439.5</v>
      </c>
      <c r="BX112">
        <f>BW112/7</f>
        <v>62.785714285714285</v>
      </c>
      <c r="BY112">
        <f>0.00077*BX112</f>
        <v>4.8344999999999999E-2</v>
      </c>
      <c r="BZ112">
        <f t="shared" si="1"/>
        <v>5.3083450000000001</v>
      </c>
    </row>
    <row r="113" spans="1:78">
      <c r="A113" s="1">
        <v>45166.523186226856</v>
      </c>
      <c r="C113">
        <v>112</v>
      </c>
      <c r="D113" s="10">
        <v>36034</v>
      </c>
      <c r="E113">
        <v>25</v>
      </c>
      <c r="F113">
        <v>1</v>
      </c>
      <c r="G113">
        <v>1</v>
      </c>
      <c r="H113">
        <v>3</v>
      </c>
      <c r="I113" s="10">
        <v>42851</v>
      </c>
      <c r="J113">
        <v>1</v>
      </c>
      <c r="K113">
        <v>1</v>
      </c>
      <c r="L113">
        <v>1</v>
      </c>
      <c r="M113">
        <v>3450</v>
      </c>
      <c r="N113">
        <v>2</v>
      </c>
      <c r="O113" s="10">
        <v>42578</v>
      </c>
      <c r="P113">
        <v>0</v>
      </c>
      <c r="Q113">
        <v>39</v>
      </c>
      <c r="R113">
        <v>2</v>
      </c>
      <c r="S113">
        <v>60</v>
      </c>
      <c r="T113">
        <v>166</v>
      </c>
      <c r="U113">
        <v>69</v>
      </c>
      <c r="V113">
        <v>9</v>
      </c>
      <c r="W113">
        <v>1</v>
      </c>
      <c r="X113">
        <v>21.773842357381334</v>
      </c>
      <c r="Y113">
        <v>25.039918710988534</v>
      </c>
      <c r="Z113">
        <v>3.2660763536072004</v>
      </c>
      <c r="AA113">
        <v>2</v>
      </c>
      <c r="AB113">
        <v>3</v>
      </c>
      <c r="AC113" t="s">
        <v>33</v>
      </c>
      <c r="AD113">
        <v>3</v>
      </c>
      <c r="AE113">
        <v>0</v>
      </c>
      <c r="AG113">
        <v>5</v>
      </c>
      <c r="AH113">
        <v>1</v>
      </c>
      <c r="AI113">
        <v>13</v>
      </c>
      <c r="AJ113">
        <v>1</v>
      </c>
      <c r="AK113">
        <v>1</v>
      </c>
      <c r="AL113">
        <v>1</v>
      </c>
      <c r="AM113">
        <f>AJ113*AK113*AL113/7</f>
        <v>0.14285714285714285</v>
      </c>
      <c r="AN113" t="s">
        <v>79</v>
      </c>
      <c r="AO113">
        <v>0</v>
      </c>
      <c r="AV113">
        <f>AU113+AM113</f>
        <v>0.14285714285714285</v>
      </c>
      <c r="AX113">
        <v>0</v>
      </c>
      <c r="BE113">
        <f>AM113+AU113+BD113</f>
        <v>0.14285714285714285</v>
      </c>
      <c r="BG113">
        <v>0</v>
      </c>
      <c r="BJ113" t="s">
        <v>49</v>
      </c>
      <c r="BK113">
        <v>5</v>
      </c>
      <c r="BL113">
        <v>1</v>
      </c>
      <c r="BM113">
        <v>1</v>
      </c>
      <c r="BN113" t="s">
        <v>30</v>
      </c>
      <c r="BO113">
        <v>1</v>
      </c>
      <c r="BP113">
        <v>84</v>
      </c>
      <c r="BQ113">
        <v>0.13</v>
      </c>
      <c r="BR113">
        <v>1</v>
      </c>
      <c r="BS113">
        <v>0.13</v>
      </c>
      <c r="BT113">
        <f>BS113+BD113+AU113+AM113</f>
        <v>0.27285714285714285</v>
      </c>
      <c r="BU113">
        <v>1</v>
      </c>
      <c r="BV113">
        <v>4</v>
      </c>
      <c r="BW113">
        <v>586</v>
      </c>
      <c r="BX113">
        <f>BW113/7</f>
        <v>83.714285714285708</v>
      </c>
      <c r="BY113">
        <f>0.00077*BX113</f>
        <v>6.445999999999999E-2</v>
      </c>
      <c r="BZ113">
        <f t="shared" si="1"/>
        <v>0.33731714285714287</v>
      </c>
    </row>
    <row r="114" spans="1:78">
      <c r="A114" s="1">
        <v>45166.553256446758</v>
      </c>
      <c r="C114">
        <v>113</v>
      </c>
      <c r="D114" s="10">
        <v>31032</v>
      </c>
      <c r="E114">
        <v>38</v>
      </c>
      <c r="F114">
        <v>1</v>
      </c>
      <c r="G114">
        <v>1</v>
      </c>
      <c r="H114">
        <v>3</v>
      </c>
      <c r="I114" s="10">
        <v>45102</v>
      </c>
      <c r="J114">
        <v>3</v>
      </c>
      <c r="K114">
        <v>0</v>
      </c>
      <c r="L114">
        <v>2</v>
      </c>
      <c r="M114">
        <v>4075</v>
      </c>
      <c r="N114">
        <v>3</v>
      </c>
      <c r="O114" s="10">
        <v>44829</v>
      </c>
      <c r="P114">
        <v>0</v>
      </c>
      <c r="Q114">
        <v>39</v>
      </c>
      <c r="R114">
        <v>2</v>
      </c>
      <c r="S114">
        <v>84.5</v>
      </c>
      <c r="T114">
        <v>175</v>
      </c>
      <c r="U114">
        <v>99</v>
      </c>
      <c r="V114">
        <v>14.5</v>
      </c>
      <c r="W114">
        <v>3</v>
      </c>
      <c r="X114">
        <v>27.591836734693878</v>
      </c>
      <c r="Y114">
        <v>32.326530612244895</v>
      </c>
      <c r="Z114">
        <v>4.7346938775510168</v>
      </c>
      <c r="AA114">
        <v>3</v>
      </c>
      <c r="AB114">
        <v>4</v>
      </c>
      <c r="AC114" t="s">
        <v>33</v>
      </c>
      <c r="AD114">
        <v>3</v>
      </c>
      <c r="AE114">
        <v>0</v>
      </c>
      <c r="AG114">
        <v>5</v>
      </c>
      <c r="AH114">
        <v>1</v>
      </c>
      <c r="AI114">
        <v>13</v>
      </c>
      <c r="AJ114">
        <v>1</v>
      </c>
      <c r="AK114">
        <v>7</v>
      </c>
      <c r="AL114">
        <v>1</v>
      </c>
      <c r="AM114">
        <f>AJ114*AK114*AL114/7</f>
        <v>1</v>
      </c>
      <c r="AN114" t="s">
        <v>79</v>
      </c>
      <c r="AO114">
        <v>0</v>
      </c>
      <c r="AV114">
        <f>AU114+AM114</f>
        <v>1</v>
      </c>
      <c r="AX114">
        <v>0</v>
      </c>
      <c r="BE114">
        <f>AM114+AU114+BD114</f>
        <v>1</v>
      </c>
      <c r="BG114">
        <v>0</v>
      </c>
      <c r="BJ114" t="s">
        <v>49</v>
      </c>
      <c r="BK114">
        <v>5</v>
      </c>
      <c r="BL114">
        <v>4</v>
      </c>
      <c r="BM114">
        <v>1</v>
      </c>
      <c r="BN114" t="s">
        <v>30</v>
      </c>
      <c r="BO114">
        <v>1</v>
      </c>
      <c r="BP114">
        <v>168</v>
      </c>
      <c r="BQ114">
        <v>0.13</v>
      </c>
      <c r="BR114">
        <v>2</v>
      </c>
      <c r="BS114">
        <v>0.26</v>
      </c>
      <c r="BT114">
        <f>BS114+BD114+AU114+AM114</f>
        <v>1.26</v>
      </c>
      <c r="BU114">
        <v>1</v>
      </c>
      <c r="BV114">
        <v>1</v>
      </c>
      <c r="BW114">
        <v>146.5</v>
      </c>
      <c r="BX114">
        <f>BW114/7</f>
        <v>20.928571428571427</v>
      </c>
      <c r="BY114">
        <f>0.00077*BX114</f>
        <v>1.6114999999999997E-2</v>
      </c>
      <c r="BZ114">
        <f t="shared" si="1"/>
        <v>1.2761150000000001</v>
      </c>
    </row>
    <row r="115" spans="1:78">
      <c r="A115" s="1">
        <v>45166.575800949075</v>
      </c>
      <c r="C115">
        <v>114</v>
      </c>
      <c r="D115" s="10">
        <v>32783</v>
      </c>
      <c r="E115">
        <v>33</v>
      </c>
      <c r="F115">
        <v>1</v>
      </c>
      <c r="G115">
        <v>4</v>
      </c>
      <c r="H115">
        <v>5</v>
      </c>
      <c r="I115" s="10">
        <v>44867</v>
      </c>
      <c r="J115">
        <v>1</v>
      </c>
      <c r="K115">
        <v>1</v>
      </c>
      <c r="L115">
        <v>2</v>
      </c>
      <c r="M115">
        <v>3155</v>
      </c>
      <c r="N115">
        <v>2</v>
      </c>
      <c r="O115" s="10">
        <v>44594</v>
      </c>
      <c r="P115">
        <v>0</v>
      </c>
      <c r="Q115">
        <v>39</v>
      </c>
      <c r="R115">
        <v>2</v>
      </c>
      <c r="S115">
        <v>60</v>
      </c>
      <c r="T115">
        <v>155</v>
      </c>
      <c r="U115">
        <v>74</v>
      </c>
      <c r="V115">
        <v>14</v>
      </c>
      <c r="W115">
        <v>2</v>
      </c>
      <c r="X115">
        <v>24.973985431841829</v>
      </c>
      <c r="Y115">
        <v>30.801248699271589</v>
      </c>
      <c r="Z115">
        <v>5.8272632674297604</v>
      </c>
      <c r="AA115">
        <v>2</v>
      </c>
      <c r="AB115">
        <v>4</v>
      </c>
      <c r="AC115" t="s">
        <v>33</v>
      </c>
      <c r="AD115">
        <v>3</v>
      </c>
      <c r="AE115">
        <v>0</v>
      </c>
      <c r="AG115">
        <v>5</v>
      </c>
      <c r="AH115">
        <v>0</v>
      </c>
      <c r="AI115">
        <v>0</v>
      </c>
      <c r="AN115" t="s">
        <v>146</v>
      </c>
      <c r="AO115">
        <v>0</v>
      </c>
      <c r="AW115" t="s">
        <v>146</v>
      </c>
      <c r="AX115">
        <v>1</v>
      </c>
      <c r="AY115" t="s">
        <v>146</v>
      </c>
      <c r="AZ115">
        <v>4</v>
      </c>
      <c r="BA115">
        <v>0.2</v>
      </c>
      <c r="BB115">
        <v>7</v>
      </c>
      <c r="BC115">
        <v>1</v>
      </c>
      <c r="BD115">
        <f>BA115*BB115*1/7</f>
        <v>0.2</v>
      </c>
      <c r="BE115">
        <f>AM115+AU115+BD115</f>
        <v>0.2</v>
      </c>
      <c r="BF115" t="s">
        <v>146</v>
      </c>
      <c r="BG115">
        <v>0</v>
      </c>
      <c r="BH115">
        <v>7</v>
      </c>
      <c r="BI115">
        <v>1</v>
      </c>
      <c r="BJ115" t="s">
        <v>36</v>
      </c>
      <c r="BK115">
        <v>4</v>
      </c>
      <c r="BL115">
        <v>1</v>
      </c>
      <c r="BM115">
        <v>1</v>
      </c>
      <c r="BN115" t="s">
        <v>37</v>
      </c>
      <c r="BO115">
        <v>4</v>
      </c>
      <c r="BP115">
        <v>55</v>
      </c>
      <c r="BQ115">
        <v>0.05</v>
      </c>
      <c r="BR115">
        <v>1</v>
      </c>
      <c r="BS115">
        <v>0.05</v>
      </c>
      <c r="BT115">
        <f>BS115+BD115+AU115+AM115</f>
        <v>0.25</v>
      </c>
      <c r="BU115">
        <v>1</v>
      </c>
      <c r="BV115">
        <v>1</v>
      </c>
      <c r="BW115">
        <v>146.5</v>
      </c>
      <c r="BX115">
        <f>BW115/7</f>
        <v>20.928571428571427</v>
      </c>
      <c r="BY115">
        <f>0.00077*BX115</f>
        <v>1.6114999999999997E-2</v>
      </c>
      <c r="BZ115">
        <f t="shared" si="1"/>
        <v>0.26611499999999999</v>
      </c>
    </row>
    <row r="116" spans="1:78">
      <c r="A116" s="1">
        <v>45166.617186967589</v>
      </c>
      <c r="C116">
        <v>115</v>
      </c>
      <c r="D116" s="10">
        <v>29560</v>
      </c>
      <c r="E116">
        <v>42</v>
      </c>
      <c r="F116">
        <v>1</v>
      </c>
      <c r="G116">
        <v>15</v>
      </c>
      <c r="H116">
        <v>4</v>
      </c>
      <c r="I116" s="10">
        <v>43052</v>
      </c>
      <c r="J116">
        <v>1</v>
      </c>
      <c r="K116">
        <v>1</v>
      </c>
      <c r="L116">
        <v>2</v>
      </c>
      <c r="M116">
        <v>3750</v>
      </c>
      <c r="N116">
        <v>2</v>
      </c>
      <c r="O116" s="10">
        <v>42770</v>
      </c>
      <c r="P116">
        <v>0</v>
      </c>
      <c r="Q116">
        <v>40.285714285714285</v>
      </c>
      <c r="R116">
        <v>2</v>
      </c>
      <c r="S116">
        <v>58</v>
      </c>
      <c r="T116">
        <v>155</v>
      </c>
      <c r="U116">
        <v>68</v>
      </c>
      <c r="V116">
        <v>10</v>
      </c>
      <c r="W116">
        <v>1</v>
      </c>
      <c r="X116">
        <v>24.141519250780433</v>
      </c>
      <c r="Y116">
        <v>28.303850156087407</v>
      </c>
      <c r="Z116">
        <v>4.1623309053069732</v>
      </c>
      <c r="AA116">
        <v>2</v>
      </c>
      <c r="AB116">
        <v>3</v>
      </c>
      <c r="AC116" t="s">
        <v>44</v>
      </c>
      <c r="AD116">
        <v>1</v>
      </c>
      <c r="AE116">
        <v>0</v>
      </c>
      <c r="AG116">
        <v>5</v>
      </c>
      <c r="AH116">
        <v>1</v>
      </c>
      <c r="AI116">
        <v>5</v>
      </c>
      <c r="AJ116">
        <v>5</v>
      </c>
      <c r="AK116">
        <v>7</v>
      </c>
      <c r="AL116">
        <v>1</v>
      </c>
      <c r="AM116">
        <f>AJ116*AK116*AL116/7</f>
        <v>5</v>
      </c>
      <c r="AN116" t="s">
        <v>27</v>
      </c>
      <c r="AO116">
        <v>0</v>
      </c>
      <c r="AV116">
        <f>AU116+AM116</f>
        <v>5</v>
      </c>
      <c r="AW116" t="s">
        <v>147</v>
      </c>
      <c r="AX116">
        <v>1</v>
      </c>
      <c r="AY116" t="s">
        <v>147</v>
      </c>
      <c r="AZ116">
        <v>1</v>
      </c>
      <c r="BA116">
        <v>0.53500000000000003</v>
      </c>
      <c r="BB116">
        <v>7</v>
      </c>
      <c r="BC116">
        <v>1</v>
      </c>
      <c r="BD116">
        <f>BA116*BB116*1/7</f>
        <v>0.53500000000000003</v>
      </c>
      <c r="BE116">
        <f>AM116+AU116+BD116</f>
        <v>5.5350000000000001</v>
      </c>
      <c r="BF116" t="s">
        <v>147</v>
      </c>
      <c r="BG116">
        <v>0</v>
      </c>
      <c r="BH116">
        <v>7</v>
      </c>
      <c r="BI116">
        <v>1</v>
      </c>
      <c r="BJ116" t="s">
        <v>28</v>
      </c>
      <c r="BK116">
        <v>3</v>
      </c>
      <c r="BL116">
        <v>1</v>
      </c>
      <c r="BM116">
        <v>1</v>
      </c>
      <c r="BN116" t="s">
        <v>148</v>
      </c>
      <c r="BO116">
        <v>13</v>
      </c>
      <c r="BP116">
        <v>45</v>
      </c>
      <c r="BQ116">
        <v>0.05</v>
      </c>
      <c r="BR116">
        <v>1</v>
      </c>
      <c r="BS116">
        <v>0.05</v>
      </c>
      <c r="BT116">
        <f>BS116+BD116+AU116+AM116</f>
        <v>5.585</v>
      </c>
      <c r="BU116">
        <v>1</v>
      </c>
      <c r="BV116">
        <v>0.5</v>
      </c>
      <c r="BW116">
        <v>73.25</v>
      </c>
      <c r="BX116">
        <f>BW116/7</f>
        <v>10.464285714285714</v>
      </c>
      <c r="BY116">
        <f>0.00077*BX116</f>
        <v>8.0574999999999987E-3</v>
      </c>
      <c r="BZ116">
        <f t="shared" si="1"/>
        <v>5.5930574999999996</v>
      </c>
    </row>
    <row r="117" spans="1:78">
      <c r="A117" s="1">
        <v>45166.62867150463</v>
      </c>
      <c r="C117">
        <v>116</v>
      </c>
      <c r="D117" s="10">
        <v>45225</v>
      </c>
      <c r="E117">
        <v>48</v>
      </c>
      <c r="F117">
        <v>1</v>
      </c>
      <c r="G117">
        <v>10</v>
      </c>
      <c r="H117">
        <v>5</v>
      </c>
      <c r="I117" s="10">
        <v>44096</v>
      </c>
      <c r="J117">
        <v>3</v>
      </c>
      <c r="K117">
        <v>0</v>
      </c>
      <c r="L117">
        <v>1</v>
      </c>
      <c r="M117">
        <v>3450</v>
      </c>
      <c r="N117">
        <v>2</v>
      </c>
      <c r="O117" s="10">
        <v>43830</v>
      </c>
      <c r="P117">
        <v>0</v>
      </c>
      <c r="Q117">
        <v>38</v>
      </c>
      <c r="R117">
        <v>2</v>
      </c>
      <c r="S117">
        <v>62</v>
      </c>
      <c r="T117">
        <v>164</v>
      </c>
      <c r="U117">
        <v>67</v>
      </c>
      <c r="V117">
        <v>5</v>
      </c>
      <c r="W117">
        <v>1</v>
      </c>
      <c r="X117">
        <v>23.051754907792983</v>
      </c>
      <c r="Y117">
        <v>24.910767400356935</v>
      </c>
      <c r="Z117">
        <v>1.8590124925639522</v>
      </c>
      <c r="AA117">
        <v>2</v>
      </c>
      <c r="AB117">
        <v>2</v>
      </c>
      <c r="AC117" t="s">
        <v>33</v>
      </c>
      <c r="AD117">
        <v>3</v>
      </c>
      <c r="AE117">
        <v>0</v>
      </c>
      <c r="AG117">
        <v>5</v>
      </c>
      <c r="AH117">
        <v>1</v>
      </c>
      <c r="AI117">
        <v>25</v>
      </c>
      <c r="AJ117">
        <v>1</v>
      </c>
      <c r="AK117">
        <v>7</v>
      </c>
      <c r="AL117">
        <v>1</v>
      </c>
      <c r="AM117">
        <f>AJ117*AK117*AL117/7</f>
        <v>1</v>
      </c>
      <c r="AN117" t="s">
        <v>149</v>
      </c>
      <c r="AO117">
        <v>0</v>
      </c>
      <c r="AV117">
        <f>AU117+AM117</f>
        <v>1</v>
      </c>
      <c r="AX117">
        <v>0</v>
      </c>
      <c r="BE117">
        <f>AM117+AU117+BD117</f>
        <v>1</v>
      </c>
      <c r="BG117">
        <v>0</v>
      </c>
      <c r="BJ117" t="s">
        <v>42</v>
      </c>
      <c r="BK117">
        <v>6</v>
      </c>
      <c r="BL117">
        <v>1</v>
      </c>
      <c r="BM117">
        <v>1</v>
      </c>
      <c r="BN117" t="s">
        <v>30</v>
      </c>
      <c r="BO117">
        <v>1</v>
      </c>
      <c r="BP117">
        <v>168</v>
      </c>
      <c r="BQ117">
        <v>0.13</v>
      </c>
      <c r="BR117">
        <v>2</v>
      </c>
      <c r="BS117">
        <v>0.26</v>
      </c>
      <c r="BT117">
        <f>BS117+BD117+AU117+AM117</f>
        <v>1.26</v>
      </c>
      <c r="BU117">
        <v>1</v>
      </c>
      <c r="BV117">
        <v>2</v>
      </c>
      <c r="BW117">
        <v>293</v>
      </c>
      <c r="BX117">
        <f>BW117/7</f>
        <v>41.857142857142854</v>
      </c>
      <c r="BY117">
        <f>0.00077*BX117</f>
        <v>3.2229999999999995E-2</v>
      </c>
      <c r="BZ117">
        <f t="shared" si="1"/>
        <v>1.29223</v>
      </c>
    </row>
    <row r="118" spans="1:78">
      <c r="A118" s="1">
        <v>45166.635911469908</v>
      </c>
      <c r="C118">
        <v>117</v>
      </c>
      <c r="D118" s="10">
        <v>33592</v>
      </c>
      <c r="E118">
        <v>31</v>
      </c>
      <c r="F118">
        <v>1</v>
      </c>
      <c r="G118">
        <v>4</v>
      </c>
      <c r="H118">
        <v>4</v>
      </c>
      <c r="I118" s="10">
        <v>44799</v>
      </c>
      <c r="J118">
        <v>1</v>
      </c>
      <c r="K118">
        <v>1</v>
      </c>
      <c r="L118">
        <v>2</v>
      </c>
      <c r="M118">
        <v>3219</v>
      </c>
      <c r="N118">
        <v>2</v>
      </c>
      <c r="O118" s="10">
        <v>44516</v>
      </c>
      <c r="P118">
        <v>0</v>
      </c>
      <c r="Q118">
        <v>40.428571428571431</v>
      </c>
      <c r="R118">
        <v>2</v>
      </c>
      <c r="S118">
        <v>57</v>
      </c>
      <c r="T118">
        <v>158</v>
      </c>
      <c r="U118">
        <v>68</v>
      </c>
      <c r="V118">
        <v>11</v>
      </c>
      <c r="W118">
        <v>1</v>
      </c>
      <c r="X118">
        <v>22.832879346258608</v>
      </c>
      <c r="Y118">
        <v>27.239224483255885</v>
      </c>
      <c r="Z118">
        <v>4.4063451369972775</v>
      </c>
      <c r="AA118">
        <v>2</v>
      </c>
      <c r="AB118">
        <v>3</v>
      </c>
      <c r="AC118" t="s">
        <v>123</v>
      </c>
      <c r="AD118">
        <v>2</v>
      </c>
      <c r="AE118">
        <v>0</v>
      </c>
      <c r="AG118">
        <v>5</v>
      </c>
      <c r="AH118">
        <v>1</v>
      </c>
      <c r="AI118">
        <v>4</v>
      </c>
      <c r="AJ118">
        <v>1</v>
      </c>
      <c r="AK118">
        <v>7</v>
      </c>
      <c r="AL118">
        <v>1</v>
      </c>
      <c r="AM118">
        <f>AJ118*AK118*AL118/7</f>
        <v>1</v>
      </c>
      <c r="AN118" t="s">
        <v>43</v>
      </c>
      <c r="AO118">
        <v>0</v>
      </c>
      <c r="AV118">
        <f>AU118+AM118</f>
        <v>1</v>
      </c>
      <c r="AX118">
        <v>0</v>
      </c>
      <c r="BE118">
        <f>AM118+AU118+BD118</f>
        <v>1</v>
      </c>
      <c r="BG118">
        <v>0</v>
      </c>
      <c r="BJ118" t="s">
        <v>49</v>
      </c>
      <c r="BK118">
        <v>5</v>
      </c>
      <c r="BL118">
        <v>3</v>
      </c>
      <c r="BM118">
        <v>1</v>
      </c>
      <c r="BN118" t="s">
        <v>55</v>
      </c>
      <c r="BO118">
        <v>2</v>
      </c>
      <c r="BP118">
        <v>134</v>
      </c>
      <c r="BQ118">
        <v>0.1</v>
      </c>
      <c r="BR118">
        <v>2</v>
      </c>
      <c r="BS118">
        <v>0.2</v>
      </c>
      <c r="BT118">
        <f>BS118+BD118+AU118+AM118</f>
        <v>1.2</v>
      </c>
      <c r="BU118">
        <v>1</v>
      </c>
      <c r="BV118">
        <v>3</v>
      </c>
      <c r="BW118">
        <v>439.5</v>
      </c>
      <c r="BX118">
        <f>BW118/7</f>
        <v>62.785714285714285</v>
      </c>
      <c r="BY118">
        <f>0.00077*BX118</f>
        <v>4.8344999999999999E-2</v>
      </c>
      <c r="BZ118">
        <f t="shared" si="1"/>
        <v>1.248345</v>
      </c>
    </row>
    <row r="119" spans="1:78">
      <c r="A119" s="1">
        <v>45166.652369097224</v>
      </c>
      <c r="C119">
        <v>118</v>
      </c>
      <c r="D119" s="10">
        <v>30237</v>
      </c>
      <c r="E119">
        <v>40</v>
      </c>
      <c r="F119">
        <v>1</v>
      </c>
      <c r="G119">
        <v>10</v>
      </c>
      <c r="H119">
        <v>5</v>
      </c>
      <c r="I119" s="10">
        <v>43872</v>
      </c>
      <c r="J119">
        <v>1</v>
      </c>
      <c r="K119">
        <v>1</v>
      </c>
      <c r="L119">
        <v>2</v>
      </c>
      <c r="M119">
        <v>2460</v>
      </c>
      <c r="N119">
        <v>1</v>
      </c>
      <c r="O119" s="10">
        <v>43606</v>
      </c>
      <c r="P119">
        <v>0</v>
      </c>
      <c r="Q119">
        <v>38</v>
      </c>
      <c r="R119">
        <v>2</v>
      </c>
      <c r="S119">
        <v>60</v>
      </c>
      <c r="T119">
        <v>160</v>
      </c>
      <c r="U119">
        <v>68</v>
      </c>
      <c r="V119">
        <v>8</v>
      </c>
      <c r="W119">
        <v>1</v>
      </c>
      <c r="X119">
        <v>23.437499999999996</v>
      </c>
      <c r="Y119">
        <v>26.562499999999996</v>
      </c>
      <c r="Z119">
        <v>3.125</v>
      </c>
      <c r="AA119">
        <v>2</v>
      </c>
      <c r="AB119">
        <v>3</v>
      </c>
      <c r="AC119" t="s">
        <v>33</v>
      </c>
      <c r="AD119">
        <v>3</v>
      </c>
      <c r="AE119">
        <v>0</v>
      </c>
      <c r="AG119">
        <v>5</v>
      </c>
      <c r="AH119">
        <v>1</v>
      </c>
      <c r="AI119">
        <v>4</v>
      </c>
      <c r="AJ119">
        <v>1</v>
      </c>
      <c r="AK119">
        <v>7</v>
      </c>
      <c r="AL119">
        <v>1</v>
      </c>
      <c r="AM119">
        <f>AJ119*AK119*AL119/7</f>
        <v>1</v>
      </c>
      <c r="AN119" t="s">
        <v>43</v>
      </c>
      <c r="AO119">
        <v>0</v>
      </c>
      <c r="AV119">
        <f>AU119+AM119</f>
        <v>1</v>
      </c>
      <c r="AW119" t="s">
        <v>58</v>
      </c>
      <c r="AX119">
        <v>1</v>
      </c>
      <c r="AY119" t="s">
        <v>58</v>
      </c>
      <c r="AZ119">
        <v>1</v>
      </c>
      <c r="BA119">
        <v>0.8</v>
      </c>
      <c r="BB119">
        <v>7</v>
      </c>
      <c r="BC119">
        <v>1</v>
      </c>
      <c r="BD119">
        <f>BA119*BB119*1/7</f>
        <v>0.8</v>
      </c>
      <c r="BE119">
        <f>AM119+AU119+BD119</f>
        <v>1.8</v>
      </c>
      <c r="BF119" t="s">
        <v>58</v>
      </c>
      <c r="BG119">
        <v>0</v>
      </c>
      <c r="BH119">
        <v>7</v>
      </c>
      <c r="BI119">
        <v>1</v>
      </c>
      <c r="BJ119" t="s">
        <v>28</v>
      </c>
      <c r="BK119">
        <v>3</v>
      </c>
      <c r="BL119">
        <v>1</v>
      </c>
      <c r="BM119">
        <v>1</v>
      </c>
      <c r="BN119" t="s">
        <v>30</v>
      </c>
      <c r="BO119">
        <v>1</v>
      </c>
      <c r="BP119">
        <v>84</v>
      </c>
      <c r="BQ119">
        <v>0.13</v>
      </c>
      <c r="BR119">
        <v>1</v>
      </c>
      <c r="BS119">
        <v>0.13</v>
      </c>
      <c r="BT119">
        <f>BS119+BD119+AU119+AM119</f>
        <v>1.9300000000000002</v>
      </c>
      <c r="BU119">
        <v>1</v>
      </c>
      <c r="BV119">
        <v>1</v>
      </c>
      <c r="BW119">
        <v>146.5</v>
      </c>
      <c r="BX119">
        <f>BW119/7</f>
        <v>20.928571428571427</v>
      </c>
      <c r="BY119">
        <f>0.00077*BX119</f>
        <v>1.6114999999999997E-2</v>
      </c>
      <c r="BZ119">
        <f t="shared" si="1"/>
        <v>1.9461150000000003</v>
      </c>
    </row>
    <row r="120" spans="1:78">
      <c r="A120" s="1">
        <v>45166.696421504632</v>
      </c>
      <c r="C120">
        <v>119</v>
      </c>
      <c r="D120" s="10">
        <v>32793</v>
      </c>
      <c r="E120">
        <v>33</v>
      </c>
      <c r="F120">
        <v>1</v>
      </c>
      <c r="G120">
        <v>1</v>
      </c>
      <c r="H120">
        <v>4</v>
      </c>
      <c r="I120" s="10">
        <v>44916</v>
      </c>
      <c r="J120">
        <v>1</v>
      </c>
      <c r="K120">
        <v>1</v>
      </c>
      <c r="L120">
        <v>2</v>
      </c>
      <c r="M120">
        <v>2450</v>
      </c>
      <c r="N120">
        <v>1</v>
      </c>
      <c r="O120" s="10">
        <v>44650</v>
      </c>
      <c r="P120">
        <v>0</v>
      </c>
      <c r="Q120">
        <v>38</v>
      </c>
      <c r="R120">
        <v>2</v>
      </c>
      <c r="S120">
        <v>50</v>
      </c>
      <c r="T120">
        <v>167</v>
      </c>
      <c r="U120">
        <v>62</v>
      </c>
      <c r="V120">
        <v>12</v>
      </c>
      <c r="W120">
        <v>1</v>
      </c>
      <c r="X120">
        <v>17.928215425436552</v>
      </c>
      <c r="Y120">
        <v>22.230987127541326</v>
      </c>
      <c r="Z120">
        <v>4.3027717021047742</v>
      </c>
      <c r="AA120">
        <v>1</v>
      </c>
      <c r="AB120">
        <v>2</v>
      </c>
      <c r="AC120" t="s">
        <v>33</v>
      </c>
      <c r="AD120">
        <v>3</v>
      </c>
      <c r="AE120">
        <v>1</v>
      </c>
      <c r="AF120" t="s">
        <v>150</v>
      </c>
      <c r="AG120" t="e">
        <v>#N/A</v>
      </c>
      <c r="AH120">
        <v>1</v>
      </c>
      <c r="AI120">
        <v>1</v>
      </c>
      <c r="AJ120">
        <v>1</v>
      </c>
      <c r="AK120">
        <v>7</v>
      </c>
      <c r="AL120">
        <v>1</v>
      </c>
      <c r="AM120">
        <f>AJ120*AK120*AL120/7</f>
        <v>1</v>
      </c>
      <c r="AN120" t="s">
        <v>56</v>
      </c>
      <c r="AO120">
        <v>0</v>
      </c>
      <c r="AV120">
        <f>AU120+AM120</f>
        <v>1</v>
      </c>
      <c r="AW120" t="s">
        <v>58</v>
      </c>
      <c r="AX120">
        <v>1</v>
      </c>
      <c r="AY120" t="s">
        <v>58</v>
      </c>
      <c r="AZ120">
        <v>1</v>
      </c>
      <c r="BA120">
        <v>0.8</v>
      </c>
      <c r="BB120">
        <v>7</v>
      </c>
      <c r="BC120">
        <v>1</v>
      </c>
      <c r="BD120">
        <f>BA120*BB120*1/7</f>
        <v>0.8</v>
      </c>
      <c r="BE120">
        <f>AM120+AU120+BD120</f>
        <v>1.8</v>
      </c>
      <c r="BF120" t="s">
        <v>58</v>
      </c>
      <c r="BG120">
        <v>0</v>
      </c>
      <c r="BH120">
        <v>7</v>
      </c>
      <c r="BI120">
        <v>1</v>
      </c>
      <c r="BJ120" t="s">
        <v>28</v>
      </c>
      <c r="BK120">
        <v>3</v>
      </c>
      <c r="BL120">
        <v>1</v>
      </c>
      <c r="BM120">
        <v>1</v>
      </c>
      <c r="BN120" t="s">
        <v>37</v>
      </c>
      <c r="BO120">
        <v>4</v>
      </c>
      <c r="BP120">
        <v>55</v>
      </c>
      <c r="BQ120">
        <v>0.05</v>
      </c>
      <c r="BR120">
        <v>1</v>
      </c>
      <c r="BS120">
        <v>0.05</v>
      </c>
      <c r="BT120">
        <f>BS120+BD120+AU120+AM120</f>
        <v>1.85</v>
      </c>
      <c r="BU120">
        <v>1</v>
      </c>
      <c r="BV120">
        <v>1</v>
      </c>
      <c r="BW120">
        <v>146.5</v>
      </c>
      <c r="BX120">
        <f>BW120/7</f>
        <v>20.928571428571427</v>
      </c>
      <c r="BY120">
        <f>0.00077*BX120</f>
        <v>1.6114999999999997E-2</v>
      </c>
      <c r="BZ120">
        <f t="shared" si="1"/>
        <v>1.8661150000000002</v>
      </c>
    </row>
    <row r="121" spans="1:78">
      <c r="A121" s="1">
        <v>45166.799150567131</v>
      </c>
      <c r="C121">
        <v>120</v>
      </c>
      <c r="D121" s="10">
        <v>34221</v>
      </c>
      <c r="E121">
        <v>29</v>
      </c>
      <c r="F121">
        <v>1</v>
      </c>
      <c r="G121">
        <v>10</v>
      </c>
      <c r="H121">
        <v>4</v>
      </c>
      <c r="I121" s="10">
        <v>44913</v>
      </c>
      <c r="J121">
        <v>1</v>
      </c>
      <c r="K121">
        <v>1</v>
      </c>
      <c r="L121">
        <v>1</v>
      </c>
      <c r="M121">
        <v>2560</v>
      </c>
      <c r="N121">
        <v>2</v>
      </c>
      <c r="O121" s="10">
        <v>44654</v>
      </c>
      <c r="P121">
        <v>0</v>
      </c>
      <c r="Q121">
        <v>37</v>
      </c>
      <c r="R121">
        <v>2</v>
      </c>
      <c r="S121">
        <v>50.5</v>
      </c>
      <c r="T121">
        <v>153</v>
      </c>
      <c r="U121">
        <v>56.5</v>
      </c>
      <c r="V121">
        <v>6</v>
      </c>
      <c r="W121">
        <v>1</v>
      </c>
      <c r="X121">
        <v>21.572899312230337</v>
      </c>
      <c r="Y121">
        <v>24.136016062198301</v>
      </c>
      <c r="Z121">
        <v>2.5631167499679641</v>
      </c>
      <c r="AA121">
        <v>2</v>
      </c>
      <c r="AB121">
        <v>2</v>
      </c>
      <c r="AC121" t="s">
        <v>33</v>
      </c>
      <c r="AD121">
        <v>3</v>
      </c>
      <c r="AE121">
        <v>0</v>
      </c>
      <c r="AG121">
        <v>5</v>
      </c>
      <c r="AH121">
        <v>1</v>
      </c>
      <c r="AI121">
        <v>1</v>
      </c>
      <c r="AJ121">
        <v>1</v>
      </c>
      <c r="AK121">
        <v>6</v>
      </c>
      <c r="AL121">
        <v>1</v>
      </c>
      <c r="AM121">
        <f>AJ121*AK121*AL121/7</f>
        <v>0.8571428571428571</v>
      </c>
      <c r="AN121" t="s">
        <v>56</v>
      </c>
      <c r="AO121">
        <v>0</v>
      </c>
      <c r="AV121">
        <f>AU121+AM121</f>
        <v>0.8571428571428571</v>
      </c>
      <c r="AW121" t="s">
        <v>151</v>
      </c>
      <c r="AX121">
        <v>0</v>
      </c>
      <c r="BE121">
        <f>AM121+AU121+BD121</f>
        <v>0.8571428571428571</v>
      </c>
      <c r="BF121" t="s">
        <v>151</v>
      </c>
      <c r="BG121">
        <v>1</v>
      </c>
      <c r="BH121">
        <v>5</v>
      </c>
      <c r="BI121">
        <v>1</v>
      </c>
      <c r="BJ121" t="s">
        <v>28</v>
      </c>
      <c r="BK121">
        <v>3</v>
      </c>
      <c r="BL121">
        <v>1</v>
      </c>
      <c r="BM121">
        <v>1</v>
      </c>
      <c r="BN121" t="s">
        <v>152</v>
      </c>
      <c r="BO121">
        <v>4</v>
      </c>
      <c r="BP121">
        <v>45</v>
      </c>
      <c r="BQ121">
        <v>0.05</v>
      </c>
      <c r="BR121">
        <v>1</v>
      </c>
      <c r="BS121">
        <v>0.05</v>
      </c>
      <c r="BT121">
        <f>BS121+BD121+AU121+AM121</f>
        <v>0.90714285714285714</v>
      </c>
      <c r="BU121">
        <v>1</v>
      </c>
      <c r="BV121">
        <v>2</v>
      </c>
      <c r="BW121">
        <v>293</v>
      </c>
      <c r="BX121">
        <f>BW121/7</f>
        <v>41.857142857142854</v>
      </c>
      <c r="BY121">
        <f>0.00077*BX121</f>
        <v>3.2229999999999995E-2</v>
      </c>
      <c r="BZ121">
        <f t="shared" si="1"/>
        <v>0.93937285714285712</v>
      </c>
    </row>
    <row r="122" spans="1:78">
      <c r="A122" s="1">
        <v>45166.815059780092</v>
      </c>
      <c r="C122">
        <v>121</v>
      </c>
      <c r="D122" s="10">
        <v>31657</v>
      </c>
      <c r="E122">
        <v>36</v>
      </c>
      <c r="F122">
        <v>1</v>
      </c>
      <c r="G122">
        <v>1</v>
      </c>
      <c r="H122">
        <v>5</v>
      </c>
      <c r="I122" s="10">
        <v>44919</v>
      </c>
      <c r="J122">
        <v>1</v>
      </c>
      <c r="K122">
        <v>1</v>
      </c>
      <c r="L122">
        <v>2</v>
      </c>
      <c r="M122">
        <v>3200</v>
      </c>
      <c r="N122">
        <v>2</v>
      </c>
      <c r="O122" s="10">
        <v>44646</v>
      </c>
      <c r="P122">
        <v>0</v>
      </c>
      <c r="Q122">
        <v>39</v>
      </c>
      <c r="R122">
        <v>2</v>
      </c>
      <c r="S122">
        <v>67</v>
      </c>
      <c r="T122">
        <v>163</v>
      </c>
      <c r="U122">
        <v>81</v>
      </c>
      <c r="V122">
        <v>14</v>
      </c>
      <c r="W122">
        <v>3</v>
      </c>
      <c r="X122">
        <v>25.217358575783809</v>
      </c>
      <c r="Y122">
        <v>30.48665738266401</v>
      </c>
      <c r="Z122">
        <v>5.2692988068802009</v>
      </c>
      <c r="AA122">
        <v>3</v>
      </c>
      <c r="AB122">
        <v>4</v>
      </c>
      <c r="AC122" t="s">
        <v>33</v>
      </c>
      <c r="AD122">
        <v>3</v>
      </c>
      <c r="AE122">
        <v>0</v>
      </c>
      <c r="AG122">
        <v>5</v>
      </c>
      <c r="AH122">
        <v>1</v>
      </c>
      <c r="AI122">
        <v>5</v>
      </c>
      <c r="AJ122">
        <v>5</v>
      </c>
      <c r="AK122">
        <v>7</v>
      </c>
      <c r="AL122">
        <v>1</v>
      </c>
      <c r="AM122">
        <f>AJ122*AK122*AL122/7</f>
        <v>5</v>
      </c>
      <c r="AN122" t="s">
        <v>27</v>
      </c>
      <c r="AO122">
        <v>0</v>
      </c>
      <c r="AV122">
        <f>AU122+AM122</f>
        <v>5</v>
      </c>
      <c r="AW122" t="s">
        <v>153</v>
      </c>
      <c r="AX122">
        <v>0</v>
      </c>
      <c r="BE122">
        <f>AM122+AU122+BD122</f>
        <v>5</v>
      </c>
      <c r="BF122" t="s">
        <v>153</v>
      </c>
      <c r="BG122">
        <v>1</v>
      </c>
      <c r="BH122">
        <v>7</v>
      </c>
      <c r="BI122">
        <v>1</v>
      </c>
      <c r="BJ122" t="s">
        <v>28</v>
      </c>
      <c r="BK122">
        <v>3</v>
      </c>
      <c r="BL122">
        <v>3</v>
      </c>
      <c r="BM122">
        <v>1</v>
      </c>
      <c r="BN122" t="s">
        <v>30</v>
      </c>
      <c r="BO122">
        <v>1</v>
      </c>
      <c r="BP122">
        <v>84</v>
      </c>
      <c r="BQ122">
        <v>0.13</v>
      </c>
      <c r="BR122">
        <v>1</v>
      </c>
      <c r="BS122">
        <v>0.13</v>
      </c>
      <c r="BT122">
        <f>BS122+BD122+AU122+AM122</f>
        <v>5.13</v>
      </c>
      <c r="BU122">
        <v>1</v>
      </c>
      <c r="BV122">
        <v>3</v>
      </c>
      <c r="BW122">
        <v>439.5</v>
      </c>
      <c r="BX122">
        <f>BW122/7</f>
        <v>62.785714285714285</v>
      </c>
      <c r="BY122">
        <f>0.00077*BX122</f>
        <v>4.8344999999999999E-2</v>
      </c>
      <c r="BZ122">
        <f t="shared" si="1"/>
        <v>5.1783450000000002</v>
      </c>
    </row>
    <row r="123" spans="1:78">
      <c r="A123" s="1">
        <v>45166.83482157407</v>
      </c>
      <c r="C123">
        <v>122</v>
      </c>
      <c r="D123" s="10">
        <v>31746</v>
      </c>
      <c r="E123">
        <v>36</v>
      </c>
      <c r="F123">
        <v>1</v>
      </c>
      <c r="G123">
        <v>1</v>
      </c>
      <c r="H123">
        <v>4</v>
      </c>
      <c r="I123" s="10">
        <v>43830</v>
      </c>
      <c r="J123">
        <v>2</v>
      </c>
      <c r="K123">
        <v>0</v>
      </c>
      <c r="L123">
        <v>2</v>
      </c>
      <c r="M123">
        <v>3450</v>
      </c>
      <c r="N123">
        <v>2</v>
      </c>
      <c r="O123" s="10">
        <v>43571</v>
      </c>
      <c r="P123">
        <v>0</v>
      </c>
      <c r="Q123">
        <v>37</v>
      </c>
      <c r="R123">
        <v>2</v>
      </c>
      <c r="S123">
        <v>56</v>
      </c>
      <c r="T123">
        <v>159</v>
      </c>
      <c r="U123">
        <v>65</v>
      </c>
      <c r="V123">
        <v>9</v>
      </c>
      <c r="W123">
        <v>1</v>
      </c>
      <c r="X123">
        <v>22.151022507021082</v>
      </c>
      <c r="Y123">
        <v>25.711008267078039</v>
      </c>
      <c r="Z123">
        <v>3.5599857600569571</v>
      </c>
      <c r="AA123">
        <v>2</v>
      </c>
      <c r="AB123">
        <v>3</v>
      </c>
      <c r="AC123" t="s">
        <v>33</v>
      </c>
      <c r="AD123">
        <v>3</v>
      </c>
      <c r="AE123">
        <v>0</v>
      </c>
      <c r="AG123">
        <v>5</v>
      </c>
      <c r="AH123">
        <v>1</v>
      </c>
      <c r="AI123">
        <v>2</v>
      </c>
      <c r="AJ123">
        <v>5</v>
      </c>
      <c r="AK123">
        <v>7</v>
      </c>
      <c r="AL123">
        <v>1</v>
      </c>
      <c r="AM123">
        <f>AJ123*AK123*AL123/7</f>
        <v>5</v>
      </c>
      <c r="AN123" t="s">
        <v>57</v>
      </c>
      <c r="AO123">
        <v>0</v>
      </c>
      <c r="AV123">
        <f>AU123+AM123</f>
        <v>5</v>
      </c>
      <c r="AW123" t="s">
        <v>35</v>
      </c>
      <c r="AX123">
        <v>1</v>
      </c>
      <c r="AY123" t="s">
        <v>35</v>
      </c>
      <c r="AZ123">
        <v>12</v>
      </c>
      <c r="BA123">
        <v>0.4</v>
      </c>
      <c r="BB123">
        <v>7</v>
      </c>
      <c r="BC123">
        <v>1</v>
      </c>
      <c r="BD123">
        <f>BA123*BB123*1/7</f>
        <v>0.4</v>
      </c>
      <c r="BE123">
        <f>AM123+AU123+BD123</f>
        <v>5.4</v>
      </c>
      <c r="BF123" t="s">
        <v>35</v>
      </c>
      <c r="BG123">
        <v>0</v>
      </c>
      <c r="BH123">
        <v>7</v>
      </c>
      <c r="BI123">
        <v>1</v>
      </c>
      <c r="BJ123" t="s">
        <v>28</v>
      </c>
      <c r="BK123">
        <v>3</v>
      </c>
      <c r="BL123">
        <v>1</v>
      </c>
      <c r="BM123">
        <v>1</v>
      </c>
      <c r="BN123" t="s">
        <v>30</v>
      </c>
      <c r="BO123">
        <v>1</v>
      </c>
      <c r="BP123">
        <v>168</v>
      </c>
      <c r="BQ123">
        <v>0.13</v>
      </c>
      <c r="BR123">
        <v>2</v>
      </c>
      <c r="BS123">
        <v>0.26</v>
      </c>
      <c r="BT123">
        <f>BS123+BD123+AU123+AM123</f>
        <v>5.66</v>
      </c>
      <c r="BU123">
        <v>1</v>
      </c>
      <c r="BV123">
        <v>2</v>
      </c>
      <c r="BW123">
        <v>293</v>
      </c>
      <c r="BX123">
        <f>BW123/7</f>
        <v>41.857142857142854</v>
      </c>
      <c r="BY123">
        <f>0.00077*BX123</f>
        <v>3.2229999999999995E-2</v>
      </c>
      <c r="BZ123">
        <f t="shared" si="1"/>
        <v>5.6922300000000003</v>
      </c>
    </row>
    <row r="124" spans="1:78">
      <c r="A124" s="1">
        <v>45166.967600370372</v>
      </c>
      <c r="C124">
        <v>123</v>
      </c>
      <c r="D124" s="10">
        <v>35738</v>
      </c>
      <c r="E124">
        <v>25</v>
      </c>
      <c r="F124">
        <v>1</v>
      </c>
      <c r="G124">
        <v>10</v>
      </c>
      <c r="H124">
        <v>4</v>
      </c>
      <c r="I124" s="10">
        <v>44757</v>
      </c>
      <c r="J124">
        <v>1</v>
      </c>
      <c r="K124">
        <v>1</v>
      </c>
      <c r="L124">
        <v>1</v>
      </c>
      <c r="M124">
        <v>3250</v>
      </c>
      <c r="N124">
        <v>2</v>
      </c>
      <c r="O124" s="10">
        <v>44477</v>
      </c>
      <c r="P124">
        <v>1</v>
      </c>
      <c r="Q124">
        <v>40</v>
      </c>
      <c r="R124">
        <v>2</v>
      </c>
      <c r="S124">
        <v>70</v>
      </c>
      <c r="T124">
        <v>154</v>
      </c>
      <c r="U124">
        <v>85</v>
      </c>
      <c r="V124">
        <v>15</v>
      </c>
      <c r="W124">
        <v>3</v>
      </c>
      <c r="X124">
        <v>29.515938606847698</v>
      </c>
      <c r="Y124">
        <v>35.840782594029349</v>
      </c>
      <c r="Z124">
        <v>6.3248439871816515</v>
      </c>
      <c r="AA124">
        <v>3</v>
      </c>
      <c r="AB124">
        <v>4</v>
      </c>
      <c r="AC124" t="s">
        <v>33</v>
      </c>
      <c r="AD124">
        <v>3</v>
      </c>
      <c r="AE124">
        <v>0</v>
      </c>
      <c r="AG124">
        <v>5</v>
      </c>
      <c r="AH124">
        <v>1</v>
      </c>
      <c r="AI124">
        <v>4</v>
      </c>
      <c r="AJ124">
        <v>1</v>
      </c>
      <c r="AK124">
        <v>3</v>
      </c>
      <c r="AL124">
        <v>1</v>
      </c>
      <c r="AM124">
        <f>AJ124*AK124*AL124/7</f>
        <v>0.42857142857142855</v>
      </c>
      <c r="AN124" t="s">
        <v>43</v>
      </c>
      <c r="AO124">
        <v>0</v>
      </c>
      <c r="AV124">
        <f>AU124+AM124</f>
        <v>0.42857142857142855</v>
      </c>
      <c r="AX124">
        <v>0</v>
      </c>
      <c r="BE124">
        <f>AM124+AU124+BD124</f>
        <v>0.42857142857142855</v>
      </c>
      <c r="BG124">
        <v>0</v>
      </c>
      <c r="BJ124" t="s">
        <v>49</v>
      </c>
      <c r="BK124">
        <v>5</v>
      </c>
      <c r="BL124">
        <v>1</v>
      </c>
      <c r="BM124">
        <v>1</v>
      </c>
      <c r="BN124" t="s">
        <v>30</v>
      </c>
      <c r="BO124">
        <v>1</v>
      </c>
      <c r="BP124">
        <v>168</v>
      </c>
      <c r="BQ124">
        <v>0.13</v>
      </c>
      <c r="BR124">
        <v>2</v>
      </c>
      <c r="BS124">
        <v>0.26</v>
      </c>
      <c r="BT124">
        <f>BS124+BD124+AU124+AM124</f>
        <v>0.68857142857142861</v>
      </c>
      <c r="BU124">
        <v>1</v>
      </c>
      <c r="BV124">
        <v>5</v>
      </c>
      <c r="BW124">
        <v>732.5</v>
      </c>
      <c r="BX124">
        <f>BW124/7</f>
        <v>104.64285714285714</v>
      </c>
      <c r="BY124">
        <f>0.00077*BX124</f>
        <v>8.0574999999999994E-2</v>
      </c>
      <c r="BZ124">
        <f t="shared" si="1"/>
        <v>0.76914642857142856</v>
      </c>
    </row>
    <row r="125" spans="1:78">
      <c r="A125" s="1">
        <v>45166.969735567131</v>
      </c>
      <c r="C125">
        <v>124</v>
      </c>
      <c r="D125" s="10">
        <v>33186</v>
      </c>
      <c r="E125">
        <v>32</v>
      </c>
      <c r="F125">
        <v>1</v>
      </c>
      <c r="G125">
        <v>3</v>
      </c>
      <c r="H125">
        <v>4</v>
      </c>
      <c r="I125" s="10">
        <v>44602</v>
      </c>
      <c r="J125">
        <v>1</v>
      </c>
      <c r="K125">
        <v>1</v>
      </c>
      <c r="L125">
        <v>1</v>
      </c>
      <c r="M125">
        <v>3510</v>
      </c>
      <c r="N125">
        <v>2</v>
      </c>
      <c r="O125" s="10">
        <v>44336</v>
      </c>
      <c r="P125">
        <v>1</v>
      </c>
      <c r="Q125">
        <v>38</v>
      </c>
      <c r="R125">
        <v>2</v>
      </c>
      <c r="S125">
        <v>62</v>
      </c>
      <c r="T125">
        <v>152</v>
      </c>
      <c r="U125">
        <v>79.5</v>
      </c>
      <c r="V125">
        <v>17.5</v>
      </c>
      <c r="W125">
        <v>3</v>
      </c>
      <c r="X125">
        <v>26.835180055401661</v>
      </c>
      <c r="Y125">
        <v>34.409626038781163</v>
      </c>
      <c r="Z125">
        <v>7.5744459833795013</v>
      </c>
      <c r="AA125">
        <v>3</v>
      </c>
      <c r="AB125">
        <v>4</v>
      </c>
      <c r="AC125" t="s">
        <v>33</v>
      </c>
      <c r="AD125">
        <v>3</v>
      </c>
      <c r="AE125">
        <v>0</v>
      </c>
      <c r="AG125">
        <v>5</v>
      </c>
      <c r="AH125">
        <v>1</v>
      </c>
      <c r="AI125">
        <v>4</v>
      </c>
      <c r="AJ125">
        <v>1</v>
      </c>
      <c r="AK125">
        <v>7</v>
      </c>
      <c r="AL125">
        <v>1</v>
      </c>
      <c r="AM125">
        <f>AJ125*AK125*AL125/7</f>
        <v>1</v>
      </c>
      <c r="AN125" t="s">
        <v>43</v>
      </c>
      <c r="AO125">
        <v>0</v>
      </c>
      <c r="AV125">
        <f>AU125+AM125</f>
        <v>1</v>
      </c>
      <c r="AW125" t="s">
        <v>155</v>
      </c>
      <c r="AX125">
        <v>0</v>
      </c>
      <c r="BE125">
        <f>AM125+AU125+BD125</f>
        <v>1</v>
      </c>
      <c r="BF125" t="s">
        <v>155</v>
      </c>
      <c r="BG125">
        <v>1</v>
      </c>
      <c r="BH125">
        <v>7</v>
      </c>
      <c r="BI125">
        <v>1</v>
      </c>
      <c r="BJ125" t="s">
        <v>49</v>
      </c>
      <c r="BK125">
        <v>5</v>
      </c>
      <c r="BL125">
        <v>1</v>
      </c>
      <c r="BM125">
        <v>1</v>
      </c>
      <c r="BN125" t="s">
        <v>30</v>
      </c>
      <c r="BO125">
        <v>1</v>
      </c>
      <c r="BP125">
        <v>168</v>
      </c>
      <c r="BQ125">
        <v>0.13</v>
      </c>
      <c r="BR125">
        <v>2</v>
      </c>
      <c r="BS125">
        <v>0.26</v>
      </c>
      <c r="BT125">
        <f>BS125+BD125+AU125+AM125</f>
        <v>1.26</v>
      </c>
      <c r="BU125">
        <v>1</v>
      </c>
      <c r="BV125">
        <v>3</v>
      </c>
      <c r="BW125">
        <v>439.5</v>
      </c>
      <c r="BX125">
        <f>BW125/7</f>
        <v>62.785714285714285</v>
      </c>
      <c r="BY125">
        <f>0.00077*BX125</f>
        <v>4.8344999999999999E-2</v>
      </c>
      <c r="BZ125">
        <f t="shared" si="1"/>
        <v>1.3083450000000001</v>
      </c>
    </row>
    <row r="126" spans="1:78">
      <c r="A126" s="1">
        <v>45166.977355682873</v>
      </c>
      <c r="B126" s="9" t="s">
        <v>866</v>
      </c>
      <c r="C126">
        <v>125</v>
      </c>
      <c r="D126" s="10">
        <v>34295</v>
      </c>
      <c r="E126">
        <v>29</v>
      </c>
      <c r="F126">
        <v>1</v>
      </c>
      <c r="G126">
        <v>4</v>
      </c>
      <c r="H126">
        <v>4</v>
      </c>
      <c r="I126" s="10">
        <v>44701</v>
      </c>
      <c r="J126">
        <v>1</v>
      </c>
      <c r="K126">
        <v>1</v>
      </c>
      <c r="L126">
        <v>1</v>
      </c>
      <c r="M126">
        <v>3000</v>
      </c>
      <c r="N126">
        <v>2</v>
      </c>
      <c r="O126" s="10">
        <v>44423</v>
      </c>
      <c r="P126">
        <v>1</v>
      </c>
      <c r="Q126">
        <v>39.714285714285715</v>
      </c>
      <c r="R126">
        <v>2</v>
      </c>
      <c r="S126">
        <v>54</v>
      </c>
      <c r="T126">
        <v>155</v>
      </c>
      <c r="U126">
        <v>58</v>
      </c>
      <c r="V126">
        <v>4</v>
      </c>
      <c r="W126">
        <v>1</v>
      </c>
      <c r="X126">
        <v>22.476586888657646</v>
      </c>
      <c r="Y126">
        <v>24.141519250780433</v>
      </c>
      <c r="Z126">
        <v>1.6649323621227872</v>
      </c>
      <c r="AA126">
        <v>2</v>
      </c>
      <c r="AB126">
        <v>2</v>
      </c>
      <c r="AC126" t="s">
        <v>40</v>
      </c>
      <c r="AD126">
        <v>2</v>
      </c>
      <c r="AE126">
        <v>0</v>
      </c>
      <c r="AG126">
        <v>5</v>
      </c>
      <c r="AH126">
        <v>1</v>
      </c>
      <c r="AI126" t="s">
        <v>258</v>
      </c>
      <c r="AJ126" t="s">
        <v>258</v>
      </c>
      <c r="AK126">
        <v>7</v>
      </c>
      <c r="AL126">
        <v>1</v>
      </c>
      <c r="AM126" t="s">
        <v>258</v>
      </c>
      <c r="AN126" t="s">
        <v>95</v>
      </c>
      <c r="AO126">
        <v>0</v>
      </c>
      <c r="AX126">
        <v>0</v>
      </c>
      <c r="BE126" t="s">
        <v>258</v>
      </c>
      <c r="BG126">
        <v>0</v>
      </c>
      <c r="BJ126" t="s">
        <v>49</v>
      </c>
      <c r="BK126">
        <v>5</v>
      </c>
      <c r="BL126">
        <v>1</v>
      </c>
      <c r="BM126">
        <v>1</v>
      </c>
      <c r="BN126" t="s">
        <v>592</v>
      </c>
      <c r="BO126">
        <v>3</v>
      </c>
      <c r="BP126">
        <v>45</v>
      </c>
      <c r="BQ126">
        <v>0.08</v>
      </c>
      <c r="BR126">
        <v>1</v>
      </c>
      <c r="BS126">
        <v>0.08</v>
      </c>
      <c r="BT126" t="e">
        <f>BS126+BD126+AU126+AM126</f>
        <v>#VALUE!</v>
      </c>
      <c r="BU126">
        <v>1</v>
      </c>
      <c r="BV126">
        <v>0.5</v>
      </c>
      <c r="BW126">
        <v>73.25</v>
      </c>
      <c r="BX126">
        <f>BW126/7</f>
        <v>10.464285714285714</v>
      </c>
      <c r="BY126">
        <f>0.00077*BX126</f>
        <v>8.0574999999999987E-3</v>
      </c>
      <c r="BZ126" t="e">
        <f t="shared" si="1"/>
        <v>#VALUE!</v>
      </c>
    </row>
    <row r="127" spans="1:78">
      <c r="A127" s="1">
        <v>45166.99209230324</v>
      </c>
      <c r="C127">
        <v>126</v>
      </c>
      <c r="D127" s="10">
        <v>33596</v>
      </c>
      <c r="E127">
        <v>31</v>
      </c>
      <c r="F127">
        <v>1</v>
      </c>
      <c r="G127">
        <v>1</v>
      </c>
      <c r="H127">
        <v>4</v>
      </c>
      <c r="I127" s="10">
        <v>44896</v>
      </c>
      <c r="J127">
        <v>1</v>
      </c>
      <c r="K127">
        <v>1</v>
      </c>
      <c r="L127">
        <v>1</v>
      </c>
      <c r="M127">
        <v>3405</v>
      </c>
      <c r="N127">
        <v>2</v>
      </c>
      <c r="O127" s="10">
        <v>44630</v>
      </c>
      <c r="P127">
        <v>0</v>
      </c>
      <c r="Q127">
        <v>38</v>
      </c>
      <c r="R127">
        <v>2</v>
      </c>
      <c r="S127">
        <v>57</v>
      </c>
      <c r="T127">
        <v>157</v>
      </c>
      <c r="U127">
        <v>65</v>
      </c>
      <c r="V127">
        <v>8</v>
      </c>
      <c r="W127">
        <v>1</v>
      </c>
      <c r="X127">
        <v>23.124670372023203</v>
      </c>
      <c r="Y127">
        <v>26.370238143535232</v>
      </c>
      <c r="Z127">
        <v>3.2455677715120288</v>
      </c>
      <c r="AA127">
        <v>2</v>
      </c>
      <c r="AB127">
        <v>3</v>
      </c>
      <c r="AC127" t="s">
        <v>33</v>
      </c>
      <c r="AD127">
        <v>3</v>
      </c>
      <c r="AE127">
        <v>0</v>
      </c>
      <c r="AG127">
        <v>5</v>
      </c>
      <c r="AH127">
        <v>0</v>
      </c>
      <c r="AI127">
        <v>0</v>
      </c>
      <c r="AN127" t="s">
        <v>156</v>
      </c>
      <c r="AO127">
        <v>0</v>
      </c>
      <c r="AW127" t="s">
        <v>97</v>
      </c>
      <c r="AX127">
        <v>1</v>
      </c>
      <c r="AY127" t="s">
        <v>97</v>
      </c>
      <c r="AZ127">
        <v>11</v>
      </c>
      <c r="BA127">
        <v>0.2</v>
      </c>
      <c r="BB127">
        <v>7</v>
      </c>
      <c r="BC127">
        <v>1</v>
      </c>
      <c r="BD127">
        <f>BA127*BB127*1/7</f>
        <v>0.2</v>
      </c>
      <c r="BE127">
        <f>AM127+AU127+BD127</f>
        <v>0.2</v>
      </c>
      <c r="BF127" t="s">
        <v>97</v>
      </c>
      <c r="BG127">
        <v>0</v>
      </c>
      <c r="BH127">
        <v>7</v>
      </c>
      <c r="BI127">
        <v>1</v>
      </c>
      <c r="BJ127" t="s">
        <v>36</v>
      </c>
      <c r="BK127">
        <v>4</v>
      </c>
      <c r="BL127">
        <v>1</v>
      </c>
      <c r="BM127">
        <v>1</v>
      </c>
      <c r="BN127" t="s">
        <v>30</v>
      </c>
      <c r="BO127">
        <v>1</v>
      </c>
      <c r="BP127">
        <v>252</v>
      </c>
      <c r="BQ127">
        <v>0.13</v>
      </c>
      <c r="BR127">
        <v>3</v>
      </c>
      <c r="BS127">
        <v>0.39</v>
      </c>
      <c r="BT127">
        <f>BS127+BD127+AU127+AM127</f>
        <v>0.59000000000000008</v>
      </c>
      <c r="BU127">
        <v>1</v>
      </c>
      <c r="BV127">
        <v>1</v>
      </c>
      <c r="BW127">
        <v>146.5</v>
      </c>
      <c r="BX127">
        <f>BW127/7</f>
        <v>20.928571428571427</v>
      </c>
      <c r="BY127">
        <f>0.00077*BX127</f>
        <v>1.6114999999999997E-2</v>
      </c>
      <c r="BZ127">
        <f t="shared" si="1"/>
        <v>0.60611500000000007</v>
      </c>
    </row>
    <row r="128" spans="1:78">
      <c r="A128" s="1">
        <v>45167.010141620369</v>
      </c>
      <c r="C128">
        <v>127</v>
      </c>
      <c r="D128" s="10">
        <v>35314</v>
      </c>
      <c r="E128">
        <v>26</v>
      </c>
      <c r="F128">
        <v>1</v>
      </c>
      <c r="G128">
        <v>4</v>
      </c>
      <c r="H128">
        <v>4</v>
      </c>
      <c r="I128" s="10">
        <v>44364</v>
      </c>
      <c r="J128">
        <v>2</v>
      </c>
      <c r="K128">
        <v>0</v>
      </c>
      <c r="L128">
        <v>2</v>
      </c>
      <c r="M128">
        <v>3350</v>
      </c>
      <c r="N128">
        <v>2</v>
      </c>
      <c r="O128" s="10">
        <v>44105</v>
      </c>
      <c r="P128">
        <v>1</v>
      </c>
      <c r="Q128">
        <v>37</v>
      </c>
      <c r="R128">
        <v>2</v>
      </c>
      <c r="S128">
        <v>63</v>
      </c>
      <c r="T128">
        <v>150</v>
      </c>
      <c r="U128">
        <v>71</v>
      </c>
      <c r="V128">
        <v>8</v>
      </c>
      <c r="W128">
        <v>2</v>
      </c>
      <c r="X128">
        <v>28</v>
      </c>
      <c r="Y128">
        <v>31.555555555555557</v>
      </c>
      <c r="Z128">
        <v>3.5555555555555571</v>
      </c>
      <c r="AA128">
        <v>3</v>
      </c>
      <c r="AB128">
        <v>4</v>
      </c>
      <c r="AC128" t="s">
        <v>50</v>
      </c>
      <c r="AD128">
        <v>2</v>
      </c>
      <c r="AE128">
        <v>0</v>
      </c>
      <c r="AG128">
        <v>5</v>
      </c>
      <c r="AH128">
        <v>1</v>
      </c>
      <c r="AI128">
        <v>13</v>
      </c>
      <c r="AJ128">
        <v>1</v>
      </c>
      <c r="AK128">
        <v>7</v>
      </c>
      <c r="AL128">
        <v>1</v>
      </c>
      <c r="AM128">
        <f>AJ128*AK128*AL128/7</f>
        <v>1</v>
      </c>
      <c r="AN128" t="s">
        <v>79</v>
      </c>
      <c r="AO128">
        <v>0</v>
      </c>
      <c r="AV128">
        <f>AU128+AM128</f>
        <v>1</v>
      </c>
      <c r="AX128">
        <v>0</v>
      </c>
      <c r="BE128">
        <f>AM128+AU128+BD128</f>
        <v>1</v>
      </c>
      <c r="BG128">
        <v>0</v>
      </c>
      <c r="BJ128" t="s">
        <v>49</v>
      </c>
      <c r="BK128">
        <v>5</v>
      </c>
      <c r="BL128">
        <v>1</v>
      </c>
      <c r="BM128">
        <v>1</v>
      </c>
      <c r="BN128" t="s">
        <v>30</v>
      </c>
      <c r="BO128">
        <v>1</v>
      </c>
      <c r="BP128">
        <v>168</v>
      </c>
      <c r="BQ128">
        <v>0.13</v>
      </c>
      <c r="BR128">
        <v>2</v>
      </c>
      <c r="BS128">
        <v>0.26</v>
      </c>
      <c r="BT128">
        <f>BS128+BD128+AU128+AM128</f>
        <v>1.26</v>
      </c>
      <c r="BU128">
        <v>1</v>
      </c>
      <c r="BV128">
        <v>2</v>
      </c>
      <c r="BW128">
        <v>293</v>
      </c>
      <c r="BX128">
        <f>BW128/7</f>
        <v>41.857142857142854</v>
      </c>
      <c r="BY128">
        <f>0.00077*BX128</f>
        <v>3.2229999999999995E-2</v>
      </c>
      <c r="BZ128">
        <f t="shared" si="1"/>
        <v>1.29223</v>
      </c>
    </row>
    <row r="129" spans="1:78">
      <c r="A129" s="1">
        <v>45167.013078784723</v>
      </c>
      <c r="C129">
        <v>128</v>
      </c>
      <c r="D129" s="10">
        <v>32388</v>
      </c>
      <c r="E129">
        <v>34</v>
      </c>
      <c r="F129">
        <v>1</v>
      </c>
      <c r="G129">
        <v>1</v>
      </c>
      <c r="H129">
        <v>4</v>
      </c>
      <c r="I129" s="10">
        <v>44435</v>
      </c>
      <c r="J129">
        <v>1</v>
      </c>
      <c r="K129">
        <v>1</v>
      </c>
      <c r="L129">
        <v>1</v>
      </c>
      <c r="M129">
        <v>3460</v>
      </c>
      <c r="N129">
        <v>2</v>
      </c>
      <c r="O129" s="10">
        <v>44162</v>
      </c>
      <c r="P129">
        <v>1</v>
      </c>
      <c r="Q129">
        <v>39</v>
      </c>
      <c r="R129">
        <v>2</v>
      </c>
      <c r="S129">
        <v>58</v>
      </c>
      <c r="T129">
        <v>154</v>
      </c>
      <c r="U129">
        <v>78</v>
      </c>
      <c r="V129">
        <v>20</v>
      </c>
      <c r="W129">
        <v>3</v>
      </c>
      <c r="X129">
        <v>24.456063417102378</v>
      </c>
      <c r="Y129">
        <v>32.889188733344575</v>
      </c>
      <c r="Z129">
        <v>8.4331253162421973</v>
      </c>
      <c r="AA129">
        <v>2</v>
      </c>
      <c r="AB129">
        <v>4</v>
      </c>
      <c r="AC129" t="s">
        <v>33</v>
      </c>
      <c r="AD129">
        <v>3</v>
      </c>
      <c r="AE129">
        <v>0</v>
      </c>
      <c r="AG129">
        <v>5</v>
      </c>
      <c r="AH129">
        <v>0</v>
      </c>
      <c r="AI129">
        <v>0</v>
      </c>
      <c r="AN129" t="s">
        <v>41</v>
      </c>
      <c r="AO129">
        <v>0</v>
      </c>
      <c r="AX129">
        <v>1</v>
      </c>
      <c r="AY129" t="s">
        <v>876</v>
      </c>
      <c r="AZ129">
        <v>1</v>
      </c>
      <c r="BA129">
        <v>0.8</v>
      </c>
      <c r="BB129">
        <v>7</v>
      </c>
      <c r="BC129">
        <v>1</v>
      </c>
      <c r="BD129">
        <f>BA129*BB129*1/7</f>
        <v>0.8</v>
      </c>
      <c r="BE129">
        <f>AM129+AU129+BD129</f>
        <v>0.8</v>
      </c>
      <c r="BF129" t="s">
        <v>876</v>
      </c>
      <c r="BG129">
        <v>0</v>
      </c>
      <c r="BH129">
        <v>7</v>
      </c>
      <c r="BI129">
        <v>1</v>
      </c>
      <c r="BJ129" t="s">
        <v>28</v>
      </c>
      <c r="BK129">
        <v>3</v>
      </c>
      <c r="BL129">
        <v>1</v>
      </c>
      <c r="BM129">
        <v>1</v>
      </c>
      <c r="BN129" t="s">
        <v>30</v>
      </c>
      <c r="BO129">
        <v>1</v>
      </c>
      <c r="BP129">
        <v>252</v>
      </c>
      <c r="BQ129">
        <v>0.13</v>
      </c>
      <c r="BR129">
        <v>3</v>
      </c>
      <c r="BS129">
        <v>0.39</v>
      </c>
      <c r="BT129">
        <f>BS129+BD129+AU129+AM129</f>
        <v>1.19</v>
      </c>
      <c r="BU129">
        <v>1</v>
      </c>
      <c r="BV129">
        <v>1</v>
      </c>
      <c r="BW129">
        <v>146.5</v>
      </c>
      <c r="BX129">
        <f>BW129/7</f>
        <v>20.928571428571427</v>
      </c>
      <c r="BY129">
        <f>0.00077*BX129</f>
        <v>1.6114999999999997E-2</v>
      </c>
      <c r="BZ129">
        <f t="shared" si="1"/>
        <v>1.206115</v>
      </c>
    </row>
    <row r="130" spans="1:78">
      <c r="A130" s="1">
        <v>45167.349087372684</v>
      </c>
      <c r="C130">
        <v>129</v>
      </c>
      <c r="D130" s="10">
        <v>32016</v>
      </c>
      <c r="E130">
        <v>36</v>
      </c>
      <c r="F130">
        <v>1</v>
      </c>
      <c r="G130">
        <v>4</v>
      </c>
      <c r="H130">
        <v>5</v>
      </c>
      <c r="I130" s="10">
        <v>43894</v>
      </c>
      <c r="J130">
        <v>2</v>
      </c>
      <c r="K130">
        <v>0</v>
      </c>
      <c r="L130">
        <v>1</v>
      </c>
      <c r="M130">
        <v>3610</v>
      </c>
      <c r="N130">
        <v>2</v>
      </c>
      <c r="O130" s="10">
        <v>43621</v>
      </c>
      <c r="P130">
        <v>0</v>
      </c>
      <c r="Q130">
        <v>39</v>
      </c>
      <c r="R130">
        <v>2</v>
      </c>
      <c r="S130">
        <v>78</v>
      </c>
      <c r="T130">
        <v>170</v>
      </c>
      <c r="U130">
        <v>95</v>
      </c>
      <c r="V130">
        <v>17</v>
      </c>
      <c r="W130">
        <v>3</v>
      </c>
      <c r="X130">
        <v>26.989619377162633</v>
      </c>
      <c r="Y130">
        <v>32.871972318339104</v>
      </c>
      <c r="Z130">
        <v>5.882352941176471</v>
      </c>
      <c r="AA130">
        <v>3</v>
      </c>
      <c r="AB130">
        <v>4</v>
      </c>
      <c r="AC130" t="s">
        <v>33</v>
      </c>
      <c r="AD130">
        <v>3</v>
      </c>
      <c r="AE130">
        <v>0</v>
      </c>
      <c r="AG130">
        <v>5</v>
      </c>
      <c r="AH130">
        <v>1</v>
      </c>
      <c r="AI130">
        <v>4</v>
      </c>
      <c r="AJ130">
        <v>1</v>
      </c>
      <c r="AK130">
        <v>7</v>
      </c>
      <c r="AL130">
        <v>1</v>
      </c>
      <c r="AM130">
        <f>AJ130*AK130*AL130/7</f>
        <v>1</v>
      </c>
      <c r="AN130" t="s">
        <v>43</v>
      </c>
      <c r="AO130">
        <v>0</v>
      </c>
      <c r="AV130">
        <f>AU130+AM130</f>
        <v>1</v>
      </c>
      <c r="AW130" t="s">
        <v>157</v>
      </c>
      <c r="AX130">
        <v>1</v>
      </c>
      <c r="AY130" t="s">
        <v>157</v>
      </c>
      <c r="AZ130">
        <v>14</v>
      </c>
      <c r="BA130">
        <v>0.5</v>
      </c>
      <c r="BB130">
        <v>4</v>
      </c>
      <c r="BC130">
        <v>2</v>
      </c>
      <c r="BD130">
        <f>BA130*BB130*1/7</f>
        <v>0.2857142857142857</v>
      </c>
      <c r="BE130">
        <f>AM130+AU130+BD130</f>
        <v>1.2857142857142856</v>
      </c>
      <c r="BF130" t="s">
        <v>157</v>
      </c>
      <c r="BG130">
        <v>0</v>
      </c>
      <c r="BH130">
        <v>4</v>
      </c>
      <c r="BI130">
        <v>2</v>
      </c>
      <c r="BJ130" t="s">
        <v>49</v>
      </c>
      <c r="BK130">
        <v>5</v>
      </c>
      <c r="BL130">
        <v>1</v>
      </c>
      <c r="BM130">
        <v>1</v>
      </c>
      <c r="BN130" t="s">
        <v>55</v>
      </c>
      <c r="BO130">
        <v>2</v>
      </c>
      <c r="BP130">
        <v>134</v>
      </c>
      <c r="BQ130">
        <v>0.1</v>
      </c>
      <c r="BR130">
        <v>2</v>
      </c>
      <c r="BS130">
        <v>0.2</v>
      </c>
      <c r="BT130">
        <f>BS130+BD130+AU130+AM130</f>
        <v>1.4857142857142858</v>
      </c>
      <c r="BU130">
        <v>1</v>
      </c>
      <c r="BV130">
        <v>1</v>
      </c>
      <c r="BW130">
        <v>146.5</v>
      </c>
      <c r="BX130">
        <f>BW130/7</f>
        <v>20.928571428571427</v>
      </c>
      <c r="BY130">
        <f>0.00077*BX130</f>
        <v>1.6114999999999997E-2</v>
      </c>
      <c r="BZ130">
        <f t="shared" si="1"/>
        <v>1.5018292857142859</v>
      </c>
    </row>
    <row r="131" spans="1:78">
      <c r="A131" s="1">
        <v>45167.364814050925</v>
      </c>
      <c r="C131">
        <v>130</v>
      </c>
      <c r="D131" s="10">
        <v>30523</v>
      </c>
      <c r="E131">
        <v>49</v>
      </c>
      <c r="F131">
        <v>1</v>
      </c>
      <c r="G131">
        <v>1</v>
      </c>
      <c r="H131">
        <v>4</v>
      </c>
      <c r="I131" s="10">
        <v>44406</v>
      </c>
      <c r="J131">
        <v>3</v>
      </c>
      <c r="K131">
        <v>0</v>
      </c>
      <c r="L131">
        <v>1</v>
      </c>
      <c r="M131">
        <v>3100</v>
      </c>
      <c r="N131">
        <v>2</v>
      </c>
      <c r="O131" s="10">
        <v>44140</v>
      </c>
      <c r="P131">
        <v>1</v>
      </c>
      <c r="Q131">
        <v>38</v>
      </c>
      <c r="R131">
        <v>2</v>
      </c>
      <c r="S131">
        <v>60</v>
      </c>
      <c r="T131">
        <v>161</v>
      </c>
      <c r="U131">
        <v>72</v>
      </c>
      <c r="V131">
        <v>12</v>
      </c>
      <c r="W131">
        <v>2</v>
      </c>
      <c r="X131">
        <v>23.147255121330193</v>
      </c>
      <c r="Y131">
        <v>27.776706145596233</v>
      </c>
      <c r="Z131">
        <v>4.6294510242660394</v>
      </c>
      <c r="AA131">
        <v>2</v>
      </c>
      <c r="AB131">
        <v>3</v>
      </c>
      <c r="AC131" t="s">
        <v>33</v>
      </c>
      <c r="AD131">
        <v>3</v>
      </c>
      <c r="AE131">
        <v>0</v>
      </c>
      <c r="AG131">
        <v>5</v>
      </c>
      <c r="AH131">
        <v>1</v>
      </c>
      <c r="AI131">
        <v>2</v>
      </c>
      <c r="AJ131">
        <v>5</v>
      </c>
      <c r="AK131">
        <v>7</v>
      </c>
      <c r="AL131">
        <v>1</v>
      </c>
      <c r="AM131">
        <f>AJ131*AK131*AL131/7</f>
        <v>5</v>
      </c>
      <c r="AN131" t="s">
        <v>57</v>
      </c>
      <c r="AO131">
        <v>0</v>
      </c>
      <c r="AV131">
        <f>AU131+AM131</f>
        <v>5</v>
      </c>
      <c r="AW131" t="s">
        <v>58</v>
      </c>
      <c r="AX131">
        <v>1</v>
      </c>
      <c r="AY131" t="s">
        <v>58</v>
      </c>
      <c r="AZ131">
        <v>1</v>
      </c>
      <c r="BA131">
        <v>0.8</v>
      </c>
      <c r="BB131">
        <v>7</v>
      </c>
      <c r="BC131">
        <v>1</v>
      </c>
      <c r="BD131">
        <f>BA131*BB131*1/7</f>
        <v>0.8</v>
      </c>
      <c r="BE131">
        <f>AM131+AU131+BD131</f>
        <v>5.8</v>
      </c>
      <c r="BF131" t="s">
        <v>58</v>
      </c>
      <c r="BG131">
        <v>0</v>
      </c>
      <c r="BH131">
        <v>7</v>
      </c>
      <c r="BI131">
        <v>1</v>
      </c>
      <c r="BJ131" t="s">
        <v>49</v>
      </c>
      <c r="BK131">
        <v>5</v>
      </c>
      <c r="BL131">
        <v>1</v>
      </c>
      <c r="BM131">
        <v>0</v>
      </c>
      <c r="BN131" t="s">
        <v>158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f>BS131+BD131+AU131+AM131</f>
        <v>5.8</v>
      </c>
      <c r="BU131">
        <v>1</v>
      </c>
      <c r="BV131">
        <v>1</v>
      </c>
      <c r="BW131">
        <v>146.5</v>
      </c>
      <c r="BX131">
        <f>BW131/7</f>
        <v>20.928571428571427</v>
      </c>
      <c r="BY131">
        <f>0.00077*BX131</f>
        <v>1.6114999999999997E-2</v>
      </c>
      <c r="BZ131">
        <f t="shared" si="1"/>
        <v>5.8161149999999999</v>
      </c>
    </row>
    <row r="132" spans="1:78">
      <c r="A132" s="1">
        <v>45167.389332604165</v>
      </c>
      <c r="B132" s="8" t="s">
        <v>864</v>
      </c>
      <c r="C132">
        <v>131</v>
      </c>
      <c r="D132" s="10">
        <v>31600</v>
      </c>
      <c r="E132">
        <v>37</v>
      </c>
      <c r="F132">
        <v>1</v>
      </c>
      <c r="G132">
        <v>1</v>
      </c>
      <c r="H132">
        <v>3</v>
      </c>
      <c r="I132" s="10">
        <v>31664</v>
      </c>
      <c r="J132">
        <v>1</v>
      </c>
      <c r="K132">
        <v>1</v>
      </c>
      <c r="L132">
        <v>1</v>
      </c>
      <c r="M132">
        <v>3640</v>
      </c>
      <c r="N132">
        <v>2</v>
      </c>
      <c r="O132" s="10">
        <v>31384</v>
      </c>
      <c r="P132">
        <v>0</v>
      </c>
      <c r="Q132">
        <v>40</v>
      </c>
      <c r="R132">
        <v>2</v>
      </c>
      <c r="S132">
        <v>108</v>
      </c>
      <c r="T132">
        <v>164</v>
      </c>
      <c r="U132">
        <v>119</v>
      </c>
      <c r="V132">
        <v>11</v>
      </c>
      <c r="W132">
        <v>2</v>
      </c>
      <c r="X132">
        <v>40.154669839381327</v>
      </c>
      <c r="Y132">
        <v>44.244497323022017</v>
      </c>
      <c r="Z132">
        <v>4.0898274836406898</v>
      </c>
      <c r="AA132">
        <v>4</v>
      </c>
      <c r="AB132">
        <v>4</v>
      </c>
      <c r="AC132" t="s">
        <v>173</v>
      </c>
      <c r="AD132">
        <v>1</v>
      </c>
      <c r="AE132">
        <v>0</v>
      </c>
      <c r="AG132">
        <v>5</v>
      </c>
      <c r="AH132">
        <v>1</v>
      </c>
      <c r="AI132">
        <v>13</v>
      </c>
      <c r="AJ132">
        <v>1</v>
      </c>
      <c r="AK132">
        <v>7</v>
      </c>
      <c r="AL132">
        <v>1</v>
      </c>
      <c r="AM132">
        <f>AJ132*AK132*AL132/7</f>
        <v>1</v>
      </c>
      <c r="AN132" t="s">
        <v>79</v>
      </c>
      <c r="AO132">
        <v>0</v>
      </c>
      <c r="AV132">
        <f>AU132+AM132</f>
        <v>1</v>
      </c>
      <c r="AX132">
        <v>0</v>
      </c>
      <c r="BE132">
        <f>AM132+AU132+BD132</f>
        <v>1</v>
      </c>
      <c r="BG132">
        <v>0</v>
      </c>
      <c r="BJ132" t="s">
        <v>42</v>
      </c>
      <c r="BK132">
        <v>6</v>
      </c>
      <c r="BL132">
        <v>1</v>
      </c>
      <c r="BM132">
        <v>1</v>
      </c>
      <c r="BN132" t="s">
        <v>30</v>
      </c>
      <c r="BO132">
        <v>1</v>
      </c>
      <c r="BP132">
        <v>84</v>
      </c>
      <c r="BQ132">
        <v>0.13</v>
      </c>
      <c r="BR132">
        <v>1</v>
      </c>
      <c r="BS132">
        <v>0.13</v>
      </c>
      <c r="BT132">
        <f>BS132+BD132+AU132+AM132</f>
        <v>1.1299999999999999</v>
      </c>
      <c r="BU132">
        <v>1</v>
      </c>
      <c r="BV132">
        <v>0.5</v>
      </c>
      <c r="BW132">
        <v>73.25</v>
      </c>
      <c r="BX132">
        <f>BW132/7</f>
        <v>10.464285714285714</v>
      </c>
      <c r="BY132">
        <f>0.00077*BX132</f>
        <v>8.0574999999999987E-3</v>
      </c>
      <c r="BZ132">
        <f t="shared" ref="BZ132:BZ195" si="2">BS132+BD132+AU132+AM132+BY132</f>
        <v>1.1380574999999999</v>
      </c>
    </row>
    <row r="133" spans="1:78">
      <c r="A133" s="1">
        <v>45167.412848263892</v>
      </c>
      <c r="C133">
        <v>132</v>
      </c>
      <c r="D133" s="10">
        <v>35396</v>
      </c>
      <c r="E133">
        <v>26</v>
      </c>
      <c r="F133">
        <v>1</v>
      </c>
      <c r="G133">
        <v>1</v>
      </c>
      <c r="H133">
        <v>4</v>
      </c>
      <c r="I133" s="10">
        <v>43074</v>
      </c>
      <c r="J133">
        <v>1</v>
      </c>
      <c r="K133">
        <v>1</v>
      </c>
      <c r="L133">
        <v>2</v>
      </c>
      <c r="M133">
        <v>2830</v>
      </c>
      <c r="N133">
        <v>2</v>
      </c>
      <c r="O133" s="10">
        <v>42794</v>
      </c>
      <c r="P133">
        <v>0</v>
      </c>
      <c r="Q133">
        <v>40</v>
      </c>
      <c r="R133">
        <v>2</v>
      </c>
      <c r="S133">
        <v>63</v>
      </c>
      <c r="T133">
        <v>153</v>
      </c>
      <c r="U133">
        <v>73</v>
      </c>
      <c r="V133">
        <v>10</v>
      </c>
      <c r="W133">
        <v>2</v>
      </c>
      <c r="X133">
        <v>26.91272587466359</v>
      </c>
      <c r="Y133">
        <v>31.184587124610193</v>
      </c>
      <c r="Z133">
        <v>4.2718612499466033</v>
      </c>
      <c r="AA133">
        <v>3</v>
      </c>
      <c r="AB133">
        <v>4</v>
      </c>
      <c r="AC133" t="s">
        <v>123</v>
      </c>
      <c r="AD133">
        <v>2</v>
      </c>
      <c r="AE133">
        <v>1</v>
      </c>
      <c r="AF133" t="s">
        <v>95</v>
      </c>
      <c r="AG133" t="e">
        <v>#N/A</v>
      </c>
      <c r="AH133">
        <v>1</v>
      </c>
      <c r="AI133">
        <v>4</v>
      </c>
      <c r="AJ133">
        <v>1</v>
      </c>
      <c r="AK133">
        <v>7</v>
      </c>
      <c r="AL133">
        <v>1</v>
      </c>
      <c r="AM133">
        <f>AJ133*AK133*AL133/7</f>
        <v>1</v>
      </c>
      <c r="AN133" t="s">
        <v>43</v>
      </c>
      <c r="AO133">
        <v>0</v>
      </c>
      <c r="AV133">
        <f>AU133+AM133</f>
        <v>1</v>
      </c>
      <c r="AX133">
        <v>0</v>
      </c>
      <c r="BE133">
        <f>AM133+AU133+BD133</f>
        <v>1</v>
      </c>
      <c r="BG133">
        <v>0</v>
      </c>
      <c r="BJ133" t="s">
        <v>49</v>
      </c>
      <c r="BK133">
        <v>5</v>
      </c>
      <c r="BL133">
        <v>1</v>
      </c>
      <c r="BM133">
        <v>1</v>
      </c>
      <c r="BN133" t="s">
        <v>55</v>
      </c>
      <c r="BO133">
        <v>2</v>
      </c>
      <c r="BP133">
        <v>134</v>
      </c>
      <c r="BQ133">
        <v>0.1</v>
      </c>
      <c r="BR133">
        <v>2</v>
      </c>
      <c r="BS133">
        <v>0.2</v>
      </c>
      <c r="BT133">
        <f>BS133+BD133+AU133+AM133</f>
        <v>1.2</v>
      </c>
      <c r="BU133">
        <v>1</v>
      </c>
      <c r="BV133">
        <v>2</v>
      </c>
      <c r="BW133">
        <v>293</v>
      </c>
      <c r="BX133">
        <f>BW133/7</f>
        <v>41.857142857142854</v>
      </c>
      <c r="BY133">
        <f>0.00077*BX133</f>
        <v>3.2229999999999995E-2</v>
      </c>
      <c r="BZ133">
        <f t="shared" si="2"/>
        <v>1.2322299999999999</v>
      </c>
    </row>
    <row r="134" spans="1:78">
      <c r="A134" s="1">
        <v>45167.422233819445</v>
      </c>
      <c r="C134">
        <v>133</v>
      </c>
      <c r="D134" s="10">
        <v>32292</v>
      </c>
      <c r="E134">
        <v>35</v>
      </c>
      <c r="F134">
        <v>1</v>
      </c>
      <c r="G134">
        <v>10</v>
      </c>
      <c r="H134">
        <v>4</v>
      </c>
      <c r="I134" s="10">
        <v>44302</v>
      </c>
      <c r="J134">
        <v>3</v>
      </c>
      <c r="K134">
        <v>0</v>
      </c>
      <c r="L134">
        <v>1</v>
      </c>
      <c r="M134">
        <v>3160</v>
      </c>
      <c r="N134">
        <v>2</v>
      </c>
      <c r="O134" s="10">
        <v>44029</v>
      </c>
      <c r="P134">
        <v>1</v>
      </c>
      <c r="Q134">
        <v>39</v>
      </c>
      <c r="R134">
        <v>2</v>
      </c>
      <c r="S134">
        <v>58</v>
      </c>
      <c r="T134">
        <v>161</v>
      </c>
      <c r="U134">
        <v>71</v>
      </c>
      <c r="V134">
        <v>13</v>
      </c>
      <c r="W134">
        <v>2</v>
      </c>
      <c r="X134">
        <v>22.375679950619187</v>
      </c>
      <c r="Y134">
        <v>27.390918560240728</v>
      </c>
      <c r="Z134">
        <v>5.0152386096215409</v>
      </c>
      <c r="AA134">
        <v>2</v>
      </c>
      <c r="AB134">
        <v>3</v>
      </c>
      <c r="AC134" t="s">
        <v>33</v>
      </c>
      <c r="AD134">
        <v>3</v>
      </c>
      <c r="AE134">
        <v>0</v>
      </c>
      <c r="AG134">
        <v>5</v>
      </c>
      <c r="AH134">
        <v>1</v>
      </c>
      <c r="AI134">
        <v>4</v>
      </c>
      <c r="AJ134">
        <v>1</v>
      </c>
      <c r="AK134">
        <v>7</v>
      </c>
      <c r="AL134">
        <v>1</v>
      </c>
      <c r="AM134">
        <f>AJ134*AK134*AL134/7</f>
        <v>1</v>
      </c>
      <c r="AN134" t="s">
        <v>43</v>
      </c>
      <c r="AO134">
        <v>0</v>
      </c>
      <c r="AV134">
        <f>AU134+AM134</f>
        <v>1</v>
      </c>
      <c r="AX134">
        <v>0</v>
      </c>
      <c r="BE134">
        <f>AM134+AU134+BD134</f>
        <v>1</v>
      </c>
      <c r="BG134">
        <v>0</v>
      </c>
      <c r="BJ134" t="s">
        <v>54</v>
      </c>
      <c r="BK134">
        <v>2</v>
      </c>
      <c r="BL134">
        <v>3</v>
      </c>
      <c r="BM134">
        <v>1</v>
      </c>
      <c r="BN134" t="s">
        <v>55</v>
      </c>
      <c r="BO134">
        <v>2</v>
      </c>
      <c r="BP134">
        <v>201</v>
      </c>
      <c r="BQ134">
        <v>0.1</v>
      </c>
      <c r="BR134">
        <v>3</v>
      </c>
      <c r="BS134">
        <v>0.30000000000000004</v>
      </c>
      <c r="BT134">
        <f>BS134+BD134+AU134+AM134</f>
        <v>1.3</v>
      </c>
      <c r="BU134">
        <v>1</v>
      </c>
      <c r="BV134">
        <v>3</v>
      </c>
      <c r="BW134">
        <v>439.5</v>
      </c>
      <c r="BX134">
        <f>BW134/7</f>
        <v>62.785714285714285</v>
      </c>
      <c r="BY134">
        <f>0.00077*BX134</f>
        <v>4.8344999999999999E-2</v>
      </c>
      <c r="BZ134">
        <f t="shared" si="2"/>
        <v>1.3483450000000001</v>
      </c>
    </row>
    <row r="135" spans="1:78">
      <c r="A135" s="1">
        <v>45167.687500821761</v>
      </c>
      <c r="C135">
        <v>134</v>
      </c>
      <c r="D135" s="10">
        <v>33066</v>
      </c>
      <c r="E135">
        <v>33</v>
      </c>
      <c r="F135">
        <v>1</v>
      </c>
      <c r="G135">
        <v>6</v>
      </c>
      <c r="H135">
        <v>4</v>
      </c>
      <c r="I135" s="10">
        <v>44252</v>
      </c>
      <c r="J135">
        <v>1</v>
      </c>
      <c r="K135">
        <v>1</v>
      </c>
      <c r="L135">
        <v>1</v>
      </c>
      <c r="M135">
        <v>3100</v>
      </c>
      <c r="N135">
        <v>2</v>
      </c>
      <c r="O135" s="10">
        <v>43986</v>
      </c>
      <c r="P135">
        <v>1</v>
      </c>
      <c r="Q135">
        <v>38</v>
      </c>
      <c r="R135">
        <v>2</v>
      </c>
      <c r="S135">
        <v>56</v>
      </c>
      <c r="T135">
        <v>156</v>
      </c>
      <c r="U135">
        <v>65</v>
      </c>
      <c r="V135">
        <v>9</v>
      </c>
      <c r="W135">
        <v>1</v>
      </c>
      <c r="X135">
        <v>23.011176857330703</v>
      </c>
      <c r="Y135">
        <v>26.709401709401707</v>
      </c>
      <c r="Z135">
        <v>3.6982248520710037</v>
      </c>
      <c r="AA135">
        <v>2</v>
      </c>
      <c r="AB135">
        <v>3</v>
      </c>
      <c r="AC135" t="s">
        <v>33</v>
      </c>
      <c r="AD135">
        <v>3</v>
      </c>
      <c r="AE135">
        <v>0</v>
      </c>
      <c r="AG135">
        <v>5</v>
      </c>
      <c r="AH135">
        <v>1</v>
      </c>
      <c r="AI135">
        <v>2</v>
      </c>
      <c r="AJ135">
        <v>5</v>
      </c>
      <c r="AK135">
        <v>5</v>
      </c>
      <c r="AL135">
        <v>1</v>
      </c>
      <c r="AM135">
        <f>AJ135*AK135*AL135/7</f>
        <v>3.5714285714285716</v>
      </c>
      <c r="AN135" t="s">
        <v>57</v>
      </c>
      <c r="AO135">
        <v>0</v>
      </c>
      <c r="AV135">
        <f>AU135+AM135</f>
        <v>3.5714285714285716</v>
      </c>
      <c r="AX135">
        <v>0</v>
      </c>
      <c r="BE135">
        <f>AM135+AU135+BD135</f>
        <v>3.5714285714285716</v>
      </c>
      <c r="BG135">
        <v>0</v>
      </c>
      <c r="BJ135" t="s">
        <v>42</v>
      </c>
      <c r="BK135">
        <v>6</v>
      </c>
      <c r="BL135">
        <v>1</v>
      </c>
      <c r="BM135">
        <v>1</v>
      </c>
      <c r="BN135" t="s">
        <v>30</v>
      </c>
      <c r="BO135">
        <v>1</v>
      </c>
      <c r="BP135">
        <v>168</v>
      </c>
      <c r="BQ135">
        <v>0.13</v>
      </c>
      <c r="BR135">
        <v>2</v>
      </c>
      <c r="BS135">
        <v>0.26</v>
      </c>
      <c r="BT135">
        <f>BS135+BD135+AU135+AM135</f>
        <v>3.8314285714285718</v>
      </c>
      <c r="BU135">
        <v>1</v>
      </c>
      <c r="BV135">
        <v>1</v>
      </c>
      <c r="BW135">
        <v>146.5</v>
      </c>
      <c r="BX135">
        <f>BW135/7</f>
        <v>20.928571428571427</v>
      </c>
      <c r="BY135">
        <f>0.00077*BX135</f>
        <v>1.6114999999999997E-2</v>
      </c>
      <c r="BZ135">
        <f t="shared" si="2"/>
        <v>3.847543571428572</v>
      </c>
    </row>
    <row r="136" spans="1:78">
      <c r="A136" s="1">
        <v>45167.719126898148</v>
      </c>
      <c r="C136">
        <v>135</v>
      </c>
      <c r="D136" s="10">
        <v>31234</v>
      </c>
      <c r="E136">
        <v>38</v>
      </c>
      <c r="F136">
        <v>1</v>
      </c>
      <c r="G136">
        <v>6</v>
      </c>
      <c r="H136">
        <v>5</v>
      </c>
      <c r="I136" s="10">
        <v>44307</v>
      </c>
      <c r="J136">
        <v>2</v>
      </c>
      <c r="K136">
        <v>0</v>
      </c>
      <c r="L136">
        <v>1</v>
      </c>
      <c r="M136">
        <v>3260</v>
      </c>
      <c r="N136">
        <v>2</v>
      </c>
      <c r="O136" s="10">
        <v>44041</v>
      </c>
      <c r="P136">
        <v>1</v>
      </c>
      <c r="Q136">
        <v>38</v>
      </c>
      <c r="R136">
        <v>2</v>
      </c>
      <c r="S136">
        <v>50</v>
      </c>
      <c r="T136">
        <v>156</v>
      </c>
      <c r="U136">
        <v>62</v>
      </c>
      <c r="V136">
        <v>12</v>
      </c>
      <c r="W136">
        <v>2</v>
      </c>
      <c r="X136">
        <v>20.5456936226167</v>
      </c>
      <c r="Y136">
        <v>25.476660092044707</v>
      </c>
      <c r="Z136">
        <v>4.9309664694280073</v>
      </c>
      <c r="AA136">
        <v>2</v>
      </c>
      <c r="AB136">
        <v>3</v>
      </c>
      <c r="AC136" t="s">
        <v>50</v>
      </c>
      <c r="AD136">
        <v>2</v>
      </c>
      <c r="AE136">
        <v>0</v>
      </c>
      <c r="AG136">
        <v>5</v>
      </c>
      <c r="AH136">
        <v>1</v>
      </c>
      <c r="AI136">
        <v>5</v>
      </c>
      <c r="AJ136">
        <v>5</v>
      </c>
      <c r="AK136">
        <v>7</v>
      </c>
      <c r="AL136">
        <v>1</v>
      </c>
      <c r="AM136">
        <f>AJ136*AK136*AL136/7</f>
        <v>5</v>
      </c>
      <c r="AN136" t="s">
        <v>27</v>
      </c>
      <c r="AO136">
        <v>0</v>
      </c>
      <c r="AV136">
        <f>AU136+AM136</f>
        <v>5</v>
      </c>
      <c r="AX136">
        <v>0</v>
      </c>
      <c r="BE136">
        <f>AM136+AU136+BD136</f>
        <v>5</v>
      </c>
      <c r="BG136">
        <v>0</v>
      </c>
      <c r="BJ136" t="s">
        <v>42</v>
      </c>
      <c r="BK136">
        <v>6</v>
      </c>
      <c r="BL136">
        <v>1</v>
      </c>
      <c r="BM136">
        <v>1</v>
      </c>
      <c r="BN136" t="s">
        <v>30</v>
      </c>
      <c r="BO136">
        <v>1</v>
      </c>
      <c r="BP136">
        <v>168</v>
      </c>
      <c r="BQ136">
        <v>0.13</v>
      </c>
      <c r="BR136">
        <v>2</v>
      </c>
      <c r="BS136">
        <v>0.26</v>
      </c>
      <c r="BT136">
        <f>BS136+BD136+AU136+AM136</f>
        <v>5.26</v>
      </c>
      <c r="BU136">
        <v>1</v>
      </c>
      <c r="BV136">
        <v>1</v>
      </c>
      <c r="BW136">
        <v>146.5</v>
      </c>
      <c r="BX136">
        <f>BW136/7</f>
        <v>20.928571428571427</v>
      </c>
      <c r="BY136">
        <f>0.00077*BX136</f>
        <v>1.6114999999999997E-2</v>
      </c>
      <c r="BZ136">
        <f t="shared" si="2"/>
        <v>5.2761149999999999</v>
      </c>
    </row>
    <row r="137" spans="1:78">
      <c r="A137" s="1">
        <v>45167.77840920139</v>
      </c>
      <c r="C137">
        <v>136</v>
      </c>
      <c r="D137" s="10">
        <v>32532</v>
      </c>
      <c r="E137">
        <v>34</v>
      </c>
      <c r="F137">
        <v>1</v>
      </c>
      <c r="G137">
        <v>8</v>
      </c>
      <c r="H137">
        <v>4</v>
      </c>
      <c r="I137" s="10">
        <v>44992</v>
      </c>
      <c r="J137">
        <v>1</v>
      </c>
      <c r="K137">
        <v>1</v>
      </c>
      <c r="L137">
        <v>1</v>
      </c>
      <c r="M137">
        <v>3950</v>
      </c>
      <c r="N137">
        <v>2</v>
      </c>
      <c r="O137" s="10">
        <v>44728</v>
      </c>
      <c r="P137">
        <v>0</v>
      </c>
      <c r="Q137">
        <v>37.714285714285715</v>
      </c>
      <c r="R137">
        <v>2</v>
      </c>
      <c r="S137">
        <v>66</v>
      </c>
      <c r="T137">
        <v>167</v>
      </c>
      <c r="U137">
        <v>83</v>
      </c>
      <c r="V137">
        <v>17</v>
      </c>
      <c r="W137">
        <v>3</v>
      </c>
      <c r="X137">
        <v>23.665244361576249</v>
      </c>
      <c r="Y137">
        <v>29.760837606224676</v>
      </c>
      <c r="Z137">
        <v>6.0955932446484269</v>
      </c>
      <c r="AA137">
        <v>2</v>
      </c>
      <c r="AB137">
        <v>3</v>
      </c>
      <c r="AC137" t="s">
        <v>33</v>
      </c>
      <c r="AD137">
        <v>3</v>
      </c>
      <c r="AE137">
        <v>0</v>
      </c>
      <c r="AG137">
        <v>5</v>
      </c>
      <c r="AH137">
        <v>1</v>
      </c>
      <c r="AI137">
        <v>5</v>
      </c>
      <c r="AJ137">
        <v>5</v>
      </c>
      <c r="AK137">
        <v>7</v>
      </c>
      <c r="AL137">
        <v>1</v>
      </c>
      <c r="AM137">
        <f>AJ137*AK137*AL137/7</f>
        <v>5</v>
      </c>
      <c r="AN137" t="s">
        <v>27</v>
      </c>
      <c r="AO137">
        <v>0</v>
      </c>
      <c r="AV137">
        <f>AU137+AM137</f>
        <v>5</v>
      </c>
      <c r="AW137" t="s">
        <v>71</v>
      </c>
      <c r="AX137">
        <v>1</v>
      </c>
      <c r="AY137" t="s">
        <v>71</v>
      </c>
      <c r="AZ137">
        <v>5</v>
      </c>
      <c r="BA137">
        <v>0.4</v>
      </c>
      <c r="BB137">
        <v>7</v>
      </c>
      <c r="BC137">
        <v>1</v>
      </c>
      <c r="BD137">
        <f>BA137*BB137*1/7</f>
        <v>0.4</v>
      </c>
      <c r="BE137">
        <f>AM137+AU137+BD137</f>
        <v>5.4</v>
      </c>
      <c r="BF137" t="s">
        <v>71</v>
      </c>
      <c r="BG137">
        <v>0</v>
      </c>
      <c r="BH137">
        <v>7</v>
      </c>
      <c r="BI137">
        <v>1</v>
      </c>
      <c r="BJ137" t="s">
        <v>42</v>
      </c>
      <c r="BK137">
        <v>6</v>
      </c>
      <c r="BL137">
        <v>1</v>
      </c>
      <c r="BM137">
        <v>1</v>
      </c>
      <c r="BN137" t="s">
        <v>30</v>
      </c>
      <c r="BO137">
        <v>1</v>
      </c>
      <c r="BP137">
        <v>168</v>
      </c>
      <c r="BQ137">
        <v>0.13</v>
      </c>
      <c r="BR137">
        <v>2</v>
      </c>
      <c r="BS137">
        <v>0.26</v>
      </c>
      <c r="BT137">
        <f>BS137+BD137+AU137+AM137</f>
        <v>5.66</v>
      </c>
      <c r="BU137">
        <v>1</v>
      </c>
      <c r="BV137">
        <v>1</v>
      </c>
      <c r="BW137">
        <v>146.5</v>
      </c>
      <c r="BX137">
        <f>BW137/7</f>
        <v>20.928571428571427</v>
      </c>
      <c r="BY137">
        <f>0.00077*BX137</f>
        <v>1.6114999999999997E-2</v>
      </c>
      <c r="BZ137">
        <f t="shared" si="2"/>
        <v>5.6761150000000002</v>
      </c>
    </row>
    <row r="138" spans="1:78">
      <c r="A138" s="1">
        <v>45167.809572303246</v>
      </c>
      <c r="C138">
        <v>137</v>
      </c>
      <c r="D138" s="10">
        <v>33056</v>
      </c>
      <c r="E138">
        <v>33</v>
      </c>
      <c r="F138">
        <v>1</v>
      </c>
      <c r="G138">
        <v>10</v>
      </c>
      <c r="H138">
        <v>2</v>
      </c>
      <c r="I138" s="10">
        <v>44080</v>
      </c>
      <c r="J138">
        <v>2</v>
      </c>
      <c r="K138">
        <v>0</v>
      </c>
      <c r="L138">
        <v>1</v>
      </c>
      <c r="M138">
        <v>3030</v>
      </c>
      <c r="N138">
        <v>2</v>
      </c>
      <c r="O138" s="10">
        <v>43811</v>
      </c>
      <c r="P138">
        <v>0</v>
      </c>
      <c r="Q138">
        <v>38.428571428571431</v>
      </c>
      <c r="R138">
        <v>2</v>
      </c>
      <c r="S138">
        <v>63</v>
      </c>
      <c r="T138">
        <v>163</v>
      </c>
      <c r="U138">
        <v>79</v>
      </c>
      <c r="V138">
        <v>16</v>
      </c>
      <c r="W138">
        <v>2</v>
      </c>
      <c r="X138">
        <v>23.711844630960897</v>
      </c>
      <c r="Y138">
        <v>29.733900410252552</v>
      </c>
      <c r="Z138">
        <v>6.0220557792916551</v>
      </c>
      <c r="AA138">
        <v>2</v>
      </c>
      <c r="AB138">
        <v>3</v>
      </c>
      <c r="AC138" t="s">
        <v>50</v>
      </c>
      <c r="AD138">
        <v>2</v>
      </c>
      <c r="AE138">
        <v>0</v>
      </c>
      <c r="AG138">
        <v>5</v>
      </c>
      <c r="AH138">
        <v>1</v>
      </c>
      <c r="AI138">
        <v>4</v>
      </c>
      <c r="AJ138">
        <v>1</v>
      </c>
      <c r="AK138">
        <v>7</v>
      </c>
      <c r="AL138">
        <v>1</v>
      </c>
      <c r="AM138">
        <f>AJ138*AK138*AL138/7</f>
        <v>1</v>
      </c>
      <c r="AN138" t="s">
        <v>43</v>
      </c>
      <c r="AO138">
        <v>0</v>
      </c>
      <c r="AV138">
        <f>AU138+AM138</f>
        <v>1</v>
      </c>
      <c r="AX138">
        <v>0</v>
      </c>
      <c r="BE138">
        <f>AM138+AU138+BD138</f>
        <v>1</v>
      </c>
      <c r="BG138">
        <v>0</v>
      </c>
      <c r="BJ138" t="s">
        <v>36</v>
      </c>
      <c r="BK138">
        <v>4</v>
      </c>
      <c r="BL138">
        <v>1</v>
      </c>
      <c r="BM138">
        <v>1</v>
      </c>
      <c r="BN138" t="s">
        <v>30</v>
      </c>
      <c r="BO138">
        <v>1</v>
      </c>
      <c r="BP138">
        <v>168</v>
      </c>
      <c r="BQ138">
        <v>0.13</v>
      </c>
      <c r="BR138">
        <v>2</v>
      </c>
      <c r="BS138">
        <v>0.26</v>
      </c>
      <c r="BT138">
        <f>BS138+BD138+AU138+AM138</f>
        <v>1.26</v>
      </c>
      <c r="BU138">
        <v>1</v>
      </c>
      <c r="BV138">
        <v>1</v>
      </c>
      <c r="BW138">
        <v>146.5</v>
      </c>
      <c r="BX138">
        <f>BW138/7</f>
        <v>20.928571428571427</v>
      </c>
      <c r="BY138">
        <f>0.00077*BX138</f>
        <v>1.6114999999999997E-2</v>
      </c>
      <c r="BZ138">
        <f t="shared" si="2"/>
        <v>1.2761150000000001</v>
      </c>
    </row>
    <row r="139" spans="1:78">
      <c r="A139" s="1">
        <v>45167.834341192131</v>
      </c>
      <c r="B139" s="9" t="s">
        <v>866</v>
      </c>
      <c r="C139">
        <v>138</v>
      </c>
      <c r="D139" s="10">
        <v>31074</v>
      </c>
      <c r="E139">
        <v>38</v>
      </c>
      <c r="F139">
        <v>1</v>
      </c>
      <c r="G139">
        <v>1</v>
      </c>
      <c r="H139">
        <v>4</v>
      </c>
      <c r="I139" s="10">
        <v>44043</v>
      </c>
      <c r="J139">
        <v>1</v>
      </c>
      <c r="K139">
        <v>1</v>
      </c>
      <c r="L139">
        <v>1</v>
      </c>
      <c r="M139">
        <v>3780</v>
      </c>
      <c r="N139">
        <v>2</v>
      </c>
      <c r="O139" s="10">
        <v>43763</v>
      </c>
      <c r="P139">
        <v>0</v>
      </c>
      <c r="Q139">
        <v>40</v>
      </c>
      <c r="R139">
        <v>2</v>
      </c>
      <c r="S139">
        <v>59</v>
      </c>
      <c r="T139">
        <v>164</v>
      </c>
      <c r="U139">
        <v>72.5</v>
      </c>
      <c r="V139">
        <v>13.5</v>
      </c>
      <c r="W139">
        <v>2</v>
      </c>
      <c r="X139">
        <v>21.936347412254616</v>
      </c>
      <c r="Y139">
        <v>26.95568114217728</v>
      </c>
      <c r="Z139">
        <v>5.0193337299226641</v>
      </c>
      <c r="AA139">
        <v>2</v>
      </c>
      <c r="AB139">
        <v>3</v>
      </c>
      <c r="AC139" t="s">
        <v>33</v>
      </c>
      <c r="AD139">
        <v>3</v>
      </c>
      <c r="AE139">
        <v>0</v>
      </c>
      <c r="AG139">
        <v>5</v>
      </c>
      <c r="AH139">
        <v>1</v>
      </c>
      <c r="AI139" t="s">
        <v>258</v>
      </c>
      <c r="AJ139" t="s">
        <v>258</v>
      </c>
      <c r="AK139">
        <v>7</v>
      </c>
      <c r="AL139">
        <v>1</v>
      </c>
      <c r="AM139" t="s">
        <v>258</v>
      </c>
      <c r="AN139" t="s">
        <v>677</v>
      </c>
      <c r="AO139">
        <v>0</v>
      </c>
      <c r="AW139" t="s">
        <v>678</v>
      </c>
      <c r="AX139">
        <v>0</v>
      </c>
      <c r="BE139" t="s">
        <v>258</v>
      </c>
      <c r="BF139" t="s">
        <v>678</v>
      </c>
      <c r="BG139">
        <v>0</v>
      </c>
      <c r="BH139">
        <v>0</v>
      </c>
      <c r="BI139">
        <v>0</v>
      </c>
      <c r="BJ139" t="s">
        <v>36</v>
      </c>
      <c r="BK139">
        <v>4</v>
      </c>
      <c r="BL139">
        <v>1</v>
      </c>
      <c r="BM139">
        <v>1</v>
      </c>
      <c r="BN139" t="s">
        <v>37</v>
      </c>
      <c r="BO139">
        <v>4</v>
      </c>
      <c r="BP139">
        <v>27.5</v>
      </c>
      <c r="BQ139">
        <v>0.05</v>
      </c>
      <c r="BR139">
        <v>0.5</v>
      </c>
      <c r="BS139">
        <v>2.5000000000000001E-2</v>
      </c>
      <c r="BT139" t="e">
        <f>BS139+BD139+AU139+AM139</f>
        <v>#VALUE!</v>
      </c>
      <c r="BU139">
        <v>1</v>
      </c>
      <c r="BV139">
        <v>0.5</v>
      </c>
      <c r="BW139">
        <v>73.25</v>
      </c>
      <c r="BX139">
        <f>BW139/7</f>
        <v>10.464285714285714</v>
      </c>
      <c r="BY139">
        <f>0.00077*BX139</f>
        <v>8.0574999999999987E-3</v>
      </c>
      <c r="BZ139" t="e">
        <f t="shared" si="2"/>
        <v>#VALUE!</v>
      </c>
    </row>
    <row r="140" spans="1:78">
      <c r="A140" s="1">
        <v>45167.881287418983</v>
      </c>
      <c r="C140">
        <v>139</v>
      </c>
      <c r="D140" s="10">
        <v>34707</v>
      </c>
      <c r="E140">
        <v>28</v>
      </c>
      <c r="F140">
        <v>1</v>
      </c>
      <c r="G140">
        <v>1</v>
      </c>
      <c r="H140">
        <v>4</v>
      </c>
      <c r="I140" s="10">
        <v>44832</v>
      </c>
      <c r="J140">
        <v>2</v>
      </c>
      <c r="K140">
        <v>0</v>
      </c>
      <c r="L140">
        <v>1</v>
      </c>
      <c r="M140">
        <v>3990</v>
      </c>
      <c r="N140">
        <v>2</v>
      </c>
      <c r="O140" s="10">
        <v>44545</v>
      </c>
      <c r="P140">
        <v>0</v>
      </c>
      <c r="Q140">
        <v>41</v>
      </c>
      <c r="R140">
        <v>2</v>
      </c>
      <c r="S140">
        <v>82</v>
      </c>
      <c r="T140">
        <v>157</v>
      </c>
      <c r="U140">
        <v>93.5</v>
      </c>
      <c r="V140">
        <v>11.5</v>
      </c>
      <c r="W140">
        <v>2</v>
      </c>
      <c r="X140">
        <v>33.267069657998292</v>
      </c>
      <c r="Y140">
        <v>37.932573329546834</v>
      </c>
      <c r="Z140">
        <v>4.6655036715485423</v>
      </c>
      <c r="AA140">
        <v>4</v>
      </c>
      <c r="AB140">
        <v>4</v>
      </c>
      <c r="AC140" t="s">
        <v>106</v>
      </c>
      <c r="AD140">
        <v>2</v>
      </c>
      <c r="AE140">
        <v>0</v>
      </c>
      <c r="AG140">
        <v>5</v>
      </c>
      <c r="AH140">
        <v>1</v>
      </c>
      <c r="AI140">
        <v>13</v>
      </c>
      <c r="AJ140">
        <v>1</v>
      </c>
      <c r="AK140">
        <v>4</v>
      </c>
      <c r="AL140">
        <v>1</v>
      </c>
      <c r="AM140">
        <f>AJ140*AK140*AL140/7</f>
        <v>0.5714285714285714</v>
      </c>
      <c r="AN140" t="s">
        <v>79</v>
      </c>
      <c r="AO140">
        <v>0</v>
      </c>
      <c r="AV140">
        <f>AU140+AM140</f>
        <v>0.5714285714285714</v>
      </c>
      <c r="AX140">
        <v>0</v>
      </c>
      <c r="BE140">
        <f>AM140+AU140+BD140</f>
        <v>0.5714285714285714</v>
      </c>
      <c r="BG140">
        <v>0</v>
      </c>
      <c r="BJ140" t="s">
        <v>49</v>
      </c>
      <c r="BK140">
        <v>5</v>
      </c>
      <c r="BL140">
        <v>3</v>
      </c>
      <c r="BM140">
        <v>1</v>
      </c>
      <c r="BN140" t="s">
        <v>30</v>
      </c>
      <c r="BO140">
        <v>1</v>
      </c>
      <c r="BP140">
        <v>252</v>
      </c>
      <c r="BQ140">
        <v>0.13</v>
      </c>
      <c r="BR140">
        <v>3</v>
      </c>
      <c r="BS140">
        <v>0.39</v>
      </c>
      <c r="BT140">
        <f>BS140+BD140+AU140+AM140</f>
        <v>0.96142857142857141</v>
      </c>
      <c r="BU140">
        <v>1</v>
      </c>
      <c r="BV140">
        <v>4</v>
      </c>
      <c r="BW140">
        <v>586</v>
      </c>
      <c r="BX140">
        <f>BW140/7</f>
        <v>83.714285714285708</v>
      </c>
      <c r="BY140">
        <f>0.00077*BX140</f>
        <v>6.445999999999999E-2</v>
      </c>
      <c r="BZ140">
        <f t="shared" si="2"/>
        <v>1.0258885714285715</v>
      </c>
    </row>
    <row r="141" spans="1:78">
      <c r="A141" s="1">
        <v>45167.892246539355</v>
      </c>
      <c r="C141">
        <v>140</v>
      </c>
      <c r="D141" s="10">
        <v>32248</v>
      </c>
      <c r="E141">
        <v>35</v>
      </c>
      <c r="F141">
        <v>1</v>
      </c>
      <c r="G141">
        <v>2</v>
      </c>
      <c r="H141">
        <v>5</v>
      </c>
      <c r="I141" s="10">
        <v>44863</v>
      </c>
      <c r="J141">
        <v>2</v>
      </c>
      <c r="K141">
        <v>0</v>
      </c>
      <c r="L141">
        <v>1</v>
      </c>
      <c r="M141">
        <v>2390</v>
      </c>
      <c r="N141">
        <v>1</v>
      </c>
      <c r="O141" s="10">
        <v>44618</v>
      </c>
      <c r="P141">
        <v>0</v>
      </c>
      <c r="Q141">
        <v>35</v>
      </c>
      <c r="R141">
        <v>3</v>
      </c>
      <c r="S141">
        <v>64</v>
      </c>
      <c r="T141">
        <v>159</v>
      </c>
      <c r="U141">
        <v>79</v>
      </c>
      <c r="V141">
        <v>15</v>
      </c>
      <c r="W141">
        <v>3</v>
      </c>
      <c r="X141">
        <v>25.315454293738377</v>
      </c>
      <c r="Y141">
        <v>31.24876389383331</v>
      </c>
      <c r="Z141">
        <v>5.9333096000949332</v>
      </c>
      <c r="AA141">
        <v>3</v>
      </c>
      <c r="AB141">
        <v>4</v>
      </c>
      <c r="AC141" t="s">
        <v>25</v>
      </c>
      <c r="AD141">
        <v>1</v>
      </c>
      <c r="AE141">
        <v>0</v>
      </c>
      <c r="AG141">
        <v>5</v>
      </c>
      <c r="AH141">
        <v>1</v>
      </c>
      <c r="AI141">
        <v>5</v>
      </c>
      <c r="AJ141">
        <v>5</v>
      </c>
      <c r="AK141">
        <v>7</v>
      </c>
      <c r="AL141">
        <v>1</v>
      </c>
      <c r="AM141">
        <f>AJ141*AK141*AL141/7</f>
        <v>5</v>
      </c>
      <c r="AN141" t="s">
        <v>27</v>
      </c>
      <c r="AO141">
        <v>0</v>
      </c>
      <c r="AV141">
        <f>AU141+AM141</f>
        <v>5</v>
      </c>
      <c r="AX141">
        <v>0</v>
      </c>
      <c r="BE141">
        <f>AM141+AU141+BD141</f>
        <v>5</v>
      </c>
      <c r="BG141">
        <v>0</v>
      </c>
      <c r="BJ141" t="s">
        <v>49</v>
      </c>
      <c r="BK141">
        <v>5</v>
      </c>
      <c r="BL141">
        <v>1</v>
      </c>
      <c r="BM141">
        <v>1</v>
      </c>
      <c r="BN141" t="s">
        <v>30</v>
      </c>
      <c r="BO141">
        <v>1</v>
      </c>
      <c r="BP141">
        <v>252</v>
      </c>
      <c r="BQ141">
        <v>0.13</v>
      </c>
      <c r="BR141">
        <v>3</v>
      </c>
      <c r="BS141">
        <v>0.39</v>
      </c>
      <c r="BT141">
        <f>BS141+BD141+AU141+AM141</f>
        <v>5.39</v>
      </c>
      <c r="BU141">
        <v>1</v>
      </c>
      <c r="BV141">
        <v>2</v>
      </c>
      <c r="BW141">
        <v>293</v>
      </c>
      <c r="BX141">
        <f>BW141/7</f>
        <v>41.857142857142854</v>
      </c>
      <c r="BY141">
        <f>0.00077*BX141</f>
        <v>3.2229999999999995E-2</v>
      </c>
      <c r="BZ141">
        <f t="shared" si="2"/>
        <v>5.4222299999999999</v>
      </c>
    </row>
    <row r="142" spans="1:78">
      <c r="A142" s="1">
        <v>45167.919170381945</v>
      </c>
      <c r="C142">
        <v>141</v>
      </c>
      <c r="D142" s="10">
        <v>34300</v>
      </c>
      <c r="E142">
        <v>29</v>
      </c>
      <c r="F142">
        <v>1</v>
      </c>
      <c r="G142">
        <v>1</v>
      </c>
      <c r="H142">
        <v>4</v>
      </c>
      <c r="I142" s="10">
        <v>44872</v>
      </c>
      <c r="J142">
        <v>2</v>
      </c>
      <c r="K142">
        <v>0</v>
      </c>
      <c r="L142">
        <v>1</v>
      </c>
      <c r="M142">
        <v>2925</v>
      </c>
      <c r="N142">
        <v>2</v>
      </c>
      <c r="O142" s="10">
        <v>44599</v>
      </c>
      <c r="P142">
        <v>0</v>
      </c>
      <c r="Q142">
        <v>39</v>
      </c>
      <c r="R142">
        <v>2</v>
      </c>
      <c r="S142">
        <v>64</v>
      </c>
      <c r="T142">
        <v>153</v>
      </c>
      <c r="U142">
        <v>72</v>
      </c>
      <c r="V142">
        <v>8</v>
      </c>
      <c r="W142">
        <v>2</v>
      </c>
      <c r="X142">
        <v>27.339911999658252</v>
      </c>
      <c r="Y142">
        <v>30.757400999615534</v>
      </c>
      <c r="Z142">
        <v>3.4174889999572819</v>
      </c>
      <c r="AA142">
        <v>3</v>
      </c>
      <c r="AB142">
        <v>4</v>
      </c>
      <c r="AC142" t="s">
        <v>33</v>
      </c>
      <c r="AD142">
        <v>3</v>
      </c>
      <c r="AE142">
        <v>0</v>
      </c>
      <c r="AG142">
        <v>5</v>
      </c>
      <c r="AH142">
        <v>0</v>
      </c>
      <c r="AI142">
        <v>0</v>
      </c>
      <c r="AN142" t="s">
        <v>41</v>
      </c>
      <c r="AO142">
        <v>0</v>
      </c>
      <c r="AX142">
        <v>1</v>
      </c>
      <c r="AY142" t="s">
        <v>876</v>
      </c>
      <c r="AZ142">
        <v>1</v>
      </c>
      <c r="BA142">
        <v>0.8</v>
      </c>
      <c r="BB142">
        <v>7</v>
      </c>
      <c r="BC142">
        <v>1</v>
      </c>
      <c r="BD142">
        <f>BA142*BB142*1/7</f>
        <v>0.8</v>
      </c>
      <c r="BE142">
        <f>AM142+AU142+BD142</f>
        <v>0.8</v>
      </c>
      <c r="BF142" t="s">
        <v>876</v>
      </c>
      <c r="BG142">
        <v>0</v>
      </c>
      <c r="BH142">
        <v>7</v>
      </c>
      <c r="BI142">
        <v>1</v>
      </c>
      <c r="BJ142" t="s">
        <v>42</v>
      </c>
      <c r="BK142">
        <v>6</v>
      </c>
      <c r="BL142">
        <v>1</v>
      </c>
      <c r="BM142">
        <v>1</v>
      </c>
      <c r="BN142" t="s">
        <v>30</v>
      </c>
      <c r="BO142">
        <v>1</v>
      </c>
      <c r="BP142">
        <v>168</v>
      </c>
      <c r="BQ142">
        <v>0.13</v>
      </c>
      <c r="BR142">
        <v>2</v>
      </c>
      <c r="BS142">
        <v>0.26</v>
      </c>
      <c r="BT142">
        <f>BS142+BD142+AU142+AM142</f>
        <v>1.06</v>
      </c>
      <c r="BU142">
        <v>1</v>
      </c>
      <c r="BV142">
        <v>2</v>
      </c>
      <c r="BW142">
        <v>293</v>
      </c>
      <c r="BX142">
        <f>BW142/7</f>
        <v>41.857142857142854</v>
      </c>
      <c r="BY142">
        <f>0.00077*BX142</f>
        <v>3.2229999999999995E-2</v>
      </c>
      <c r="BZ142">
        <f t="shared" si="2"/>
        <v>1.09223</v>
      </c>
    </row>
    <row r="143" spans="1:78">
      <c r="A143" s="1">
        <v>45167.921494386574</v>
      </c>
      <c r="C143">
        <v>142</v>
      </c>
      <c r="D143" s="10">
        <v>33600</v>
      </c>
      <c r="E143">
        <v>31</v>
      </c>
      <c r="F143">
        <v>1</v>
      </c>
      <c r="G143">
        <v>1</v>
      </c>
      <c r="H143">
        <v>4</v>
      </c>
      <c r="I143" s="10">
        <v>43230</v>
      </c>
      <c r="J143">
        <v>1</v>
      </c>
      <c r="K143">
        <v>1</v>
      </c>
      <c r="L143">
        <v>1</v>
      </c>
      <c r="M143">
        <v>3250</v>
      </c>
      <c r="N143">
        <v>2</v>
      </c>
      <c r="O143" s="10">
        <v>42943</v>
      </c>
      <c r="P143">
        <v>0</v>
      </c>
      <c r="Q143">
        <v>41</v>
      </c>
      <c r="R143">
        <v>2</v>
      </c>
      <c r="S143">
        <v>98</v>
      </c>
      <c r="T143">
        <v>163</v>
      </c>
      <c r="U143">
        <v>85</v>
      </c>
      <c r="V143">
        <v>-13</v>
      </c>
      <c r="W143">
        <v>1</v>
      </c>
      <c r="X143">
        <v>36.885091648161392</v>
      </c>
      <c r="Y143">
        <v>31.992171327486922</v>
      </c>
      <c r="Z143">
        <v>-4.8929203206744702</v>
      </c>
      <c r="AA143">
        <v>4</v>
      </c>
      <c r="AB143">
        <v>4</v>
      </c>
      <c r="AC143" t="s">
        <v>33</v>
      </c>
      <c r="AD143">
        <v>3</v>
      </c>
      <c r="AE143">
        <v>0</v>
      </c>
      <c r="AG143">
        <v>5</v>
      </c>
      <c r="AH143">
        <v>1</v>
      </c>
      <c r="AI143">
        <v>13</v>
      </c>
      <c r="AJ143">
        <v>1</v>
      </c>
      <c r="AK143">
        <v>7</v>
      </c>
      <c r="AL143">
        <v>1</v>
      </c>
      <c r="AM143">
        <f>AJ143*AK143*AL143/7</f>
        <v>1</v>
      </c>
      <c r="AN143" t="s">
        <v>79</v>
      </c>
      <c r="AO143">
        <v>0</v>
      </c>
      <c r="AV143">
        <f>AU143+AM143</f>
        <v>1</v>
      </c>
      <c r="AX143">
        <v>0</v>
      </c>
      <c r="BE143">
        <f>AM143+AU143+BD143</f>
        <v>1</v>
      </c>
      <c r="BG143">
        <v>0</v>
      </c>
      <c r="BJ143" t="s">
        <v>49</v>
      </c>
      <c r="BK143">
        <v>5</v>
      </c>
      <c r="BL143">
        <v>3</v>
      </c>
      <c r="BM143">
        <v>1</v>
      </c>
      <c r="BN143" t="s">
        <v>30</v>
      </c>
      <c r="BO143">
        <v>1</v>
      </c>
      <c r="BP143">
        <v>168</v>
      </c>
      <c r="BQ143">
        <v>0.13</v>
      </c>
      <c r="BR143">
        <v>2</v>
      </c>
      <c r="BS143">
        <v>0.26</v>
      </c>
      <c r="BT143">
        <f>BS143+BD143+AU143+AM143</f>
        <v>1.26</v>
      </c>
      <c r="BU143">
        <v>1</v>
      </c>
      <c r="BV143">
        <v>1</v>
      </c>
      <c r="BW143">
        <v>146.5</v>
      </c>
      <c r="BX143">
        <f>BW143/7</f>
        <v>20.928571428571427</v>
      </c>
      <c r="BY143">
        <f>0.00077*BX143</f>
        <v>1.6114999999999997E-2</v>
      </c>
      <c r="BZ143">
        <f t="shared" si="2"/>
        <v>1.2761150000000001</v>
      </c>
    </row>
    <row r="144" spans="1:78">
      <c r="A144" s="1">
        <v>45167.932859768523</v>
      </c>
      <c r="C144">
        <v>143</v>
      </c>
      <c r="D144" s="10">
        <v>33163</v>
      </c>
      <c r="E144">
        <v>32</v>
      </c>
      <c r="F144">
        <v>1</v>
      </c>
      <c r="G144">
        <v>12</v>
      </c>
      <c r="H144">
        <v>5</v>
      </c>
      <c r="I144" s="10">
        <v>44303</v>
      </c>
      <c r="J144">
        <v>1</v>
      </c>
      <c r="K144">
        <v>1</v>
      </c>
      <c r="L144">
        <v>2</v>
      </c>
      <c r="M144">
        <v>3450</v>
      </c>
      <c r="N144">
        <v>2</v>
      </c>
      <c r="O144" s="10">
        <v>44030</v>
      </c>
      <c r="P144">
        <v>1</v>
      </c>
      <c r="Q144">
        <v>39</v>
      </c>
      <c r="R144">
        <v>2</v>
      </c>
      <c r="S144">
        <v>80</v>
      </c>
      <c r="T144">
        <v>173</v>
      </c>
      <c r="U144">
        <v>84</v>
      </c>
      <c r="V144">
        <v>4</v>
      </c>
      <c r="W144">
        <v>1</v>
      </c>
      <c r="X144">
        <v>26.729927495071667</v>
      </c>
      <c r="Y144">
        <v>28.06642386982525</v>
      </c>
      <c r="Z144">
        <v>1.3364963747535832</v>
      </c>
      <c r="AA144">
        <v>3</v>
      </c>
      <c r="AB144">
        <v>3</v>
      </c>
      <c r="AC144" t="s">
        <v>33</v>
      </c>
      <c r="AD144">
        <v>3</v>
      </c>
      <c r="AE144">
        <v>0</v>
      </c>
      <c r="AG144">
        <v>5</v>
      </c>
      <c r="AH144">
        <v>1</v>
      </c>
      <c r="AI144">
        <v>12</v>
      </c>
      <c r="AJ144">
        <v>0.1</v>
      </c>
      <c r="AK144">
        <v>1</v>
      </c>
      <c r="AL144">
        <v>1</v>
      </c>
      <c r="AM144">
        <f>AJ144*AK144*AL144/7</f>
        <v>1.4285714285714287E-2</v>
      </c>
      <c r="AN144" t="s">
        <v>162</v>
      </c>
      <c r="AO144">
        <v>0</v>
      </c>
      <c r="AV144">
        <f>AU144+AM144</f>
        <v>1.4285714285714287E-2</v>
      </c>
      <c r="AW144" t="s">
        <v>163</v>
      </c>
      <c r="AX144">
        <v>0</v>
      </c>
      <c r="BE144">
        <f>AM144+AU144+BD144</f>
        <v>1.4285714285714287E-2</v>
      </c>
      <c r="BF144" t="s">
        <v>163</v>
      </c>
      <c r="BG144">
        <v>1</v>
      </c>
      <c r="BH144">
        <v>1</v>
      </c>
      <c r="BI144">
        <v>1</v>
      </c>
      <c r="BJ144" t="s">
        <v>49</v>
      </c>
      <c r="BK144">
        <v>5</v>
      </c>
      <c r="BL144">
        <v>1</v>
      </c>
      <c r="BM144">
        <v>1</v>
      </c>
      <c r="BN144" t="s">
        <v>30</v>
      </c>
      <c r="BO144">
        <v>1</v>
      </c>
      <c r="BP144">
        <v>168</v>
      </c>
      <c r="BQ144">
        <v>0.13</v>
      </c>
      <c r="BR144">
        <v>2</v>
      </c>
      <c r="BS144">
        <v>0.26</v>
      </c>
      <c r="BT144">
        <f>BS144+BD144+AU144+AM144</f>
        <v>0.2742857142857143</v>
      </c>
      <c r="BU144">
        <v>1</v>
      </c>
      <c r="BV144">
        <v>5</v>
      </c>
      <c r="BW144">
        <v>732.5</v>
      </c>
      <c r="BX144">
        <f>BW144/7</f>
        <v>104.64285714285714</v>
      </c>
      <c r="BY144">
        <f>0.00077*BX144</f>
        <v>8.0574999999999994E-2</v>
      </c>
      <c r="BZ144">
        <f t="shared" si="2"/>
        <v>0.35486071428571431</v>
      </c>
    </row>
    <row r="145" spans="1:78">
      <c r="A145" s="1">
        <v>45167.952686655088</v>
      </c>
      <c r="C145">
        <v>144</v>
      </c>
      <c r="D145" s="10">
        <v>33171</v>
      </c>
      <c r="E145">
        <v>32</v>
      </c>
      <c r="F145">
        <v>1</v>
      </c>
      <c r="G145">
        <v>1</v>
      </c>
      <c r="H145">
        <v>4</v>
      </c>
      <c r="I145" s="10">
        <v>44194</v>
      </c>
      <c r="J145">
        <v>1</v>
      </c>
      <c r="K145">
        <v>1</v>
      </c>
      <c r="L145">
        <v>2</v>
      </c>
      <c r="M145">
        <v>3160</v>
      </c>
      <c r="N145">
        <v>2</v>
      </c>
      <c r="O145" s="10">
        <v>43928</v>
      </c>
      <c r="P145">
        <v>1</v>
      </c>
      <c r="Q145">
        <v>38</v>
      </c>
      <c r="R145">
        <v>2</v>
      </c>
      <c r="S145">
        <v>49</v>
      </c>
      <c r="T145">
        <v>156</v>
      </c>
      <c r="U145">
        <v>60.5</v>
      </c>
      <c r="V145">
        <v>11.5</v>
      </c>
      <c r="W145">
        <v>2</v>
      </c>
      <c r="X145">
        <v>20.134779750164363</v>
      </c>
      <c r="Y145">
        <v>24.860289283366203</v>
      </c>
      <c r="Z145">
        <v>4.7255095332018406</v>
      </c>
      <c r="AA145">
        <v>2</v>
      </c>
      <c r="AB145">
        <v>2</v>
      </c>
      <c r="AC145" t="s">
        <v>33</v>
      </c>
      <c r="AD145">
        <v>3</v>
      </c>
      <c r="AE145">
        <v>0</v>
      </c>
      <c r="AG145">
        <v>5</v>
      </c>
      <c r="AH145">
        <v>1</v>
      </c>
      <c r="AI145">
        <v>4</v>
      </c>
      <c r="AJ145">
        <v>1</v>
      </c>
      <c r="AK145">
        <v>7</v>
      </c>
      <c r="AL145">
        <v>1</v>
      </c>
      <c r="AM145">
        <f>AJ145*AK145*AL145/7</f>
        <v>1</v>
      </c>
      <c r="AN145" t="s">
        <v>43</v>
      </c>
      <c r="AO145">
        <v>0</v>
      </c>
      <c r="AV145">
        <f>AU145+AM145</f>
        <v>1</v>
      </c>
      <c r="AW145" t="s">
        <v>164</v>
      </c>
      <c r="AX145">
        <v>0</v>
      </c>
      <c r="BE145">
        <f>AM145+AU145+BD145</f>
        <v>1</v>
      </c>
      <c r="BF145" t="s">
        <v>164</v>
      </c>
      <c r="BG145">
        <v>1</v>
      </c>
      <c r="BH145">
        <v>7</v>
      </c>
      <c r="BI145">
        <v>1</v>
      </c>
      <c r="BJ145" t="s">
        <v>49</v>
      </c>
      <c r="BK145">
        <v>5</v>
      </c>
      <c r="BL145">
        <v>1</v>
      </c>
      <c r="BM145">
        <v>1</v>
      </c>
      <c r="BN145" t="s">
        <v>165</v>
      </c>
      <c r="BO145">
        <v>9</v>
      </c>
      <c r="BP145">
        <v>45</v>
      </c>
      <c r="BQ145">
        <v>0.09</v>
      </c>
      <c r="BR145">
        <v>1</v>
      </c>
      <c r="BS145">
        <v>0.09</v>
      </c>
      <c r="BT145">
        <f>BS145+BD145+AU145+AM145</f>
        <v>1.0900000000000001</v>
      </c>
      <c r="BU145">
        <v>1</v>
      </c>
      <c r="BV145">
        <v>2</v>
      </c>
      <c r="BW145">
        <v>293</v>
      </c>
      <c r="BX145">
        <f>BW145/7</f>
        <v>41.857142857142854</v>
      </c>
      <c r="BY145">
        <f>0.00077*BX145</f>
        <v>3.2229999999999995E-2</v>
      </c>
      <c r="BZ145">
        <f t="shared" si="2"/>
        <v>1.1222300000000001</v>
      </c>
    </row>
    <row r="146" spans="1:78">
      <c r="A146" s="1">
        <v>45168.040788240745</v>
      </c>
      <c r="C146">
        <v>145</v>
      </c>
      <c r="D146" s="10">
        <v>32285</v>
      </c>
      <c r="E146">
        <v>35</v>
      </c>
      <c r="F146">
        <v>1</v>
      </c>
      <c r="G146">
        <v>12</v>
      </c>
      <c r="H146">
        <v>4</v>
      </c>
      <c r="I146" s="10">
        <v>44469</v>
      </c>
      <c r="J146">
        <v>2</v>
      </c>
      <c r="K146">
        <v>0</v>
      </c>
      <c r="L146">
        <v>1</v>
      </c>
      <c r="M146">
        <v>3195</v>
      </c>
      <c r="N146">
        <v>2</v>
      </c>
      <c r="O146" s="10">
        <v>44210</v>
      </c>
      <c r="P146">
        <v>1</v>
      </c>
      <c r="Q146">
        <v>37</v>
      </c>
      <c r="R146">
        <v>2</v>
      </c>
      <c r="S146">
        <v>72</v>
      </c>
      <c r="T146">
        <v>156</v>
      </c>
      <c r="U146">
        <v>82</v>
      </c>
      <c r="V146">
        <v>10</v>
      </c>
      <c r="W146">
        <v>2</v>
      </c>
      <c r="X146">
        <v>29.585798816568044</v>
      </c>
      <c r="Y146">
        <v>33.694937541091385</v>
      </c>
      <c r="Z146">
        <v>4.1091387245233406</v>
      </c>
      <c r="AA146">
        <v>3</v>
      </c>
      <c r="AB146">
        <v>4</v>
      </c>
      <c r="AC146" t="s">
        <v>33</v>
      </c>
      <c r="AD146">
        <v>3</v>
      </c>
      <c r="AE146">
        <v>0</v>
      </c>
      <c r="AG146">
        <v>5</v>
      </c>
      <c r="AH146">
        <v>0</v>
      </c>
      <c r="AI146">
        <v>0</v>
      </c>
      <c r="AO146">
        <v>0</v>
      </c>
      <c r="AX146">
        <v>0</v>
      </c>
      <c r="BG146">
        <v>0</v>
      </c>
      <c r="BJ146" t="s">
        <v>51</v>
      </c>
      <c r="BK146">
        <v>1</v>
      </c>
      <c r="BL146">
        <v>1</v>
      </c>
      <c r="BM146">
        <v>1</v>
      </c>
      <c r="BN146" t="s">
        <v>30</v>
      </c>
      <c r="BO146">
        <v>1</v>
      </c>
      <c r="BP146">
        <v>252</v>
      </c>
      <c r="BQ146">
        <v>0.13</v>
      </c>
      <c r="BR146">
        <v>3</v>
      </c>
      <c r="BS146">
        <v>0.39</v>
      </c>
      <c r="BT146">
        <f>BS146+BD146+AU146+AM146</f>
        <v>0.39</v>
      </c>
      <c r="BU146">
        <v>1</v>
      </c>
      <c r="BV146">
        <v>1</v>
      </c>
      <c r="BW146">
        <v>146.5</v>
      </c>
      <c r="BX146">
        <f>BW146/7</f>
        <v>20.928571428571427</v>
      </c>
      <c r="BY146">
        <f>0.00077*BX146</f>
        <v>1.6114999999999997E-2</v>
      </c>
      <c r="BZ146">
        <f t="shared" si="2"/>
        <v>0.406115</v>
      </c>
    </row>
    <row r="147" spans="1:78">
      <c r="A147" s="1">
        <v>45168.061252569445</v>
      </c>
      <c r="C147">
        <v>146</v>
      </c>
      <c r="D147" s="10">
        <v>31860</v>
      </c>
      <c r="E147">
        <v>36</v>
      </c>
      <c r="F147">
        <v>1</v>
      </c>
      <c r="G147">
        <v>1</v>
      </c>
      <c r="H147">
        <v>4</v>
      </c>
      <c r="I147" s="10">
        <v>44056</v>
      </c>
      <c r="J147">
        <v>1</v>
      </c>
      <c r="K147">
        <v>1</v>
      </c>
      <c r="L147">
        <v>2</v>
      </c>
      <c r="M147">
        <v>2895</v>
      </c>
      <c r="N147">
        <v>2</v>
      </c>
      <c r="O147" s="10">
        <v>43780</v>
      </c>
      <c r="P147">
        <v>0</v>
      </c>
      <c r="Q147">
        <v>39.428571428571431</v>
      </c>
      <c r="R147">
        <v>2</v>
      </c>
      <c r="S147">
        <v>44</v>
      </c>
      <c r="T147">
        <v>156</v>
      </c>
      <c r="U147">
        <v>52</v>
      </c>
      <c r="V147">
        <v>8</v>
      </c>
      <c r="W147">
        <v>1</v>
      </c>
      <c r="X147">
        <v>18.080210387902692</v>
      </c>
      <c r="Y147">
        <v>21.367521367521366</v>
      </c>
      <c r="Z147">
        <v>3.2873109796186739</v>
      </c>
      <c r="AA147">
        <v>1</v>
      </c>
      <c r="AB147">
        <v>2</v>
      </c>
      <c r="AC147" t="s">
        <v>33</v>
      </c>
      <c r="AD147">
        <v>3</v>
      </c>
      <c r="AE147">
        <v>0</v>
      </c>
      <c r="AG147">
        <v>5</v>
      </c>
      <c r="AH147">
        <v>1</v>
      </c>
      <c r="AI147">
        <v>10</v>
      </c>
      <c r="AJ147">
        <v>1</v>
      </c>
      <c r="AK147">
        <v>7</v>
      </c>
      <c r="AL147">
        <v>1</v>
      </c>
      <c r="AM147">
        <f>AJ147*AK147*AL147/7</f>
        <v>1</v>
      </c>
      <c r="AN147" t="s">
        <v>166</v>
      </c>
      <c r="AO147">
        <v>0</v>
      </c>
      <c r="AV147">
        <f>AU147+AM147</f>
        <v>1</v>
      </c>
      <c r="AW147" t="s">
        <v>58</v>
      </c>
      <c r="AX147">
        <v>1</v>
      </c>
      <c r="AY147" t="s">
        <v>58</v>
      </c>
      <c r="AZ147">
        <v>1</v>
      </c>
      <c r="BA147">
        <v>0.8</v>
      </c>
      <c r="BB147">
        <v>7</v>
      </c>
      <c r="BC147">
        <v>1</v>
      </c>
      <c r="BD147">
        <f>BA147*BB147*1/7</f>
        <v>0.8</v>
      </c>
      <c r="BE147">
        <f>AM147+AU147+BD147</f>
        <v>1.8</v>
      </c>
      <c r="BF147" t="s">
        <v>58</v>
      </c>
      <c r="BG147">
        <v>0</v>
      </c>
      <c r="BH147">
        <v>7</v>
      </c>
      <c r="BI147">
        <v>1</v>
      </c>
      <c r="BJ147" t="s">
        <v>36</v>
      </c>
      <c r="BK147">
        <v>4</v>
      </c>
      <c r="BL147">
        <v>4</v>
      </c>
      <c r="BM147">
        <v>1</v>
      </c>
      <c r="BN147" t="s">
        <v>30</v>
      </c>
      <c r="BO147">
        <v>1</v>
      </c>
      <c r="BP147">
        <v>168</v>
      </c>
      <c r="BQ147">
        <v>0.13</v>
      </c>
      <c r="BR147">
        <v>2</v>
      </c>
      <c r="BS147">
        <v>0.26</v>
      </c>
      <c r="BT147">
        <f>BS147+BD147+AU147+AM147</f>
        <v>2.06</v>
      </c>
      <c r="BU147">
        <v>1</v>
      </c>
      <c r="BV147">
        <v>2</v>
      </c>
      <c r="BW147">
        <v>293</v>
      </c>
      <c r="BX147">
        <f>BW147/7</f>
        <v>41.857142857142854</v>
      </c>
      <c r="BY147">
        <f>0.00077*BX147</f>
        <v>3.2229999999999995E-2</v>
      </c>
      <c r="BZ147">
        <f t="shared" si="2"/>
        <v>2.0922300000000003</v>
      </c>
    </row>
    <row r="148" spans="1:78">
      <c r="A148" s="1">
        <v>45168.109543761573</v>
      </c>
      <c r="C148">
        <v>147</v>
      </c>
      <c r="D148" s="10">
        <v>33218</v>
      </c>
      <c r="E148">
        <v>33</v>
      </c>
      <c r="F148">
        <v>1</v>
      </c>
      <c r="G148">
        <v>1</v>
      </c>
      <c r="H148">
        <v>4</v>
      </c>
      <c r="I148" s="10">
        <v>44629</v>
      </c>
      <c r="J148">
        <v>1</v>
      </c>
      <c r="K148">
        <v>1</v>
      </c>
      <c r="L148">
        <v>1</v>
      </c>
      <c r="M148">
        <v>3150</v>
      </c>
      <c r="N148">
        <v>2</v>
      </c>
      <c r="O148" s="10">
        <v>44370</v>
      </c>
      <c r="P148">
        <v>1</v>
      </c>
      <c r="Q148">
        <v>37</v>
      </c>
      <c r="R148">
        <v>2</v>
      </c>
      <c r="S148">
        <v>58</v>
      </c>
      <c r="T148">
        <v>168</v>
      </c>
      <c r="U148">
        <v>68</v>
      </c>
      <c r="V148">
        <v>10</v>
      </c>
      <c r="W148">
        <v>1</v>
      </c>
      <c r="X148">
        <v>20.549886621315196</v>
      </c>
      <c r="Y148">
        <v>24.092970521541954</v>
      </c>
      <c r="Z148">
        <v>3.5430839002267582</v>
      </c>
      <c r="AA148">
        <v>2</v>
      </c>
      <c r="AB148">
        <v>2</v>
      </c>
      <c r="AC148" t="s">
        <v>33</v>
      </c>
      <c r="AD148">
        <v>3</v>
      </c>
      <c r="AE148">
        <v>0</v>
      </c>
      <c r="AG148">
        <v>5</v>
      </c>
      <c r="AH148">
        <v>1</v>
      </c>
      <c r="AI148">
        <v>1</v>
      </c>
      <c r="AJ148">
        <v>1</v>
      </c>
      <c r="AK148">
        <v>7</v>
      </c>
      <c r="AL148">
        <v>1</v>
      </c>
      <c r="AM148">
        <f>AJ148*AK148*AL148/7</f>
        <v>1</v>
      </c>
      <c r="AN148" t="s">
        <v>56</v>
      </c>
      <c r="AO148">
        <v>0</v>
      </c>
      <c r="AV148">
        <f>AU148+AM148</f>
        <v>1</v>
      </c>
      <c r="AW148" t="s">
        <v>58</v>
      </c>
      <c r="AX148">
        <v>1</v>
      </c>
      <c r="AY148" t="s">
        <v>58</v>
      </c>
      <c r="AZ148">
        <v>1</v>
      </c>
      <c r="BA148">
        <v>0.8</v>
      </c>
      <c r="BB148">
        <v>7</v>
      </c>
      <c r="BC148">
        <v>1</v>
      </c>
      <c r="BD148">
        <f>BA148*BB148*1/7</f>
        <v>0.8</v>
      </c>
      <c r="BE148">
        <f>AM148+AU148+BD148</f>
        <v>1.8</v>
      </c>
      <c r="BF148" t="s">
        <v>58</v>
      </c>
      <c r="BG148">
        <v>0</v>
      </c>
      <c r="BH148">
        <v>7</v>
      </c>
      <c r="BI148">
        <v>1</v>
      </c>
      <c r="BJ148" t="s">
        <v>49</v>
      </c>
      <c r="BK148">
        <v>5</v>
      </c>
      <c r="BL148">
        <v>1</v>
      </c>
      <c r="BM148">
        <v>1</v>
      </c>
      <c r="BN148" t="s">
        <v>30</v>
      </c>
      <c r="BO148">
        <v>1</v>
      </c>
      <c r="BP148">
        <v>42</v>
      </c>
      <c r="BQ148">
        <v>0.13</v>
      </c>
      <c r="BR148">
        <v>0.5</v>
      </c>
      <c r="BS148">
        <v>6.5000000000000002E-2</v>
      </c>
      <c r="BT148">
        <f>BS148+BD148+AU148+AM148</f>
        <v>1.865</v>
      </c>
      <c r="BU148">
        <v>1</v>
      </c>
      <c r="BV148">
        <v>1</v>
      </c>
      <c r="BW148">
        <v>146.5</v>
      </c>
      <c r="BX148">
        <f>BW148/7</f>
        <v>20.928571428571427</v>
      </c>
      <c r="BY148">
        <f>0.00077*BX148</f>
        <v>1.6114999999999997E-2</v>
      </c>
      <c r="BZ148">
        <f t="shared" si="2"/>
        <v>1.8811150000000001</v>
      </c>
    </row>
    <row r="149" spans="1:78">
      <c r="A149" s="1">
        <v>45168.327855185184</v>
      </c>
      <c r="B149" t="s">
        <v>865</v>
      </c>
      <c r="C149">
        <v>148</v>
      </c>
      <c r="D149" s="10">
        <v>31273</v>
      </c>
      <c r="E149">
        <v>38</v>
      </c>
      <c r="F149">
        <v>1</v>
      </c>
      <c r="G149">
        <v>1</v>
      </c>
      <c r="H149">
        <v>5</v>
      </c>
      <c r="I149" s="10">
        <v>44275</v>
      </c>
      <c r="J149">
        <v>2</v>
      </c>
      <c r="K149">
        <v>0</v>
      </c>
      <c r="L149">
        <v>2</v>
      </c>
      <c r="M149">
        <v>3220</v>
      </c>
      <c r="N149">
        <v>2</v>
      </c>
      <c r="O149" s="10">
        <v>44000</v>
      </c>
      <c r="P149">
        <v>1</v>
      </c>
      <c r="Q149">
        <v>39.285714285714285</v>
      </c>
      <c r="R149">
        <v>2</v>
      </c>
      <c r="S149">
        <v>64</v>
      </c>
      <c r="T149">
        <v>167</v>
      </c>
      <c r="U149">
        <v>71</v>
      </c>
      <c r="V149">
        <v>7</v>
      </c>
      <c r="W149">
        <v>1</v>
      </c>
      <c r="X149">
        <v>22.948115744558788</v>
      </c>
      <c r="Y149">
        <v>25.458065904119906</v>
      </c>
      <c r="Z149">
        <v>2.509950159561118</v>
      </c>
      <c r="AA149">
        <v>2</v>
      </c>
      <c r="AB149">
        <v>3</v>
      </c>
      <c r="AC149" t="s">
        <v>33</v>
      </c>
      <c r="AD149">
        <v>3</v>
      </c>
      <c r="AE149">
        <v>0</v>
      </c>
      <c r="AG149">
        <v>5</v>
      </c>
      <c r="AH149">
        <v>1</v>
      </c>
      <c r="AI149">
        <v>13</v>
      </c>
      <c r="AJ149">
        <v>1</v>
      </c>
      <c r="AK149">
        <v>7</v>
      </c>
      <c r="AL149">
        <v>1</v>
      </c>
      <c r="AM149">
        <f>AJ149*AK149*AL149/7</f>
        <v>1</v>
      </c>
      <c r="AN149" t="s">
        <v>79</v>
      </c>
      <c r="AO149">
        <v>0</v>
      </c>
      <c r="AV149">
        <f>AU149+AM149</f>
        <v>1</v>
      </c>
      <c r="AW149" t="s">
        <v>684</v>
      </c>
      <c r="AX149">
        <v>1</v>
      </c>
      <c r="AY149" t="s">
        <v>684</v>
      </c>
      <c r="AZ149">
        <v>16</v>
      </c>
      <c r="BA149" t="s">
        <v>258</v>
      </c>
      <c r="BB149">
        <v>7</v>
      </c>
      <c r="BC149">
        <v>1</v>
      </c>
      <c r="BE149">
        <f>AM149+AU149+BD149</f>
        <v>1</v>
      </c>
      <c r="BF149" t="s">
        <v>684</v>
      </c>
      <c r="BG149" t="s">
        <v>258</v>
      </c>
      <c r="BH149">
        <v>7</v>
      </c>
      <c r="BI149">
        <v>1</v>
      </c>
      <c r="BJ149" t="s">
        <v>49</v>
      </c>
      <c r="BK149">
        <v>5</v>
      </c>
      <c r="BL149">
        <v>4</v>
      </c>
      <c r="BM149">
        <v>1</v>
      </c>
      <c r="BN149" t="s">
        <v>30</v>
      </c>
      <c r="BO149">
        <v>1</v>
      </c>
      <c r="BP149">
        <v>168</v>
      </c>
      <c r="BQ149">
        <v>0.13</v>
      </c>
      <c r="BR149">
        <v>2</v>
      </c>
      <c r="BS149">
        <v>0.26</v>
      </c>
      <c r="BT149">
        <f>BS149+BD149+AU149+AM149</f>
        <v>1.26</v>
      </c>
      <c r="BU149">
        <v>1</v>
      </c>
      <c r="BV149">
        <v>5</v>
      </c>
      <c r="BW149">
        <v>732.5</v>
      </c>
      <c r="BX149">
        <f>BW149/7</f>
        <v>104.64285714285714</v>
      </c>
      <c r="BY149">
        <f>0.00077*BX149</f>
        <v>8.0574999999999994E-2</v>
      </c>
      <c r="BZ149">
        <f t="shared" si="2"/>
        <v>1.3405750000000001</v>
      </c>
    </row>
    <row r="150" spans="1:78">
      <c r="A150" s="1">
        <v>45168.364144270832</v>
      </c>
      <c r="C150">
        <v>149</v>
      </c>
      <c r="D150" s="10">
        <v>32749</v>
      </c>
      <c r="E150">
        <v>34</v>
      </c>
      <c r="F150">
        <v>1</v>
      </c>
      <c r="G150">
        <v>3</v>
      </c>
      <c r="H150">
        <v>2</v>
      </c>
      <c r="I150" s="10">
        <v>44489</v>
      </c>
      <c r="J150">
        <v>4</v>
      </c>
      <c r="K150">
        <v>0</v>
      </c>
      <c r="L150">
        <v>2</v>
      </c>
      <c r="M150">
        <v>3600</v>
      </c>
      <c r="N150">
        <v>2</v>
      </c>
      <c r="O150" s="10">
        <v>44209</v>
      </c>
      <c r="P150">
        <v>1</v>
      </c>
      <c r="Q150">
        <v>40</v>
      </c>
      <c r="R150">
        <v>2</v>
      </c>
      <c r="S150">
        <v>64</v>
      </c>
      <c r="T150">
        <v>160</v>
      </c>
      <c r="U150">
        <v>76</v>
      </c>
      <c r="V150">
        <v>12</v>
      </c>
      <c r="W150">
        <v>3</v>
      </c>
      <c r="X150">
        <v>24.999999999999996</v>
      </c>
      <c r="Y150">
        <v>29.687499999999993</v>
      </c>
      <c r="Z150">
        <v>4.6874999999999964</v>
      </c>
      <c r="AA150">
        <v>3</v>
      </c>
      <c r="AB150">
        <v>3</v>
      </c>
      <c r="AC150" t="s">
        <v>33</v>
      </c>
      <c r="AD150">
        <v>3</v>
      </c>
      <c r="AE150">
        <v>0</v>
      </c>
      <c r="AG150">
        <v>5</v>
      </c>
      <c r="AH150">
        <v>1</v>
      </c>
      <c r="AI150">
        <v>5</v>
      </c>
      <c r="AJ150">
        <v>5</v>
      </c>
      <c r="AK150">
        <v>7</v>
      </c>
      <c r="AL150">
        <v>1</v>
      </c>
      <c r="AM150">
        <f>AJ150*AK150*AL150/7</f>
        <v>5</v>
      </c>
      <c r="AN150" t="s">
        <v>27</v>
      </c>
      <c r="AO150">
        <v>0</v>
      </c>
      <c r="AV150">
        <f>AU150+AM150</f>
        <v>5</v>
      </c>
      <c r="AW150" t="s">
        <v>58</v>
      </c>
      <c r="AX150">
        <v>1</v>
      </c>
      <c r="AY150" t="s">
        <v>58</v>
      </c>
      <c r="AZ150">
        <v>1</v>
      </c>
      <c r="BA150">
        <v>0.8</v>
      </c>
      <c r="BB150">
        <v>7</v>
      </c>
      <c r="BC150">
        <v>1</v>
      </c>
      <c r="BD150">
        <f>BA150*BB150*1/7</f>
        <v>0.8</v>
      </c>
      <c r="BE150">
        <f>AM150+AU150+BD150</f>
        <v>5.8</v>
      </c>
      <c r="BF150" t="s">
        <v>58</v>
      </c>
      <c r="BG150">
        <v>0</v>
      </c>
      <c r="BH150">
        <v>7</v>
      </c>
      <c r="BI150">
        <v>1</v>
      </c>
      <c r="BJ150" t="s">
        <v>54</v>
      </c>
      <c r="BK150">
        <v>2</v>
      </c>
      <c r="BL150">
        <v>3</v>
      </c>
      <c r="BM150">
        <v>1</v>
      </c>
      <c r="BN150" t="s">
        <v>37</v>
      </c>
      <c r="BO150">
        <v>4</v>
      </c>
      <c r="BP150">
        <v>165</v>
      </c>
      <c r="BQ150">
        <v>0.05</v>
      </c>
      <c r="BR150">
        <v>3</v>
      </c>
      <c r="BS150">
        <v>0.15000000000000002</v>
      </c>
      <c r="BT150">
        <f>BS150+BD150+AU150+AM150</f>
        <v>5.95</v>
      </c>
      <c r="BU150">
        <v>1</v>
      </c>
      <c r="BV150">
        <v>1</v>
      </c>
      <c r="BW150">
        <v>146.5</v>
      </c>
      <c r="BX150">
        <f>BW150/7</f>
        <v>20.928571428571427</v>
      </c>
      <c r="BY150">
        <f>0.00077*BX150</f>
        <v>1.6114999999999997E-2</v>
      </c>
      <c r="BZ150">
        <f t="shared" si="2"/>
        <v>5.9661150000000003</v>
      </c>
    </row>
    <row r="151" spans="1:78">
      <c r="A151" s="1">
        <v>45168.3646553125</v>
      </c>
      <c r="C151">
        <v>150</v>
      </c>
      <c r="D151" s="10">
        <v>34087</v>
      </c>
      <c r="E151">
        <v>30</v>
      </c>
      <c r="F151">
        <v>1</v>
      </c>
      <c r="G151">
        <v>1</v>
      </c>
      <c r="H151">
        <v>4</v>
      </c>
      <c r="I151" s="10">
        <v>44213</v>
      </c>
      <c r="J151">
        <v>2</v>
      </c>
      <c r="K151">
        <v>0</v>
      </c>
      <c r="L151">
        <v>2</v>
      </c>
      <c r="M151">
        <v>3490</v>
      </c>
      <c r="N151">
        <v>2</v>
      </c>
      <c r="O151" s="10">
        <v>43930</v>
      </c>
      <c r="P151">
        <v>1</v>
      </c>
      <c r="Q151">
        <v>40.428571428571431</v>
      </c>
      <c r="R151">
        <v>2</v>
      </c>
      <c r="S151">
        <v>68</v>
      </c>
      <c r="T151">
        <v>161</v>
      </c>
      <c r="U151">
        <v>78</v>
      </c>
      <c r="V151">
        <v>10</v>
      </c>
      <c r="W151">
        <v>2</v>
      </c>
      <c r="X151">
        <v>26.23355580417422</v>
      </c>
      <c r="Y151">
        <v>30.091431657729252</v>
      </c>
      <c r="Z151">
        <v>3.8578758535550328</v>
      </c>
      <c r="AA151">
        <v>3</v>
      </c>
      <c r="AB151">
        <v>4</v>
      </c>
      <c r="AC151" t="s">
        <v>50</v>
      </c>
      <c r="AD151">
        <v>2</v>
      </c>
      <c r="AE151">
        <v>0</v>
      </c>
      <c r="AG151">
        <v>5</v>
      </c>
      <c r="AH151">
        <v>1</v>
      </c>
      <c r="AI151">
        <v>13</v>
      </c>
      <c r="AJ151">
        <v>1</v>
      </c>
      <c r="AK151">
        <v>7</v>
      </c>
      <c r="AL151">
        <v>1</v>
      </c>
      <c r="AM151">
        <f>AJ151*AK151*AL151/7</f>
        <v>1</v>
      </c>
      <c r="AN151" t="s">
        <v>79</v>
      </c>
      <c r="AO151">
        <v>0</v>
      </c>
      <c r="AV151">
        <f>AU151+AM151</f>
        <v>1</v>
      </c>
      <c r="AX151">
        <v>0</v>
      </c>
      <c r="BE151">
        <f>AM151+AU151+BD151</f>
        <v>1</v>
      </c>
      <c r="BG151">
        <v>0</v>
      </c>
      <c r="BJ151" t="s">
        <v>49</v>
      </c>
      <c r="BK151">
        <v>5</v>
      </c>
      <c r="BL151">
        <v>3</v>
      </c>
      <c r="BM151">
        <v>1</v>
      </c>
      <c r="BN151" t="s">
        <v>37</v>
      </c>
      <c r="BO151">
        <v>4</v>
      </c>
      <c r="BP151">
        <v>110</v>
      </c>
      <c r="BQ151">
        <v>0.05</v>
      </c>
      <c r="BR151">
        <v>2</v>
      </c>
      <c r="BS151">
        <v>0.1</v>
      </c>
      <c r="BT151">
        <f>BS151+BD151+AU151+AM151</f>
        <v>1.1000000000000001</v>
      </c>
      <c r="BU151">
        <v>1</v>
      </c>
      <c r="BV151">
        <v>1</v>
      </c>
      <c r="BW151">
        <v>146.5</v>
      </c>
      <c r="BX151">
        <f>BW151/7</f>
        <v>20.928571428571427</v>
      </c>
      <c r="BY151">
        <f>0.00077*BX151</f>
        <v>1.6114999999999997E-2</v>
      </c>
      <c r="BZ151">
        <f t="shared" si="2"/>
        <v>1.1161150000000002</v>
      </c>
    </row>
    <row r="152" spans="1:78">
      <c r="A152" s="1">
        <v>45168.582973622688</v>
      </c>
      <c r="C152">
        <v>151</v>
      </c>
      <c r="D152" s="10">
        <v>31042</v>
      </c>
      <c r="E152">
        <v>38</v>
      </c>
      <c r="F152">
        <v>1</v>
      </c>
      <c r="G152">
        <v>2</v>
      </c>
      <c r="H152">
        <v>5</v>
      </c>
      <c r="I152" s="10">
        <v>44298</v>
      </c>
      <c r="J152">
        <v>2</v>
      </c>
      <c r="K152">
        <v>0</v>
      </c>
      <c r="L152">
        <v>1</v>
      </c>
      <c r="M152">
        <v>3655</v>
      </c>
      <c r="N152">
        <v>2</v>
      </c>
      <c r="O152" s="10">
        <v>44021</v>
      </c>
      <c r="P152">
        <v>1</v>
      </c>
      <c r="Q152">
        <v>39.571428571428569</v>
      </c>
      <c r="R152">
        <v>2</v>
      </c>
      <c r="S152">
        <v>55.5</v>
      </c>
      <c r="T152">
        <v>164</v>
      </c>
      <c r="U152">
        <v>58</v>
      </c>
      <c r="V152">
        <v>2.5</v>
      </c>
      <c r="W152">
        <v>1</v>
      </c>
      <c r="X152">
        <v>20.635038667459849</v>
      </c>
      <c r="Y152">
        <v>21.564544913741823</v>
      </c>
      <c r="Z152">
        <v>0.92950624628197431</v>
      </c>
      <c r="AA152">
        <v>2</v>
      </c>
      <c r="AB152">
        <v>2</v>
      </c>
      <c r="AC152" t="s">
        <v>33</v>
      </c>
      <c r="AD152">
        <v>3</v>
      </c>
      <c r="AE152">
        <v>0</v>
      </c>
      <c r="AG152">
        <v>5</v>
      </c>
      <c r="AH152">
        <v>1</v>
      </c>
      <c r="AI152">
        <v>13</v>
      </c>
      <c r="AJ152">
        <v>1</v>
      </c>
      <c r="AK152">
        <v>7</v>
      </c>
      <c r="AL152">
        <v>1</v>
      </c>
      <c r="AM152">
        <f>AJ152*AK152*AL152/7</f>
        <v>1</v>
      </c>
      <c r="AN152" t="s">
        <v>79</v>
      </c>
      <c r="AO152">
        <v>0</v>
      </c>
      <c r="AV152">
        <f>AU152+AM152</f>
        <v>1</v>
      </c>
      <c r="AW152" t="s">
        <v>170</v>
      </c>
      <c r="AX152">
        <v>0</v>
      </c>
      <c r="BE152">
        <f>AM152+AU152+BD152</f>
        <v>1</v>
      </c>
      <c r="BF152" t="s">
        <v>170</v>
      </c>
      <c r="BG152">
        <v>1</v>
      </c>
      <c r="BH152">
        <v>7</v>
      </c>
      <c r="BI152">
        <v>1</v>
      </c>
      <c r="BJ152" t="s">
        <v>36</v>
      </c>
      <c r="BK152">
        <v>4</v>
      </c>
      <c r="BL152">
        <v>1</v>
      </c>
      <c r="BM152">
        <v>1</v>
      </c>
      <c r="BN152" t="s">
        <v>30</v>
      </c>
      <c r="BO152">
        <v>1</v>
      </c>
      <c r="BP152">
        <v>84</v>
      </c>
      <c r="BQ152">
        <v>0.13</v>
      </c>
      <c r="BR152">
        <v>1</v>
      </c>
      <c r="BS152">
        <v>0.13</v>
      </c>
      <c r="BT152">
        <f>BS152+BD152+AU152+AM152</f>
        <v>1.1299999999999999</v>
      </c>
      <c r="BU152">
        <v>1</v>
      </c>
      <c r="BV152">
        <v>1</v>
      </c>
      <c r="BW152">
        <v>146.5</v>
      </c>
      <c r="BX152">
        <f>BW152/7</f>
        <v>20.928571428571427</v>
      </c>
      <c r="BY152">
        <f>0.00077*BX152</f>
        <v>1.6114999999999997E-2</v>
      </c>
      <c r="BZ152">
        <f t="shared" si="2"/>
        <v>1.146115</v>
      </c>
    </row>
    <row r="153" spans="1:78">
      <c r="A153" s="1">
        <v>45168.630220405088</v>
      </c>
      <c r="B153" t="s">
        <v>865</v>
      </c>
      <c r="C153">
        <v>152</v>
      </c>
      <c r="D153" s="10">
        <v>32627</v>
      </c>
      <c r="E153">
        <v>34</v>
      </c>
      <c r="F153">
        <v>1</v>
      </c>
      <c r="G153">
        <v>1</v>
      </c>
      <c r="H153">
        <v>4</v>
      </c>
      <c r="I153" s="10">
        <v>44432</v>
      </c>
      <c r="J153">
        <v>1</v>
      </c>
      <c r="K153">
        <v>1</v>
      </c>
      <c r="L153">
        <v>1</v>
      </c>
      <c r="M153">
        <v>3290</v>
      </c>
      <c r="N153">
        <v>2</v>
      </c>
      <c r="O153" s="10">
        <v>44152</v>
      </c>
      <c r="P153">
        <v>1</v>
      </c>
      <c r="Q153">
        <v>40</v>
      </c>
      <c r="R153">
        <v>2</v>
      </c>
      <c r="S153">
        <v>76</v>
      </c>
      <c r="T153">
        <v>160</v>
      </c>
      <c r="U153">
        <v>81</v>
      </c>
      <c r="V153">
        <v>5</v>
      </c>
      <c r="W153">
        <v>1</v>
      </c>
      <c r="X153">
        <v>29.687499999999993</v>
      </c>
      <c r="Y153">
        <v>31.640624999999993</v>
      </c>
      <c r="Z153">
        <v>1.953125</v>
      </c>
      <c r="AA153">
        <v>3</v>
      </c>
      <c r="AB153">
        <v>4</v>
      </c>
      <c r="AC153" t="s">
        <v>33</v>
      </c>
      <c r="AD153">
        <v>3</v>
      </c>
      <c r="AE153">
        <v>0</v>
      </c>
      <c r="AG153">
        <v>5</v>
      </c>
      <c r="AH153">
        <v>1</v>
      </c>
      <c r="AI153">
        <v>4</v>
      </c>
      <c r="AJ153">
        <v>1</v>
      </c>
      <c r="AK153">
        <v>7</v>
      </c>
      <c r="AL153">
        <v>1</v>
      </c>
      <c r="AM153">
        <f>AJ153*AK153*AL153/7</f>
        <v>1</v>
      </c>
      <c r="AN153" t="s">
        <v>43</v>
      </c>
      <c r="AO153">
        <v>0</v>
      </c>
      <c r="AV153">
        <f>AU153+AM153</f>
        <v>1</v>
      </c>
      <c r="AW153" t="s">
        <v>95</v>
      </c>
      <c r="AX153">
        <v>1</v>
      </c>
      <c r="AY153" t="s">
        <v>878</v>
      </c>
      <c r="AZ153">
        <v>16</v>
      </c>
      <c r="BA153" t="s">
        <v>258</v>
      </c>
      <c r="BB153">
        <v>7</v>
      </c>
      <c r="BC153">
        <v>1</v>
      </c>
      <c r="BE153">
        <f>AM153+AU153+BD153</f>
        <v>1</v>
      </c>
      <c r="BF153" t="s">
        <v>878</v>
      </c>
      <c r="BG153" t="s">
        <v>258</v>
      </c>
      <c r="BH153">
        <v>7</v>
      </c>
      <c r="BI153">
        <v>1</v>
      </c>
      <c r="BJ153" t="s">
        <v>49</v>
      </c>
      <c r="BK153">
        <v>5</v>
      </c>
      <c r="BL153">
        <v>1</v>
      </c>
      <c r="BM153">
        <v>1</v>
      </c>
      <c r="BN153" t="s">
        <v>30</v>
      </c>
      <c r="BO153">
        <v>1</v>
      </c>
      <c r="BP153">
        <v>84</v>
      </c>
      <c r="BQ153">
        <v>0.13</v>
      </c>
      <c r="BR153">
        <v>1</v>
      </c>
      <c r="BS153">
        <v>0.13</v>
      </c>
      <c r="BT153">
        <f>BS153+BD153+AU153+AM153</f>
        <v>1.1299999999999999</v>
      </c>
      <c r="BU153">
        <v>1</v>
      </c>
      <c r="BV153">
        <v>2</v>
      </c>
      <c r="BW153">
        <v>293</v>
      </c>
      <c r="BX153">
        <f>BW153/7</f>
        <v>41.857142857142854</v>
      </c>
      <c r="BY153">
        <f>0.00077*BX153</f>
        <v>3.2229999999999995E-2</v>
      </c>
      <c r="BZ153">
        <f t="shared" si="2"/>
        <v>1.1622299999999999</v>
      </c>
    </row>
    <row r="154" spans="1:78">
      <c r="A154" s="1">
        <v>45168.751578518517</v>
      </c>
      <c r="B154" t="s">
        <v>865</v>
      </c>
      <c r="C154">
        <v>153</v>
      </c>
      <c r="D154" s="10">
        <v>32792</v>
      </c>
      <c r="E154">
        <v>33</v>
      </c>
      <c r="F154">
        <v>1</v>
      </c>
      <c r="G154">
        <v>1</v>
      </c>
      <c r="H154">
        <v>4</v>
      </c>
      <c r="I154" s="10">
        <v>44573</v>
      </c>
      <c r="J154">
        <v>1</v>
      </c>
      <c r="K154">
        <v>1</v>
      </c>
      <c r="L154">
        <v>1</v>
      </c>
      <c r="M154">
        <v>3450</v>
      </c>
      <c r="N154">
        <v>2</v>
      </c>
      <c r="O154" s="10">
        <v>44295</v>
      </c>
      <c r="P154">
        <v>1</v>
      </c>
      <c r="Q154">
        <v>39.714285714285715</v>
      </c>
      <c r="R154">
        <v>2</v>
      </c>
      <c r="S154">
        <v>65</v>
      </c>
      <c r="T154">
        <v>160</v>
      </c>
      <c r="U154">
        <v>77</v>
      </c>
      <c r="V154">
        <v>12</v>
      </c>
      <c r="W154">
        <v>3</v>
      </c>
      <c r="X154">
        <v>25.390624999999996</v>
      </c>
      <c r="Y154">
        <v>30.078124999999993</v>
      </c>
      <c r="Z154">
        <v>4.6874999999999964</v>
      </c>
      <c r="AA154">
        <v>3</v>
      </c>
      <c r="AB154">
        <v>4</v>
      </c>
      <c r="AC154" t="s">
        <v>33</v>
      </c>
      <c r="AD154">
        <v>3</v>
      </c>
      <c r="AE154">
        <v>0</v>
      </c>
      <c r="AG154">
        <v>5</v>
      </c>
      <c r="AH154">
        <v>1</v>
      </c>
      <c r="AI154">
        <v>5</v>
      </c>
      <c r="AJ154">
        <v>5</v>
      </c>
      <c r="AK154">
        <v>7</v>
      </c>
      <c r="AL154">
        <v>1</v>
      </c>
      <c r="AM154">
        <f>AJ154*AK154*AL154/7</f>
        <v>5</v>
      </c>
      <c r="AN154" t="s">
        <v>27</v>
      </c>
      <c r="AO154">
        <v>0</v>
      </c>
      <c r="AV154">
        <f>AU154+AM154</f>
        <v>5</v>
      </c>
      <c r="AW154" t="s">
        <v>632</v>
      </c>
      <c r="AX154">
        <v>1</v>
      </c>
      <c r="AY154" t="s">
        <v>632</v>
      </c>
      <c r="AZ154">
        <v>16</v>
      </c>
      <c r="BA154" t="s">
        <v>258</v>
      </c>
      <c r="BB154">
        <v>7</v>
      </c>
      <c r="BC154">
        <v>1</v>
      </c>
      <c r="BE154">
        <f>AM154+AU154+BD154</f>
        <v>5</v>
      </c>
      <c r="BF154" t="s">
        <v>632</v>
      </c>
      <c r="BG154" t="s">
        <v>258</v>
      </c>
      <c r="BH154">
        <v>7</v>
      </c>
      <c r="BI154">
        <v>1</v>
      </c>
      <c r="BJ154" t="s">
        <v>28</v>
      </c>
      <c r="BK154">
        <v>3</v>
      </c>
      <c r="BL154">
        <v>1</v>
      </c>
      <c r="BM154">
        <v>1</v>
      </c>
      <c r="BN154" t="s">
        <v>30</v>
      </c>
      <c r="BO154">
        <v>1</v>
      </c>
      <c r="BP154">
        <v>84</v>
      </c>
      <c r="BQ154">
        <v>0.13</v>
      </c>
      <c r="BR154">
        <v>1</v>
      </c>
      <c r="BS154">
        <v>0.13</v>
      </c>
      <c r="BT154">
        <f>BS154+BD154+AU154+AM154</f>
        <v>5.13</v>
      </c>
      <c r="BU154">
        <v>1</v>
      </c>
      <c r="BV154">
        <v>1</v>
      </c>
      <c r="BW154">
        <v>146.5</v>
      </c>
      <c r="BX154">
        <f>BW154/7</f>
        <v>20.928571428571427</v>
      </c>
      <c r="BY154">
        <f>0.00077*BX154</f>
        <v>1.6114999999999997E-2</v>
      </c>
      <c r="BZ154">
        <f t="shared" si="2"/>
        <v>5.146115</v>
      </c>
    </row>
    <row r="155" spans="1:78">
      <c r="A155" s="1">
        <v>45168.840385127318</v>
      </c>
      <c r="C155">
        <v>154</v>
      </c>
      <c r="D155" s="10">
        <v>30774</v>
      </c>
      <c r="E155">
        <v>39</v>
      </c>
      <c r="F155">
        <v>1</v>
      </c>
      <c r="G155">
        <v>1</v>
      </c>
      <c r="H155">
        <v>5</v>
      </c>
      <c r="I155" s="10">
        <v>43754</v>
      </c>
      <c r="J155">
        <v>1</v>
      </c>
      <c r="K155">
        <v>1</v>
      </c>
      <c r="L155">
        <v>2</v>
      </c>
      <c r="M155">
        <v>2520</v>
      </c>
      <c r="N155">
        <v>2</v>
      </c>
      <c r="O155" s="10">
        <v>43488</v>
      </c>
      <c r="P155">
        <v>0</v>
      </c>
      <c r="Q155">
        <v>38</v>
      </c>
      <c r="R155">
        <v>2</v>
      </c>
      <c r="S155">
        <v>62</v>
      </c>
      <c r="T155">
        <v>155</v>
      </c>
      <c r="U155">
        <v>70</v>
      </c>
      <c r="V155">
        <v>8</v>
      </c>
      <c r="W155">
        <v>2</v>
      </c>
      <c r="X155">
        <v>25.806451612903224</v>
      </c>
      <c r="Y155">
        <v>29.136316337148799</v>
      </c>
      <c r="Z155">
        <v>3.3298647242455743</v>
      </c>
      <c r="AA155">
        <v>3</v>
      </c>
      <c r="AB155">
        <v>3</v>
      </c>
      <c r="AC155" t="s">
        <v>33</v>
      </c>
      <c r="AD155">
        <v>3</v>
      </c>
      <c r="AE155">
        <v>0</v>
      </c>
      <c r="AG155">
        <v>5</v>
      </c>
      <c r="AH155">
        <v>1</v>
      </c>
      <c r="AI155">
        <v>1</v>
      </c>
      <c r="AJ155">
        <v>1</v>
      </c>
      <c r="AK155">
        <v>7</v>
      </c>
      <c r="AL155">
        <v>1</v>
      </c>
      <c r="AM155">
        <f>AJ155*AK155*AL155/7</f>
        <v>1</v>
      </c>
      <c r="AN155" t="s">
        <v>56</v>
      </c>
      <c r="AO155">
        <v>0</v>
      </c>
      <c r="AV155">
        <f>AU155+AM155</f>
        <v>1</v>
      </c>
      <c r="AX155">
        <v>0</v>
      </c>
      <c r="BE155">
        <f>AM155+AU155+BD155</f>
        <v>1</v>
      </c>
      <c r="BG155">
        <v>0</v>
      </c>
      <c r="BJ155" t="s">
        <v>28</v>
      </c>
      <c r="BK155">
        <v>3</v>
      </c>
      <c r="BL155">
        <v>1</v>
      </c>
      <c r="BM155">
        <v>1</v>
      </c>
      <c r="BN155" t="s">
        <v>37</v>
      </c>
      <c r="BO155">
        <v>4</v>
      </c>
      <c r="BP155">
        <v>55</v>
      </c>
      <c r="BQ155">
        <v>0.05</v>
      </c>
      <c r="BR155">
        <v>1</v>
      </c>
      <c r="BS155">
        <v>0.05</v>
      </c>
      <c r="BT155">
        <f>BS155+BD155+AU155+AM155</f>
        <v>1.05</v>
      </c>
      <c r="BU155">
        <v>1</v>
      </c>
      <c r="BV155">
        <v>2</v>
      </c>
      <c r="BW155">
        <v>293</v>
      </c>
      <c r="BX155">
        <f>BW155/7</f>
        <v>41.857142857142854</v>
      </c>
      <c r="BY155">
        <f>0.00077*BX155</f>
        <v>3.2229999999999995E-2</v>
      </c>
      <c r="BZ155">
        <f t="shared" si="2"/>
        <v>1.08223</v>
      </c>
    </row>
    <row r="156" spans="1:78">
      <c r="A156" s="1">
        <v>45168.983834178245</v>
      </c>
      <c r="B156" s="9" t="s">
        <v>866</v>
      </c>
      <c r="C156">
        <v>155</v>
      </c>
      <c r="D156" s="10">
        <v>30985</v>
      </c>
      <c r="E156">
        <v>38</v>
      </c>
      <c r="F156">
        <v>1</v>
      </c>
      <c r="G156">
        <v>1</v>
      </c>
      <c r="H156">
        <v>5</v>
      </c>
      <c r="I156" s="10">
        <v>43829</v>
      </c>
      <c r="J156">
        <v>1</v>
      </c>
      <c r="K156">
        <v>1</v>
      </c>
      <c r="L156">
        <v>2</v>
      </c>
      <c r="M156">
        <v>3400</v>
      </c>
      <c r="N156">
        <v>2</v>
      </c>
      <c r="O156" s="10">
        <v>43556</v>
      </c>
      <c r="P156">
        <v>0</v>
      </c>
      <c r="Q156">
        <v>39</v>
      </c>
      <c r="R156">
        <v>2</v>
      </c>
      <c r="S156">
        <v>54</v>
      </c>
      <c r="T156">
        <v>164</v>
      </c>
      <c r="U156">
        <v>61</v>
      </c>
      <c r="V156">
        <v>7</v>
      </c>
      <c r="W156">
        <v>1</v>
      </c>
      <c r="X156">
        <v>20.077334919690664</v>
      </c>
      <c r="Y156">
        <v>22.679952409280194</v>
      </c>
      <c r="Z156">
        <v>2.6026174895895302</v>
      </c>
      <c r="AA156">
        <v>2</v>
      </c>
      <c r="AB156">
        <v>2</v>
      </c>
      <c r="AC156" t="s">
        <v>44</v>
      </c>
      <c r="AD156">
        <v>1</v>
      </c>
      <c r="AE156">
        <v>0</v>
      </c>
      <c r="AG156">
        <v>5</v>
      </c>
      <c r="AH156">
        <v>1</v>
      </c>
      <c r="AI156" t="s">
        <v>258</v>
      </c>
      <c r="AJ156" t="s">
        <v>258</v>
      </c>
      <c r="AK156">
        <v>7</v>
      </c>
      <c r="AL156">
        <v>1</v>
      </c>
      <c r="AM156" t="s">
        <v>258</v>
      </c>
      <c r="AN156" t="s">
        <v>316</v>
      </c>
      <c r="AO156">
        <v>0</v>
      </c>
      <c r="AW156" t="s">
        <v>687</v>
      </c>
      <c r="AX156">
        <v>1</v>
      </c>
      <c r="AY156" t="s">
        <v>687</v>
      </c>
      <c r="AZ156">
        <v>16</v>
      </c>
      <c r="BA156" t="s">
        <v>258</v>
      </c>
      <c r="BB156">
        <v>7</v>
      </c>
      <c r="BC156">
        <v>1</v>
      </c>
      <c r="BE156" t="s">
        <v>258</v>
      </c>
      <c r="BF156" t="s">
        <v>687</v>
      </c>
      <c r="BG156" t="s">
        <v>258</v>
      </c>
      <c r="BH156">
        <v>7</v>
      </c>
      <c r="BI156">
        <v>1</v>
      </c>
      <c r="BJ156" t="s">
        <v>28</v>
      </c>
      <c r="BK156">
        <v>3</v>
      </c>
      <c r="BL156">
        <v>4</v>
      </c>
      <c r="BM156">
        <v>1</v>
      </c>
      <c r="BN156" t="s">
        <v>37</v>
      </c>
      <c r="BO156">
        <v>4</v>
      </c>
      <c r="BP156">
        <v>220</v>
      </c>
      <c r="BQ156">
        <v>0.05</v>
      </c>
      <c r="BR156">
        <v>4</v>
      </c>
      <c r="BS156">
        <v>0.2</v>
      </c>
      <c r="BT156" t="e">
        <f>BS156+BD156+AU156+AM156</f>
        <v>#VALUE!</v>
      </c>
      <c r="BU156">
        <v>1</v>
      </c>
      <c r="BV156">
        <v>1</v>
      </c>
      <c r="BW156">
        <v>146.5</v>
      </c>
      <c r="BX156">
        <f>BW156/7</f>
        <v>20.928571428571427</v>
      </c>
      <c r="BY156">
        <f>0.00077*BX156</f>
        <v>1.6114999999999997E-2</v>
      </c>
      <c r="BZ156" t="e">
        <f t="shared" si="2"/>
        <v>#VALUE!</v>
      </c>
    </row>
    <row r="157" spans="1:78">
      <c r="A157" s="1">
        <v>45169.385290104168</v>
      </c>
      <c r="C157">
        <v>156</v>
      </c>
      <c r="D157" s="10">
        <v>33012</v>
      </c>
      <c r="E157">
        <v>33</v>
      </c>
      <c r="F157">
        <v>1</v>
      </c>
      <c r="G157">
        <v>1</v>
      </c>
      <c r="H157">
        <v>4</v>
      </c>
      <c r="I157" s="10">
        <v>43989</v>
      </c>
      <c r="J157">
        <v>1</v>
      </c>
      <c r="K157">
        <v>1</v>
      </c>
      <c r="L157">
        <v>1</v>
      </c>
      <c r="M157">
        <v>2650</v>
      </c>
      <c r="N157">
        <v>2</v>
      </c>
      <c r="O157" s="10">
        <v>43737</v>
      </c>
      <c r="P157">
        <v>0</v>
      </c>
      <c r="Q157">
        <v>36</v>
      </c>
      <c r="R157">
        <v>3</v>
      </c>
      <c r="S157">
        <v>52</v>
      </c>
      <c r="T157">
        <v>149</v>
      </c>
      <c r="U157">
        <v>68</v>
      </c>
      <c r="V157">
        <v>16</v>
      </c>
      <c r="W157">
        <v>2</v>
      </c>
      <c r="X157">
        <v>23.422368361785505</v>
      </c>
      <c r="Y157">
        <v>30.629250934642585</v>
      </c>
      <c r="Z157">
        <v>7.2068825728570793</v>
      </c>
      <c r="AA157">
        <v>2</v>
      </c>
      <c r="AB157">
        <v>4</v>
      </c>
      <c r="AC157" t="s">
        <v>33</v>
      </c>
      <c r="AD157">
        <v>3</v>
      </c>
      <c r="AE157">
        <v>0</v>
      </c>
      <c r="AG157">
        <v>5</v>
      </c>
      <c r="AH157">
        <v>1</v>
      </c>
      <c r="AI157">
        <v>2</v>
      </c>
      <c r="AJ157">
        <v>5</v>
      </c>
      <c r="AK157">
        <v>7</v>
      </c>
      <c r="AL157">
        <v>1</v>
      </c>
      <c r="AM157">
        <f>AJ157*AK157*AL157/7</f>
        <v>5</v>
      </c>
      <c r="AN157" t="s">
        <v>57</v>
      </c>
      <c r="AO157">
        <v>0</v>
      </c>
      <c r="AV157">
        <f>AU157+AM157</f>
        <v>5</v>
      </c>
      <c r="AX157">
        <v>0</v>
      </c>
      <c r="BE157">
        <f>AM157+AU157+BD157</f>
        <v>5</v>
      </c>
      <c r="BG157">
        <v>0</v>
      </c>
      <c r="BJ157" t="s">
        <v>28</v>
      </c>
      <c r="BK157">
        <v>3</v>
      </c>
      <c r="BL157">
        <v>1</v>
      </c>
      <c r="BM157">
        <v>1</v>
      </c>
      <c r="BN157" t="s">
        <v>37</v>
      </c>
      <c r="BO157">
        <v>4</v>
      </c>
      <c r="BP157">
        <v>27.5</v>
      </c>
      <c r="BQ157">
        <v>0.05</v>
      </c>
      <c r="BR157">
        <v>0.5</v>
      </c>
      <c r="BS157">
        <v>2.5000000000000001E-2</v>
      </c>
      <c r="BT157">
        <f>BS157+BD157+AU157+AM157</f>
        <v>5.0250000000000004</v>
      </c>
      <c r="BU157">
        <v>1</v>
      </c>
      <c r="BV157">
        <v>1</v>
      </c>
      <c r="BW157">
        <v>146.5</v>
      </c>
      <c r="BX157">
        <f>BW157/7</f>
        <v>20.928571428571427</v>
      </c>
      <c r="BY157">
        <f>0.00077*BX157</f>
        <v>1.6114999999999997E-2</v>
      </c>
      <c r="BZ157">
        <f t="shared" si="2"/>
        <v>5.0411150000000005</v>
      </c>
    </row>
    <row r="158" spans="1:78">
      <c r="A158" s="1">
        <v>45169.441952280089</v>
      </c>
      <c r="B158" t="s">
        <v>865</v>
      </c>
      <c r="C158">
        <v>157</v>
      </c>
      <c r="D158" s="10">
        <v>30362</v>
      </c>
      <c r="E158">
        <v>40</v>
      </c>
      <c r="F158">
        <v>1</v>
      </c>
      <c r="G158">
        <v>4</v>
      </c>
      <c r="H158">
        <v>4</v>
      </c>
      <c r="I158" s="10">
        <v>43151</v>
      </c>
      <c r="J158">
        <v>1</v>
      </c>
      <c r="K158">
        <v>1</v>
      </c>
      <c r="L158">
        <v>1</v>
      </c>
      <c r="M158">
        <v>3245</v>
      </c>
      <c r="N158">
        <v>2</v>
      </c>
      <c r="O158" s="10">
        <v>42885</v>
      </c>
      <c r="P158">
        <v>0</v>
      </c>
      <c r="Q158">
        <v>38</v>
      </c>
      <c r="R158">
        <v>2</v>
      </c>
      <c r="S158">
        <v>54</v>
      </c>
      <c r="T158">
        <v>161</v>
      </c>
      <c r="U158">
        <v>57</v>
      </c>
      <c r="V158">
        <v>3</v>
      </c>
      <c r="W158">
        <v>1</v>
      </c>
      <c r="X158">
        <v>20.832529609197174</v>
      </c>
      <c r="Y158">
        <v>21.989892365263682</v>
      </c>
      <c r="Z158">
        <v>1.1573627560665081</v>
      </c>
      <c r="AA158">
        <v>2</v>
      </c>
      <c r="AB158">
        <v>2</v>
      </c>
      <c r="AC158" t="s">
        <v>33</v>
      </c>
      <c r="AD158">
        <v>3</v>
      </c>
      <c r="AE158">
        <v>0</v>
      </c>
      <c r="AG158">
        <v>5</v>
      </c>
      <c r="AH158">
        <v>1</v>
      </c>
      <c r="AI158">
        <v>1</v>
      </c>
      <c r="AJ158">
        <v>1</v>
      </c>
      <c r="AK158">
        <v>7</v>
      </c>
      <c r="AL158">
        <v>1</v>
      </c>
      <c r="AM158">
        <f>AJ158*AK158*AL158/7</f>
        <v>1</v>
      </c>
      <c r="AN158" t="s">
        <v>56</v>
      </c>
      <c r="AO158">
        <v>0</v>
      </c>
      <c r="AV158">
        <f>AU158+AM158</f>
        <v>1</v>
      </c>
      <c r="AW158" t="s">
        <v>689</v>
      </c>
      <c r="AX158">
        <v>0</v>
      </c>
      <c r="AY158" t="s">
        <v>116</v>
      </c>
      <c r="BE158">
        <f>AM158+AU158+BD158</f>
        <v>1</v>
      </c>
      <c r="BF158" t="s">
        <v>116</v>
      </c>
      <c r="BG158">
        <v>1</v>
      </c>
      <c r="BH158">
        <v>7</v>
      </c>
      <c r="BI158">
        <v>1</v>
      </c>
      <c r="BJ158" t="s">
        <v>28</v>
      </c>
      <c r="BK158">
        <v>3</v>
      </c>
      <c r="BL158">
        <v>3</v>
      </c>
      <c r="BM158">
        <v>1</v>
      </c>
      <c r="BN158" t="s">
        <v>55</v>
      </c>
      <c r="BO158">
        <v>2</v>
      </c>
      <c r="BP158">
        <v>67</v>
      </c>
      <c r="BQ158">
        <v>0.1</v>
      </c>
      <c r="BR158">
        <v>1</v>
      </c>
      <c r="BS158">
        <v>0.1</v>
      </c>
      <c r="BT158">
        <f>BS158+BD158+AU158+AM158</f>
        <v>1.1000000000000001</v>
      </c>
      <c r="BU158">
        <v>1</v>
      </c>
      <c r="BV158">
        <v>3</v>
      </c>
      <c r="BW158">
        <v>439.5</v>
      </c>
      <c r="BX158">
        <f>BW158/7</f>
        <v>62.785714285714285</v>
      </c>
      <c r="BY158">
        <f>0.00077*BX158</f>
        <v>4.8344999999999999E-2</v>
      </c>
      <c r="BZ158">
        <f t="shared" si="2"/>
        <v>1.1483450000000002</v>
      </c>
    </row>
    <row r="159" spans="1:78">
      <c r="A159" s="1">
        <v>45169.469489664349</v>
      </c>
      <c r="C159">
        <v>158</v>
      </c>
      <c r="D159" s="10">
        <v>33148</v>
      </c>
      <c r="E159">
        <v>32</v>
      </c>
      <c r="F159">
        <v>1</v>
      </c>
      <c r="G159">
        <v>5</v>
      </c>
      <c r="H159">
        <v>4</v>
      </c>
      <c r="I159" s="10">
        <v>43839</v>
      </c>
      <c r="J159">
        <v>1</v>
      </c>
      <c r="K159">
        <v>1</v>
      </c>
      <c r="L159">
        <v>1</v>
      </c>
      <c r="M159">
        <v>3690</v>
      </c>
      <c r="N159">
        <v>2</v>
      </c>
      <c r="O159" s="10">
        <v>43561</v>
      </c>
      <c r="P159">
        <v>0</v>
      </c>
      <c r="Q159">
        <v>39.714285714285715</v>
      </c>
      <c r="R159">
        <v>2</v>
      </c>
      <c r="S159">
        <v>50</v>
      </c>
      <c r="T159">
        <v>150</v>
      </c>
      <c r="U159">
        <v>60</v>
      </c>
      <c r="V159">
        <v>10</v>
      </c>
      <c r="W159">
        <v>1</v>
      </c>
      <c r="X159">
        <v>22.222222222222221</v>
      </c>
      <c r="Y159">
        <v>26.666666666666668</v>
      </c>
      <c r="Z159">
        <v>4.4444444444444464</v>
      </c>
      <c r="AA159">
        <v>2</v>
      </c>
      <c r="AB159">
        <v>3</v>
      </c>
      <c r="AC159" t="s">
        <v>33</v>
      </c>
      <c r="AD159">
        <v>3</v>
      </c>
      <c r="AE159">
        <v>0</v>
      </c>
      <c r="AG159">
        <v>5</v>
      </c>
      <c r="AH159">
        <v>1</v>
      </c>
      <c r="AI159">
        <v>13</v>
      </c>
      <c r="AJ159">
        <v>1</v>
      </c>
      <c r="AK159">
        <v>7</v>
      </c>
      <c r="AL159">
        <v>1</v>
      </c>
      <c r="AM159">
        <f>AJ159*AK159*AL159/7</f>
        <v>1</v>
      </c>
      <c r="AN159" t="s">
        <v>79</v>
      </c>
      <c r="AO159">
        <v>0</v>
      </c>
      <c r="AV159">
        <f>AU159+AM159</f>
        <v>1</v>
      </c>
      <c r="AX159">
        <v>0</v>
      </c>
      <c r="BE159">
        <f>AM159+AU159+BD159</f>
        <v>1</v>
      </c>
      <c r="BG159">
        <v>0</v>
      </c>
      <c r="BJ159" t="s">
        <v>49</v>
      </c>
      <c r="BK159">
        <v>5</v>
      </c>
      <c r="BL159">
        <v>1</v>
      </c>
      <c r="BM159">
        <v>1</v>
      </c>
      <c r="BN159" t="s">
        <v>30</v>
      </c>
      <c r="BO159">
        <v>1</v>
      </c>
      <c r="BP159">
        <v>168</v>
      </c>
      <c r="BQ159">
        <v>0.13</v>
      </c>
      <c r="BR159">
        <v>2</v>
      </c>
      <c r="BS159">
        <v>0.26</v>
      </c>
      <c r="BT159">
        <f>BS159+BD159+AU159+AM159</f>
        <v>1.26</v>
      </c>
      <c r="BU159">
        <v>1</v>
      </c>
      <c r="BV159">
        <v>3</v>
      </c>
      <c r="BW159">
        <v>439.5</v>
      </c>
      <c r="BX159">
        <f>BW159/7</f>
        <v>62.785714285714285</v>
      </c>
      <c r="BY159">
        <f>0.00077*BX159</f>
        <v>4.8344999999999999E-2</v>
      </c>
      <c r="BZ159">
        <f t="shared" si="2"/>
        <v>1.3083450000000001</v>
      </c>
    </row>
    <row r="160" spans="1:78">
      <c r="A160" s="1">
        <v>45169.476581099538</v>
      </c>
      <c r="C160">
        <v>159</v>
      </c>
      <c r="D160" s="10">
        <v>32370</v>
      </c>
      <c r="E160">
        <v>35</v>
      </c>
      <c r="F160">
        <v>1</v>
      </c>
      <c r="G160">
        <v>1</v>
      </c>
      <c r="H160">
        <v>5</v>
      </c>
      <c r="I160" s="10">
        <v>44245</v>
      </c>
      <c r="J160">
        <v>1</v>
      </c>
      <c r="K160">
        <v>1</v>
      </c>
      <c r="L160">
        <v>1</v>
      </c>
      <c r="M160">
        <v>3650</v>
      </c>
      <c r="N160">
        <v>2</v>
      </c>
      <c r="O160" s="10">
        <v>43972</v>
      </c>
      <c r="P160">
        <v>1</v>
      </c>
      <c r="Q160">
        <v>39</v>
      </c>
      <c r="R160">
        <v>2</v>
      </c>
      <c r="S160">
        <v>62</v>
      </c>
      <c r="T160">
        <v>162</v>
      </c>
      <c r="U160">
        <v>77</v>
      </c>
      <c r="V160">
        <v>15</v>
      </c>
      <c r="W160">
        <v>2</v>
      </c>
      <c r="X160">
        <v>23.624447492760247</v>
      </c>
      <c r="Y160">
        <v>29.340039628105465</v>
      </c>
      <c r="Z160">
        <v>5.7155921353452186</v>
      </c>
      <c r="AA160">
        <v>2</v>
      </c>
      <c r="AB160">
        <v>3</v>
      </c>
      <c r="AC160" t="s">
        <v>33</v>
      </c>
      <c r="AD160">
        <v>3</v>
      </c>
      <c r="AE160">
        <v>1</v>
      </c>
      <c r="AF160" t="s">
        <v>95</v>
      </c>
      <c r="AG160" t="e">
        <v>#N/A</v>
      </c>
      <c r="AH160">
        <v>0</v>
      </c>
      <c r="AI160">
        <v>0</v>
      </c>
      <c r="AN160" t="s">
        <v>121</v>
      </c>
      <c r="AO160">
        <v>0</v>
      </c>
      <c r="AX160">
        <v>0</v>
      </c>
      <c r="BG160">
        <v>0</v>
      </c>
      <c r="BJ160" t="s">
        <v>51</v>
      </c>
      <c r="BK160">
        <v>1</v>
      </c>
      <c r="BL160">
        <v>1</v>
      </c>
      <c r="BM160">
        <v>1</v>
      </c>
      <c r="BN160" t="s">
        <v>63</v>
      </c>
      <c r="BO160">
        <v>5</v>
      </c>
      <c r="BP160">
        <v>48</v>
      </c>
      <c r="BQ160">
        <v>0.06</v>
      </c>
      <c r="BR160">
        <v>1</v>
      </c>
      <c r="BS160">
        <v>0.06</v>
      </c>
      <c r="BT160">
        <f>BS160+BD160+AU160+AM160</f>
        <v>0.06</v>
      </c>
      <c r="BU160">
        <v>1</v>
      </c>
      <c r="BV160">
        <v>3</v>
      </c>
      <c r="BW160">
        <v>439.5</v>
      </c>
      <c r="BX160">
        <f>BW160/7</f>
        <v>62.785714285714285</v>
      </c>
      <c r="BY160">
        <f>0.00077*BX160</f>
        <v>4.8344999999999999E-2</v>
      </c>
      <c r="BZ160">
        <f t="shared" si="2"/>
        <v>0.108345</v>
      </c>
    </row>
    <row r="161" spans="1:78">
      <c r="A161" s="1">
        <v>45169.512087060182</v>
      </c>
      <c r="C161">
        <v>160</v>
      </c>
      <c r="D161" s="10">
        <v>30272</v>
      </c>
      <c r="E161">
        <v>40</v>
      </c>
      <c r="F161">
        <v>1</v>
      </c>
      <c r="G161">
        <v>1</v>
      </c>
      <c r="H161">
        <v>4</v>
      </c>
      <c r="I161" s="10">
        <v>43648</v>
      </c>
      <c r="J161">
        <v>2</v>
      </c>
      <c r="K161">
        <v>0</v>
      </c>
      <c r="L161">
        <v>2</v>
      </c>
      <c r="M161">
        <v>2000</v>
      </c>
      <c r="N161">
        <v>1</v>
      </c>
      <c r="O161" s="10">
        <v>43389</v>
      </c>
      <c r="P161">
        <v>0</v>
      </c>
      <c r="Q161">
        <v>37</v>
      </c>
      <c r="R161">
        <v>2</v>
      </c>
      <c r="S161">
        <v>55</v>
      </c>
      <c r="T161">
        <v>160</v>
      </c>
      <c r="U161">
        <v>68</v>
      </c>
      <c r="V161">
        <v>13</v>
      </c>
      <c r="W161">
        <v>2</v>
      </c>
      <c r="X161">
        <v>21.484374999999996</v>
      </c>
      <c r="Y161">
        <v>26.562499999999996</v>
      </c>
      <c r="Z161">
        <v>5.078125</v>
      </c>
      <c r="AA161">
        <v>2</v>
      </c>
      <c r="AB161">
        <v>3</v>
      </c>
      <c r="AC161" t="s">
        <v>33</v>
      </c>
      <c r="AD161">
        <v>3</v>
      </c>
      <c r="AE161">
        <v>0</v>
      </c>
      <c r="AG161">
        <v>5</v>
      </c>
      <c r="AH161">
        <v>1</v>
      </c>
      <c r="AI161">
        <v>1</v>
      </c>
      <c r="AJ161">
        <v>1</v>
      </c>
      <c r="AK161">
        <v>7</v>
      </c>
      <c r="AL161">
        <v>1</v>
      </c>
      <c r="AM161">
        <f>AJ161*AK161*AL161/7</f>
        <v>1</v>
      </c>
      <c r="AN161" t="s">
        <v>56</v>
      </c>
      <c r="AO161">
        <v>0</v>
      </c>
      <c r="AV161">
        <f>AU161+AM161</f>
        <v>1</v>
      </c>
      <c r="AX161">
        <v>0</v>
      </c>
      <c r="BE161">
        <f>AM161+AU161+BD161</f>
        <v>1</v>
      </c>
      <c r="BG161">
        <v>0</v>
      </c>
      <c r="BJ161" t="s">
        <v>54</v>
      </c>
      <c r="BK161">
        <v>2</v>
      </c>
      <c r="BL161">
        <v>1</v>
      </c>
      <c r="BM161">
        <v>1</v>
      </c>
      <c r="BN161" t="s">
        <v>30</v>
      </c>
      <c r="BO161">
        <v>1</v>
      </c>
      <c r="BP161">
        <v>42</v>
      </c>
      <c r="BQ161">
        <v>0.13</v>
      </c>
      <c r="BR161">
        <v>0.5</v>
      </c>
      <c r="BS161">
        <v>6.5000000000000002E-2</v>
      </c>
      <c r="BT161">
        <f>BS161+BD161+AU161+AM161</f>
        <v>1.0649999999999999</v>
      </c>
      <c r="BU161">
        <v>1</v>
      </c>
      <c r="BV161">
        <v>0.5</v>
      </c>
      <c r="BW161">
        <v>73.25</v>
      </c>
      <c r="BX161">
        <f>BW161/7</f>
        <v>10.464285714285714</v>
      </c>
      <c r="BY161">
        <f>0.00077*BX161</f>
        <v>8.0574999999999987E-3</v>
      </c>
      <c r="BZ161">
        <f t="shared" si="2"/>
        <v>1.0730575</v>
      </c>
    </row>
    <row r="162" spans="1:78">
      <c r="A162" s="1">
        <v>45169.926647928238</v>
      </c>
      <c r="C162">
        <v>161</v>
      </c>
      <c r="D162" s="10">
        <v>33554</v>
      </c>
      <c r="E162">
        <v>31</v>
      </c>
      <c r="F162">
        <v>1</v>
      </c>
      <c r="G162">
        <v>1</v>
      </c>
      <c r="H162">
        <v>4</v>
      </c>
      <c r="I162" s="10">
        <v>45050</v>
      </c>
      <c r="J162">
        <v>2</v>
      </c>
      <c r="K162">
        <v>0</v>
      </c>
      <c r="L162">
        <v>2</v>
      </c>
      <c r="M162">
        <v>3305</v>
      </c>
      <c r="N162">
        <v>2</v>
      </c>
      <c r="O162" s="10">
        <v>44770</v>
      </c>
      <c r="P162">
        <v>0</v>
      </c>
      <c r="Q162">
        <v>40</v>
      </c>
      <c r="R162">
        <v>2</v>
      </c>
      <c r="S162">
        <v>63</v>
      </c>
      <c r="T162">
        <v>161</v>
      </c>
      <c r="U162">
        <v>68</v>
      </c>
      <c r="V162">
        <v>5</v>
      </c>
      <c r="W162">
        <v>1</v>
      </c>
      <c r="X162">
        <v>24.304617877396701</v>
      </c>
      <c r="Y162">
        <v>26.23355580417422</v>
      </c>
      <c r="Z162">
        <v>1.9289379267775182</v>
      </c>
      <c r="AA162">
        <v>2</v>
      </c>
      <c r="AB162">
        <v>3</v>
      </c>
      <c r="AC162" t="s">
        <v>33</v>
      </c>
      <c r="AD162">
        <v>3</v>
      </c>
      <c r="AE162">
        <v>0</v>
      </c>
      <c r="AG162">
        <v>5</v>
      </c>
      <c r="AH162">
        <v>0</v>
      </c>
      <c r="AI162">
        <v>0</v>
      </c>
      <c r="AN162" t="s">
        <v>97</v>
      </c>
      <c r="AO162">
        <v>0</v>
      </c>
      <c r="AW162" t="s">
        <v>97</v>
      </c>
      <c r="AX162">
        <v>1</v>
      </c>
      <c r="AY162" t="s">
        <v>97</v>
      </c>
      <c r="AZ162">
        <v>11</v>
      </c>
      <c r="BA162">
        <v>0.2</v>
      </c>
      <c r="BB162">
        <v>7</v>
      </c>
      <c r="BC162">
        <v>1</v>
      </c>
      <c r="BD162">
        <f>BA162*BB162*1/7</f>
        <v>0.2</v>
      </c>
      <c r="BE162">
        <f>AM162+AU162+BD162</f>
        <v>0.2</v>
      </c>
      <c r="BF162" t="s">
        <v>97</v>
      </c>
      <c r="BG162">
        <v>0</v>
      </c>
      <c r="BH162">
        <v>7</v>
      </c>
      <c r="BI162">
        <v>1</v>
      </c>
      <c r="BJ162" t="s">
        <v>42</v>
      </c>
      <c r="BK162">
        <v>6</v>
      </c>
      <c r="BL162">
        <v>3</v>
      </c>
      <c r="BM162">
        <v>1</v>
      </c>
      <c r="BN162" t="s">
        <v>30</v>
      </c>
      <c r="BO162">
        <v>1</v>
      </c>
      <c r="BP162">
        <v>42</v>
      </c>
      <c r="BQ162">
        <v>0.13</v>
      </c>
      <c r="BR162">
        <v>0.5</v>
      </c>
      <c r="BS162">
        <v>6.5000000000000002E-2</v>
      </c>
      <c r="BT162">
        <f>BS162+BD162+AU162+AM162</f>
        <v>0.26500000000000001</v>
      </c>
      <c r="BU162">
        <v>1</v>
      </c>
      <c r="BV162">
        <v>3</v>
      </c>
      <c r="BW162">
        <v>439.5</v>
      </c>
      <c r="BX162">
        <f>BW162/7</f>
        <v>62.785714285714285</v>
      </c>
      <c r="BY162">
        <f>0.00077*BX162</f>
        <v>4.8344999999999999E-2</v>
      </c>
      <c r="BZ162">
        <f t="shared" si="2"/>
        <v>0.31334499999999998</v>
      </c>
    </row>
    <row r="163" spans="1:78">
      <c r="A163" s="1">
        <v>45169.927254270835</v>
      </c>
      <c r="B163" s="9" t="s">
        <v>866</v>
      </c>
      <c r="C163">
        <v>162</v>
      </c>
      <c r="D163" s="10">
        <v>34139</v>
      </c>
      <c r="E163">
        <v>30</v>
      </c>
      <c r="F163">
        <v>1</v>
      </c>
      <c r="G163">
        <v>1</v>
      </c>
      <c r="H163">
        <v>4</v>
      </c>
      <c r="I163" s="10">
        <v>44780</v>
      </c>
      <c r="J163">
        <v>2</v>
      </c>
      <c r="K163">
        <v>0</v>
      </c>
      <c r="L163">
        <v>1</v>
      </c>
      <c r="M163">
        <v>2725</v>
      </c>
      <c r="N163">
        <v>2</v>
      </c>
      <c r="O163" s="10">
        <v>44521</v>
      </c>
      <c r="P163">
        <v>0</v>
      </c>
      <c r="Q163">
        <v>37</v>
      </c>
      <c r="R163">
        <v>2</v>
      </c>
      <c r="S163">
        <v>82</v>
      </c>
      <c r="T163">
        <v>162</v>
      </c>
      <c r="U163">
        <v>87</v>
      </c>
      <c r="V163">
        <v>5</v>
      </c>
      <c r="W163">
        <v>1</v>
      </c>
      <c r="X163">
        <v>31.245237006553872</v>
      </c>
      <c r="Y163">
        <v>33.150434385002278</v>
      </c>
      <c r="Z163">
        <v>1.9051973784484062</v>
      </c>
      <c r="AA163">
        <v>4</v>
      </c>
      <c r="AB163">
        <v>4</v>
      </c>
      <c r="AC163" t="s">
        <v>106</v>
      </c>
      <c r="AD163">
        <v>2</v>
      </c>
      <c r="AE163">
        <v>1</v>
      </c>
      <c r="AF163" t="s">
        <v>550</v>
      </c>
      <c r="AG163">
        <v>3</v>
      </c>
      <c r="AH163">
        <v>1</v>
      </c>
      <c r="AI163" t="s">
        <v>258</v>
      </c>
      <c r="AJ163" t="s">
        <v>258</v>
      </c>
      <c r="AK163">
        <v>7</v>
      </c>
      <c r="AL163">
        <v>1</v>
      </c>
      <c r="AM163" t="s">
        <v>258</v>
      </c>
      <c r="AN163" t="s">
        <v>632</v>
      </c>
      <c r="AO163">
        <v>0</v>
      </c>
      <c r="AW163" t="s">
        <v>61</v>
      </c>
      <c r="AX163">
        <v>1</v>
      </c>
      <c r="AY163" t="s">
        <v>61</v>
      </c>
      <c r="AZ163">
        <v>2</v>
      </c>
      <c r="BA163">
        <v>0.27</v>
      </c>
      <c r="BB163">
        <v>7</v>
      </c>
      <c r="BC163">
        <v>1</v>
      </c>
      <c r="BD163">
        <f>BA163*BB163*1/7</f>
        <v>0.27</v>
      </c>
      <c r="BE163" t="s">
        <v>258</v>
      </c>
      <c r="BF163" t="s">
        <v>61</v>
      </c>
      <c r="BG163">
        <v>0</v>
      </c>
      <c r="BH163">
        <v>7</v>
      </c>
      <c r="BI163">
        <v>1</v>
      </c>
      <c r="BJ163" t="s">
        <v>49</v>
      </c>
      <c r="BK163">
        <v>5</v>
      </c>
      <c r="BL163">
        <v>3</v>
      </c>
      <c r="BM163">
        <v>1</v>
      </c>
      <c r="BN163" t="s">
        <v>30</v>
      </c>
      <c r="BO163">
        <v>1</v>
      </c>
      <c r="BP163">
        <v>168</v>
      </c>
      <c r="BQ163">
        <v>0.13</v>
      </c>
      <c r="BR163">
        <v>2</v>
      </c>
      <c r="BS163">
        <v>0.26</v>
      </c>
      <c r="BT163" t="e">
        <f>BS163+BD163+AU163+AM163</f>
        <v>#VALUE!</v>
      </c>
      <c r="BU163">
        <v>1</v>
      </c>
      <c r="BV163">
        <v>1</v>
      </c>
      <c r="BW163">
        <v>146.5</v>
      </c>
      <c r="BX163">
        <f>BW163/7</f>
        <v>20.928571428571427</v>
      </c>
      <c r="BY163">
        <f>0.00077*BX163</f>
        <v>1.6114999999999997E-2</v>
      </c>
      <c r="BZ163" t="e">
        <f t="shared" si="2"/>
        <v>#VALUE!</v>
      </c>
    </row>
    <row r="164" spans="1:78">
      <c r="A164" s="1">
        <v>45169.929587986117</v>
      </c>
      <c r="C164">
        <v>163</v>
      </c>
      <c r="D164" s="10">
        <v>34001</v>
      </c>
      <c r="E164">
        <v>30</v>
      </c>
      <c r="F164">
        <v>1</v>
      </c>
      <c r="G164">
        <v>1</v>
      </c>
      <c r="H164">
        <v>4</v>
      </c>
      <c r="I164" s="10">
        <v>43349</v>
      </c>
      <c r="J164">
        <v>1</v>
      </c>
      <c r="K164">
        <v>1</v>
      </c>
      <c r="L164">
        <v>2</v>
      </c>
      <c r="M164">
        <v>3490</v>
      </c>
      <c r="N164">
        <v>2</v>
      </c>
      <c r="O164" s="10">
        <v>43062</v>
      </c>
      <c r="P164">
        <v>0</v>
      </c>
      <c r="Q164">
        <v>41</v>
      </c>
      <c r="R164">
        <v>2</v>
      </c>
      <c r="S164">
        <v>54</v>
      </c>
      <c r="T164">
        <v>160</v>
      </c>
      <c r="U164">
        <v>75</v>
      </c>
      <c r="V164">
        <v>21</v>
      </c>
      <c r="W164">
        <v>3</v>
      </c>
      <c r="X164">
        <v>21.093749999999996</v>
      </c>
      <c r="Y164">
        <v>29.296874999999993</v>
      </c>
      <c r="Z164">
        <v>8.2031249999999964</v>
      </c>
      <c r="AA164">
        <v>2</v>
      </c>
      <c r="AB164">
        <v>3</v>
      </c>
      <c r="AC164" t="s">
        <v>50</v>
      </c>
      <c r="AD164">
        <v>2</v>
      </c>
      <c r="AE164">
        <v>0</v>
      </c>
      <c r="AG164">
        <v>5</v>
      </c>
      <c r="AH164">
        <v>1</v>
      </c>
      <c r="AI164">
        <v>13</v>
      </c>
      <c r="AJ164">
        <v>1</v>
      </c>
      <c r="AK164">
        <v>4</v>
      </c>
      <c r="AL164">
        <v>1</v>
      </c>
      <c r="AM164">
        <f>AJ164*AK164*AL164/7</f>
        <v>0.5714285714285714</v>
      </c>
      <c r="AN164" t="s">
        <v>79</v>
      </c>
      <c r="AO164">
        <v>0</v>
      </c>
      <c r="AV164">
        <f>AU164+AM164</f>
        <v>0.5714285714285714</v>
      </c>
      <c r="AX164">
        <v>0</v>
      </c>
      <c r="BE164">
        <f>AM164+AU164+BD164</f>
        <v>0.5714285714285714</v>
      </c>
      <c r="BG164">
        <v>0</v>
      </c>
      <c r="BJ164" t="s">
        <v>49</v>
      </c>
      <c r="BK164">
        <v>5</v>
      </c>
      <c r="BL164">
        <v>3</v>
      </c>
      <c r="BM164">
        <v>1</v>
      </c>
      <c r="BN164" t="s">
        <v>30</v>
      </c>
      <c r="BO164">
        <v>1</v>
      </c>
      <c r="BP164">
        <v>168</v>
      </c>
      <c r="BQ164">
        <v>0.13</v>
      </c>
      <c r="BR164">
        <v>2</v>
      </c>
      <c r="BS164">
        <v>0.26</v>
      </c>
      <c r="BT164">
        <f>BS164+BD164+AU164+AM164</f>
        <v>0.83142857142857141</v>
      </c>
      <c r="BU164">
        <v>1</v>
      </c>
      <c r="BV164">
        <v>1</v>
      </c>
      <c r="BW164">
        <v>146.5</v>
      </c>
      <c r="BX164">
        <f>BW164/7</f>
        <v>20.928571428571427</v>
      </c>
      <c r="BY164">
        <f>0.00077*BX164</f>
        <v>1.6114999999999997E-2</v>
      </c>
      <c r="BZ164">
        <f t="shared" si="2"/>
        <v>0.8475435714285714</v>
      </c>
    </row>
    <row r="165" spans="1:78">
      <c r="A165" s="1">
        <v>45169.930322164349</v>
      </c>
      <c r="C165">
        <v>164</v>
      </c>
      <c r="D165" s="10">
        <v>32833</v>
      </c>
      <c r="E165">
        <v>33</v>
      </c>
      <c r="F165">
        <v>1</v>
      </c>
      <c r="G165">
        <v>1</v>
      </c>
      <c r="H165">
        <v>4</v>
      </c>
      <c r="I165" s="10">
        <v>44725</v>
      </c>
      <c r="J165">
        <v>1</v>
      </c>
      <c r="K165">
        <v>1</v>
      </c>
      <c r="L165">
        <v>1</v>
      </c>
      <c r="M165">
        <v>2740</v>
      </c>
      <c r="N165">
        <v>2</v>
      </c>
      <c r="O165" s="10">
        <v>44473</v>
      </c>
      <c r="P165">
        <v>1</v>
      </c>
      <c r="Q165">
        <v>36</v>
      </c>
      <c r="R165">
        <v>3</v>
      </c>
      <c r="S165">
        <v>58</v>
      </c>
      <c r="T165">
        <v>160</v>
      </c>
      <c r="U165">
        <v>73.5</v>
      </c>
      <c r="V165">
        <v>15.5</v>
      </c>
      <c r="W165">
        <v>2</v>
      </c>
      <c r="X165">
        <v>22.656249999999996</v>
      </c>
      <c r="Y165">
        <v>28.710937499999993</v>
      </c>
      <c r="Z165">
        <v>6.0546874999999964</v>
      </c>
      <c r="AA165">
        <v>2</v>
      </c>
      <c r="AB165">
        <v>3</v>
      </c>
      <c r="AC165" t="s">
        <v>33</v>
      </c>
      <c r="AD165">
        <v>3</v>
      </c>
      <c r="AE165">
        <v>0</v>
      </c>
      <c r="AG165">
        <v>5</v>
      </c>
      <c r="AH165">
        <v>0</v>
      </c>
      <c r="AI165">
        <v>0</v>
      </c>
      <c r="AN165" t="s">
        <v>41</v>
      </c>
      <c r="AO165">
        <v>0</v>
      </c>
      <c r="AW165" t="s">
        <v>58</v>
      </c>
      <c r="AX165">
        <v>1</v>
      </c>
      <c r="AY165" t="s">
        <v>58</v>
      </c>
      <c r="AZ165">
        <v>1</v>
      </c>
      <c r="BA165">
        <v>0.8</v>
      </c>
      <c r="BB165">
        <v>7</v>
      </c>
      <c r="BC165">
        <v>1</v>
      </c>
      <c r="BD165">
        <f>BA165*BB165*1/7</f>
        <v>0.8</v>
      </c>
      <c r="BE165">
        <f>AM165+AU165+BD165</f>
        <v>0.8</v>
      </c>
      <c r="BF165" t="s">
        <v>58</v>
      </c>
      <c r="BG165">
        <v>0</v>
      </c>
      <c r="BH165">
        <v>7</v>
      </c>
      <c r="BI165">
        <v>1</v>
      </c>
      <c r="BJ165" t="s">
        <v>49</v>
      </c>
      <c r="BK165">
        <v>5</v>
      </c>
      <c r="BL165">
        <v>3</v>
      </c>
      <c r="BM165">
        <v>1</v>
      </c>
      <c r="BN165" t="s">
        <v>37</v>
      </c>
      <c r="BO165">
        <v>4</v>
      </c>
      <c r="BP165">
        <v>110</v>
      </c>
      <c r="BQ165">
        <v>0.05</v>
      </c>
      <c r="BR165">
        <v>2</v>
      </c>
      <c r="BS165">
        <v>0.1</v>
      </c>
      <c r="BT165">
        <f>BS165+BD165+AU165+AM165</f>
        <v>0.9</v>
      </c>
      <c r="BU165">
        <v>1</v>
      </c>
      <c r="BV165">
        <v>1</v>
      </c>
      <c r="BW165">
        <v>146.5</v>
      </c>
      <c r="BX165">
        <f>BW165/7</f>
        <v>20.928571428571427</v>
      </c>
      <c r="BY165">
        <f>0.00077*BX165</f>
        <v>1.6114999999999997E-2</v>
      </c>
      <c r="BZ165">
        <f t="shared" si="2"/>
        <v>0.91611500000000001</v>
      </c>
    </row>
    <row r="166" spans="1:78">
      <c r="A166" s="1">
        <v>45169.93455041667</v>
      </c>
      <c r="C166">
        <v>165</v>
      </c>
      <c r="D166" s="10">
        <v>33886</v>
      </c>
      <c r="E166">
        <v>30</v>
      </c>
      <c r="F166">
        <v>1</v>
      </c>
      <c r="G166">
        <v>1</v>
      </c>
      <c r="H166">
        <v>4</v>
      </c>
      <c r="I166" s="10">
        <v>44822</v>
      </c>
      <c r="J166">
        <v>1</v>
      </c>
      <c r="K166">
        <v>1</v>
      </c>
      <c r="L166">
        <v>1</v>
      </c>
      <c r="M166">
        <v>2390</v>
      </c>
      <c r="N166">
        <v>1</v>
      </c>
      <c r="O166" s="10">
        <v>44570</v>
      </c>
      <c r="P166">
        <v>0</v>
      </c>
      <c r="Q166">
        <v>36</v>
      </c>
      <c r="R166">
        <v>3</v>
      </c>
      <c r="S166">
        <v>78</v>
      </c>
      <c r="T166">
        <v>163</v>
      </c>
      <c r="U166">
        <v>112</v>
      </c>
      <c r="V166">
        <v>34</v>
      </c>
      <c r="W166">
        <v>3</v>
      </c>
      <c r="X166">
        <v>29.357521924046825</v>
      </c>
      <c r="Y166">
        <v>42.154390455041593</v>
      </c>
      <c r="Z166">
        <v>12.796868530994768</v>
      </c>
      <c r="AA166">
        <v>3</v>
      </c>
      <c r="AB166">
        <v>4</v>
      </c>
      <c r="AC166" t="s">
        <v>173</v>
      </c>
      <c r="AD166">
        <v>1</v>
      </c>
      <c r="AE166">
        <v>0</v>
      </c>
      <c r="AG166">
        <v>5</v>
      </c>
      <c r="AH166">
        <v>1</v>
      </c>
      <c r="AI166">
        <v>4</v>
      </c>
      <c r="AJ166">
        <v>1</v>
      </c>
      <c r="AK166">
        <v>7</v>
      </c>
      <c r="AL166">
        <v>1</v>
      </c>
      <c r="AM166">
        <f>AJ166*AK166*AL166/7</f>
        <v>1</v>
      </c>
      <c r="AN166" t="s">
        <v>43</v>
      </c>
      <c r="AO166">
        <v>0</v>
      </c>
      <c r="AV166">
        <f>AU166+AM166</f>
        <v>1</v>
      </c>
      <c r="AW166" t="s">
        <v>58</v>
      </c>
      <c r="AX166">
        <v>1</v>
      </c>
      <c r="AY166" t="s">
        <v>58</v>
      </c>
      <c r="AZ166">
        <v>1</v>
      </c>
      <c r="BA166">
        <v>0.8</v>
      </c>
      <c r="BB166">
        <v>7</v>
      </c>
      <c r="BC166">
        <v>1</v>
      </c>
      <c r="BD166">
        <f>BA166*BB166*1/7</f>
        <v>0.8</v>
      </c>
      <c r="BE166">
        <f>AM166+AU166+BD166</f>
        <v>1.8</v>
      </c>
      <c r="BF166" t="s">
        <v>58</v>
      </c>
      <c r="BG166">
        <v>0</v>
      </c>
      <c r="BH166">
        <v>7</v>
      </c>
      <c r="BI166">
        <v>1</v>
      </c>
      <c r="BJ166" t="s">
        <v>49</v>
      </c>
      <c r="BK166">
        <v>5</v>
      </c>
      <c r="BL166">
        <v>3</v>
      </c>
      <c r="BM166">
        <v>1</v>
      </c>
      <c r="BN166" t="s">
        <v>30</v>
      </c>
      <c r="BO166">
        <v>1</v>
      </c>
      <c r="BP166">
        <v>336</v>
      </c>
      <c r="BQ166">
        <v>0.13</v>
      </c>
      <c r="BR166">
        <v>4</v>
      </c>
      <c r="BS166">
        <v>0.52</v>
      </c>
      <c r="BT166">
        <f>BS166+BD166+AU166+AM166</f>
        <v>2.3200000000000003</v>
      </c>
      <c r="BU166">
        <v>1</v>
      </c>
      <c r="BV166">
        <v>2</v>
      </c>
      <c r="BW166">
        <v>293</v>
      </c>
      <c r="BX166">
        <f>BW166/7</f>
        <v>41.857142857142854</v>
      </c>
      <c r="BY166">
        <f>0.00077*BX166</f>
        <v>3.2229999999999995E-2</v>
      </c>
      <c r="BZ166">
        <f t="shared" si="2"/>
        <v>2.3522300000000005</v>
      </c>
    </row>
    <row r="167" spans="1:78">
      <c r="A167" s="1">
        <v>45169.935293796298</v>
      </c>
      <c r="C167">
        <v>166</v>
      </c>
      <c r="D167" s="10">
        <v>32028</v>
      </c>
      <c r="E167">
        <v>35</v>
      </c>
      <c r="F167">
        <v>1</v>
      </c>
      <c r="G167">
        <v>4</v>
      </c>
      <c r="H167">
        <v>4</v>
      </c>
      <c r="I167" s="10">
        <v>44559</v>
      </c>
      <c r="J167">
        <v>1</v>
      </c>
      <c r="K167">
        <v>1</v>
      </c>
      <c r="L167">
        <v>2</v>
      </c>
      <c r="M167">
        <v>3120</v>
      </c>
      <c r="N167">
        <v>2</v>
      </c>
      <c r="O167" s="10">
        <v>44293</v>
      </c>
      <c r="P167">
        <v>1</v>
      </c>
      <c r="Q167">
        <v>38</v>
      </c>
      <c r="R167">
        <v>2</v>
      </c>
      <c r="S167">
        <v>90</v>
      </c>
      <c r="T167">
        <v>163</v>
      </c>
      <c r="U167">
        <v>99.6</v>
      </c>
      <c r="V167">
        <v>9.5999999999999943</v>
      </c>
      <c r="W167">
        <v>2</v>
      </c>
      <c r="X167">
        <v>33.874063758515568</v>
      </c>
      <c r="Y167">
        <v>37.487297226090554</v>
      </c>
      <c r="Z167">
        <v>3.613233467574986</v>
      </c>
      <c r="AA167">
        <v>4</v>
      </c>
      <c r="AB167">
        <v>4</v>
      </c>
      <c r="AC167" t="s">
        <v>33</v>
      </c>
      <c r="AD167">
        <v>3</v>
      </c>
      <c r="AE167">
        <v>0</v>
      </c>
      <c r="AG167">
        <v>5</v>
      </c>
      <c r="AH167">
        <v>1</v>
      </c>
      <c r="AI167">
        <v>5</v>
      </c>
      <c r="AJ167">
        <v>5</v>
      </c>
      <c r="AK167">
        <v>7</v>
      </c>
      <c r="AL167">
        <v>0.5</v>
      </c>
      <c r="AM167">
        <f>AJ167*AK167*AL167/7</f>
        <v>2.5</v>
      </c>
      <c r="AN167" t="s">
        <v>27</v>
      </c>
      <c r="AO167">
        <v>0</v>
      </c>
      <c r="AV167">
        <f>AU167+AM167</f>
        <v>2.5</v>
      </c>
      <c r="AX167">
        <v>0</v>
      </c>
      <c r="BE167">
        <f>AM167+AU167+BD167</f>
        <v>2.5</v>
      </c>
      <c r="BG167">
        <v>0</v>
      </c>
      <c r="BJ167" t="s">
        <v>54</v>
      </c>
      <c r="BK167">
        <v>2</v>
      </c>
      <c r="BL167">
        <v>1</v>
      </c>
      <c r="BM167">
        <v>1</v>
      </c>
      <c r="BN167" t="s">
        <v>55</v>
      </c>
      <c r="BO167">
        <v>2</v>
      </c>
      <c r="BP167">
        <v>134</v>
      </c>
      <c r="BQ167">
        <v>0.1</v>
      </c>
      <c r="BR167">
        <v>2</v>
      </c>
      <c r="BS167">
        <v>0.2</v>
      </c>
      <c r="BT167">
        <f>BS167+BD167+AU167+AM167</f>
        <v>2.7</v>
      </c>
      <c r="BU167">
        <v>1</v>
      </c>
      <c r="BV167">
        <v>2</v>
      </c>
      <c r="BW167">
        <v>293</v>
      </c>
      <c r="BX167">
        <f>BW167/7</f>
        <v>41.857142857142854</v>
      </c>
      <c r="BY167">
        <f>0.00077*BX167</f>
        <v>3.2229999999999995E-2</v>
      </c>
      <c r="BZ167">
        <f t="shared" si="2"/>
        <v>2.7322300000000004</v>
      </c>
    </row>
    <row r="168" spans="1:78">
      <c r="A168" s="1">
        <v>45169.937252071759</v>
      </c>
      <c r="C168">
        <v>167</v>
      </c>
      <c r="D168" s="10">
        <v>31532</v>
      </c>
      <c r="E168">
        <v>37</v>
      </c>
      <c r="F168">
        <v>1</v>
      </c>
      <c r="G168">
        <v>1</v>
      </c>
      <c r="H168">
        <v>4</v>
      </c>
      <c r="I168" s="10">
        <v>44872</v>
      </c>
      <c r="J168">
        <v>1</v>
      </c>
      <c r="K168">
        <v>1</v>
      </c>
      <c r="L168">
        <v>1</v>
      </c>
      <c r="M168">
        <v>2960</v>
      </c>
      <c r="N168">
        <v>2</v>
      </c>
      <c r="O168" s="10">
        <v>44590</v>
      </c>
      <c r="P168">
        <v>0</v>
      </c>
      <c r="Q168">
        <v>40.285714285714285</v>
      </c>
      <c r="R168">
        <v>2</v>
      </c>
      <c r="S168">
        <v>70</v>
      </c>
      <c r="T168">
        <v>155</v>
      </c>
      <c r="U168">
        <v>80</v>
      </c>
      <c r="V168">
        <v>10</v>
      </c>
      <c r="W168">
        <v>2</v>
      </c>
      <c r="X168">
        <v>29.136316337148799</v>
      </c>
      <c r="Y168">
        <v>33.298647242455772</v>
      </c>
      <c r="Z168">
        <v>4.1623309053069732</v>
      </c>
      <c r="AA168">
        <v>3</v>
      </c>
      <c r="AB168">
        <v>4</v>
      </c>
      <c r="AC168" t="s">
        <v>50</v>
      </c>
      <c r="AD168">
        <v>2</v>
      </c>
      <c r="AE168">
        <v>0</v>
      </c>
      <c r="AG168">
        <v>5</v>
      </c>
      <c r="AH168">
        <v>1</v>
      </c>
      <c r="AI168">
        <v>13</v>
      </c>
      <c r="AJ168">
        <v>1</v>
      </c>
      <c r="AK168">
        <v>4</v>
      </c>
      <c r="AL168">
        <v>1</v>
      </c>
      <c r="AM168">
        <f>AJ168*AK168*AL168/7</f>
        <v>0.5714285714285714</v>
      </c>
      <c r="AN168" t="s">
        <v>79</v>
      </c>
      <c r="AO168">
        <v>0</v>
      </c>
      <c r="AV168">
        <f>AU168+AM168</f>
        <v>0.5714285714285714</v>
      </c>
      <c r="AX168">
        <v>0</v>
      </c>
      <c r="BE168">
        <f>AM168+AU168+BD168</f>
        <v>0.5714285714285714</v>
      </c>
      <c r="BG168">
        <v>0</v>
      </c>
      <c r="BJ168" t="s">
        <v>36</v>
      </c>
      <c r="BK168">
        <v>4</v>
      </c>
      <c r="BL168">
        <v>1</v>
      </c>
      <c r="BM168">
        <v>1</v>
      </c>
      <c r="BN168" t="s">
        <v>30</v>
      </c>
      <c r="BO168">
        <v>1</v>
      </c>
      <c r="BP168">
        <v>168</v>
      </c>
      <c r="BQ168">
        <v>0.13</v>
      </c>
      <c r="BR168">
        <v>2</v>
      </c>
      <c r="BS168">
        <v>0.26</v>
      </c>
      <c r="BT168">
        <f>BS168+BD168+AU168+AM168</f>
        <v>0.83142857142857141</v>
      </c>
      <c r="BU168">
        <v>1</v>
      </c>
      <c r="BV168">
        <v>1</v>
      </c>
      <c r="BW168">
        <v>146.5</v>
      </c>
      <c r="BX168">
        <f>BW168/7</f>
        <v>20.928571428571427</v>
      </c>
      <c r="BY168">
        <f>0.00077*BX168</f>
        <v>1.6114999999999997E-2</v>
      </c>
      <c r="BZ168">
        <f t="shared" si="2"/>
        <v>0.8475435714285714</v>
      </c>
    </row>
    <row r="169" spans="1:78">
      <c r="A169" s="1">
        <v>45169.938274201384</v>
      </c>
      <c r="C169">
        <v>168</v>
      </c>
      <c r="D169" s="10">
        <v>34535</v>
      </c>
      <c r="E169">
        <v>29</v>
      </c>
      <c r="F169">
        <v>1</v>
      </c>
      <c r="G169">
        <v>1</v>
      </c>
      <c r="H169">
        <v>4</v>
      </c>
      <c r="I169" s="10">
        <v>44911</v>
      </c>
      <c r="J169">
        <v>1</v>
      </c>
      <c r="K169">
        <v>1</v>
      </c>
      <c r="L169">
        <v>2</v>
      </c>
      <c r="M169">
        <v>4003</v>
      </c>
      <c r="N169">
        <v>3</v>
      </c>
      <c r="O169" s="10">
        <v>44631</v>
      </c>
      <c r="P169">
        <v>0</v>
      </c>
      <c r="Q169">
        <v>40</v>
      </c>
      <c r="R169">
        <v>2</v>
      </c>
      <c r="S169">
        <v>67</v>
      </c>
      <c r="T169">
        <v>169</v>
      </c>
      <c r="U169">
        <v>83</v>
      </c>
      <c r="V169">
        <v>16</v>
      </c>
      <c r="W169">
        <v>2</v>
      </c>
      <c r="X169">
        <v>23.458562375266975</v>
      </c>
      <c r="Y169">
        <v>29.060607121599386</v>
      </c>
      <c r="Z169">
        <v>5.6020447463324103</v>
      </c>
      <c r="AA169">
        <v>2</v>
      </c>
      <c r="AB169">
        <v>3</v>
      </c>
      <c r="AC169" t="s">
        <v>33</v>
      </c>
      <c r="AD169">
        <v>3</v>
      </c>
      <c r="AE169">
        <v>0</v>
      </c>
      <c r="AG169">
        <v>5</v>
      </c>
      <c r="AH169">
        <v>1</v>
      </c>
      <c r="AI169">
        <v>5</v>
      </c>
      <c r="AJ169">
        <v>5</v>
      </c>
      <c r="AK169">
        <v>7</v>
      </c>
      <c r="AL169">
        <v>1</v>
      </c>
      <c r="AM169">
        <f>AJ169*AK169*AL169/7</f>
        <v>5</v>
      </c>
      <c r="AN169" t="s">
        <v>27</v>
      </c>
      <c r="AO169">
        <v>1</v>
      </c>
      <c r="AP169">
        <v>18</v>
      </c>
      <c r="AQ169" t="s">
        <v>217</v>
      </c>
      <c r="AR169">
        <v>2</v>
      </c>
      <c r="AS169">
        <v>7</v>
      </c>
      <c r="AT169">
        <v>1</v>
      </c>
      <c r="AU169">
        <f>AR169*AS169*AT169/7</f>
        <v>2</v>
      </c>
      <c r="AV169">
        <f>AU169+AM169</f>
        <v>7</v>
      </c>
      <c r="AW169" t="s">
        <v>175</v>
      </c>
      <c r="AX169">
        <v>1</v>
      </c>
      <c r="AY169" t="s">
        <v>35</v>
      </c>
      <c r="AZ169">
        <v>12</v>
      </c>
      <c r="BA169">
        <v>0.4</v>
      </c>
      <c r="BB169">
        <v>7</v>
      </c>
      <c r="BC169">
        <v>1</v>
      </c>
      <c r="BD169">
        <f>BA169*BB169*1/7</f>
        <v>0.4</v>
      </c>
      <c r="BE169">
        <f>AM169+AU169+BD169</f>
        <v>7.4</v>
      </c>
      <c r="BF169" t="s">
        <v>35</v>
      </c>
      <c r="BG169">
        <v>0</v>
      </c>
      <c r="BH169">
        <v>7</v>
      </c>
      <c r="BI169">
        <v>1</v>
      </c>
      <c r="BJ169" t="s">
        <v>42</v>
      </c>
      <c r="BK169">
        <v>6</v>
      </c>
      <c r="BL169">
        <v>3</v>
      </c>
      <c r="BM169">
        <v>1</v>
      </c>
      <c r="BN169" t="s">
        <v>30</v>
      </c>
      <c r="BO169">
        <v>1</v>
      </c>
      <c r="BP169">
        <v>84</v>
      </c>
      <c r="BQ169">
        <v>0.13</v>
      </c>
      <c r="BR169">
        <v>1</v>
      </c>
      <c r="BS169">
        <v>0.13</v>
      </c>
      <c r="BT169">
        <f>BS169+BD169+AU169+AM169</f>
        <v>7.53</v>
      </c>
      <c r="BU169">
        <v>1</v>
      </c>
      <c r="BV169">
        <v>0.5</v>
      </c>
      <c r="BW169">
        <v>73.25</v>
      </c>
      <c r="BX169">
        <f>BW169/7</f>
        <v>10.464285714285714</v>
      </c>
      <c r="BY169">
        <f>0.00077*BX169</f>
        <v>8.0574999999999987E-3</v>
      </c>
      <c r="BZ169">
        <f t="shared" si="2"/>
        <v>7.5380574999999999</v>
      </c>
    </row>
    <row r="170" spans="1:78">
      <c r="A170" s="1">
        <v>45169.943630277776</v>
      </c>
      <c r="C170">
        <v>169</v>
      </c>
      <c r="D170" s="10">
        <v>33676</v>
      </c>
      <c r="E170">
        <v>31</v>
      </c>
      <c r="F170">
        <v>1</v>
      </c>
      <c r="G170">
        <v>1</v>
      </c>
      <c r="H170">
        <v>2</v>
      </c>
      <c r="I170" s="10">
        <v>44767</v>
      </c>
      <c r="J170">
        <v>1</v>
      </c>
      <c r="K170">
        <v>1</v>
      </c>
      <c r="L170">
        <v>2</v>
      </c>
      <c r="M170">
        <v>3105</v>
      </c>
      <c r="N170">
        <v>2</v>
      </c>
      <c r="O170" s="10">
        <v>44494</v>
      </c>
      <c r="P170">
        <v>0</v>
      </c>
      <c r="Q170">
        <v>39</v>
      </c>
      <c r="R170">
        <v>2</v>
      </c>
      <c r="S170">
        <v>92</v>
      </c>
      <c r="T170">
        <v>171</v>
      </c>
      <c r="U170">
        <v>114</v>
      </c>
      <c r="V170">
        <v>22</v>
      </c>
      <c r="W170">
        <v>3</v>
      </c>
      <c r="X170">
        <v>31.462672275229988</v>
      </c>
      <c r="Y170">
        <v>38.986354775828467</v>
      </c>
      <c r="Z170">
        <v>7.5236825005984791</v>
      </c>
      <c r="AA170">
        <v>4</v>
      </c>
      <c r="AB170">
        <v>4</v>
      </c>
      <c r="AC170" t="s">
        <v>123</v>
      </c>
      <c r="AD170">
        <v>2</v>
      </c>
      <c r="AE170">
        <v>0</v>
      </c>
      <c r="AG170">
        <v>5</v>
      </c>
      <c r="AH170">
        <v>1</v>
      </c>
      <c r="AI170">
        <v>4</v>
      </c>
      <c r="AJ170">
        <v>1</v>
      </c>
      <c r="AK170">
        <v>7</v>
      </c>
      <c r="AL170">
        <v>1</v>
      </c>
      <c r="AM170">
        <f>AJ170*AK170*AL170/7</f>
        <v>1</v>
      </c>
      <c r="AN170" t="s">
        <v>43</v>
      </c>
      <c r="AO170">
        <v>0</v>
      </c>
      <c r="AV170">
        <f>AU170+AM170</f>
        <v>1</v>
      </c>
      <c r="AX170">
        <v>0</v>
      </c>
      <c r="BE170">
        <f>AM170+AU170+BD170</f>
        <v>1</v>
      </c>
      <c r="BG170">
        <v>0</v>
      </c>
      <c r="BJ170" t="s">
        <v>49</v>
      </c>
      <c r="BK170">
        <v>5</v>
      </c>
      <c r="BL170">
        <v>1</v>
      </c>
      <c r="BM170">
        <v>1</v>
      </c>
      <c r="BN170" t="s">
        <v>30</v>
      </c>
      <c r="BO170">
        <v>1</v>
      </c>
      <c r="BP170">
        <v>84</v>
      </c>
      <c r="BQ170">
        <v>0.13</v>
      </c>
      <c r="BR170">
        <v>1</v>
      </c>
      <c r="BS170">
        <v>0.13</v>
      </c>
      <c r="BT170">
        <f>BS170+BD170+AU170+AM170</f>
        <v>1.1299999999999999</v>
      </c>
      <c r="BU170">
        <v>1</v>
      </c>
      <c r="BV170">
        <v>2</v>
      </c>
      <c r="BW170">
        <v>293</v>
      </c>
      <c r="BX170">
        <f>BW170/7</f>
        <v>41.857142857142854</v>
      </c>
      <c r="BY170">
        <f>0.00077*BX170</f>
        <v>3.2229999999999995E-2</v>
      </c>
      <c r="BZ170">
        <f t="shared" si="2"/>
        <v>1.1622299999999999</v>
      </c>
    </row>
    <row r="171" spans="1:78">
      <c r="A171" s="1">
        <v>45169.951296018524</v>
      </c>
      <c r="C171">
        <v>170</v>
      </c>
      <c r="D171" s="10">
        <v>33262</v>
      </c>
      <c r="E171">
        <v>32</v>
      </c>
      <c r="F171">
        <v>1</v>
      </c>
      <c r="G171">
        <v>2</v>
      </c>
      <c r="H171">
        <v>4</v>
      </c>
      <c r="I171" s="10">
        <v>44852</v>
      </c>
      <c r="J171">
        <v>2</v>
      </c>
      <c r="K171">
        <v>0</v>
      </c>
      <c r="L171">
        <v>2</v>
      </c>
      <c r="M171">
        <v>3225</v>
      </c>
      <c r="N171">
        <v>2</v>
      </c>
      <c r="O171" s="10">
        <v>44579</v>
      </c>
      <c r="P171">
        <v>0</v>
      </c>
      <c r="Q171">
        <v>39</v>
      </c>
      <c r="R171">
        <v>2</v>
      </c>
      <c r="S171">
        <v>62</v>
      </c>
      <c r="T171">
        <v>158</v>
      </c>
      <c r="U171">
        <v>75</v>
      </c>
      <c r="V171">
        <v>13</v>
      </c>
      <c r="W171">
        <v>2</v>
      </c>
      <c r="X171">
        <v>24.835763499439189</v>
      </c>
      <c r="Y171">
        <v>30.043262297708697</v>
      </c>
      <c r="Z171">
        <v>5.2074987982695085</v>
      </c>
      <c r="AA171">
        <v>2</v>
      </c>
      <c r="AB171">
        <v>4</v>
      </c>
      <c r="AC171" t="s">
        <v>33</v>
      </c>
      <c r="AD171">
        <v>3</v>
      </c>
      <c r="AE171">
        <v>0</v>
      </c>
      <c r="AG171">
        <v>5</v>
      </c>
      <c r="AH171">
        <v>1</v>
      </c>
      <c r="AI171">
        <v>13</v>
      </c>
      <c r="AJ171">
        <v>1</v>
      </c>
      <c r="AK171">
        <v>7</v>
      </c>
      <c r="AL171">
        <v>1</v>
      </c>
      <c r="AM171">
        <f>AJ171*AK171*AL171/7</f>
        <v>1</v>
      </c>
      <c r="AN171" t="s">
        <v>79</v>
      </c>
      <c r="AO171">
        <v>0</v>
      </c>
      <c r="AV171">
        <f>AU171+AM171</f>
        <v>1</v>
      </c>
      <c r="AW171" t="s">
        <v>97</v>
      </c>
      <c r="AX171">
        <v>1</v>
      </c>
      <c r="AY171" t="s">
        <v>97</v>
      </c>
      <c r="AZ171">
        <v>11</v>
      </c>
      <c r="BA171">
        <v>0.2</v>
      </c>
      <c r="BB171">
        <v>7</v>
      </c>
      <c r="BC171">
        <v>1</v>
      </c>
      <c r="BD171">
        <f>BA171*BB171*1/7</f>
        <v>0.2</v>
      </c>
      <c r="BE171">
        <f>AM171+AU171+BD171</f>
        <v>1.2</v>
      </c>
      <c r="BF171" t="s">
        <v>97</v>
      </c>
      <c r="BG171">
        <v>0</v>
      </c>
      <c r="BH171">
        <v>7</v>
      </c>
      <c r="BI171">
        <v>1</v>
      </c>
      <c r="BJ171" t="s">
        <v>49</v>
      </c>
      <c r="BK171">
        <v>5</v>
      </c>
      <c r="BL171">
        <v>1</v>
      </c>
      <c r="BM171">
        <v>1</v>
      </c>
      <c r="BN171" t="s">
        <v>55</v>
      </c>
      <c r="BO171">
        <v>2</v>
      </c>
      <c r="BP171">
        <v>67</v>
      </c>
      <c r="BQ171">
        <v>0.1</v>
      </c>
      <c r="BR171">
        <v>1</v>
      </c>
      <c r="BS171">
        <v>0.1</v>
      </c>
      <c r="BT171">
        <f>BS171+BD171+AU171+AM171</f>
        <v>1.3</v>
      </c>
      <c r="BU171">
        <v>1</v>
      </c>
      <c r="BV171">
        <v>1</v>
      </c>
      <c r="BW171">
        <v>146.5</v>
      </c>
      <c r="BX171">
        <f>BW171/7</f>
        <v>20.928571428571427</v>
      </c>
      <c r="BY171">
        <f>0.00077*BX171</f>
        <v>1.6114999999999997E-2</v>
      </c>
      <c r="BZ171">
        <f t="shared" si="2"/>
        <v>1.3161150000000001</v>
      </c>
    </row>
    <row r="172" spans="1:78">
      <c r="A172" s="1">
        <v>45169.952193622681</v>
      </c>
      <c r="C172">
        <v>171</v>
      </c>
      <c r="D172" s="10">
        <v>31887</v>
      </c>
      <c r="E172">
        <v>36</v>
      </c>
      <c r="F172">
        <v>1</v>
      </c>
      <c r="G172">
        <v>1</v>
      </c>
      <c r="H172">
        <v>2</v>
      </c>
      <c r="I172" s="10">
        <v>44924</v>
      </c>
      <c r="J172">
        <v>2</v>
      </c>
      <c r="K172">
        <v>0</v>
      </c>
      <c r="L172">
        <v>1</v>
      </c>
      <c r="M172">
        <v>3249</v>
      </c>
      <c r="N172">
        <v>2</v>
      </c>
      <c r="O172" s="10">
        <v>44653</v>
      </c>
      <c r="P172">
        <v>0</v>
      </c>
      <c r="Q172">
        <v>38.714285714285715</v>
      </c>
      <c r="R172">
        <v>2</v>
      </c>
      <c r="S172">
        <v>92</v>
      </c>
      <c r="T172">
        <v>157</v>
      </c>
      <c r="U172">
        <v>80</v>
      </c>
      <c r="V172">
        <v>-12</v>
      </c>
      <c r="W172">
        <v>1</v>
      </c>
      <c r="X172">
        <v>37.324029372388331</v>
      </c>
      <c r="Y172">
        <v>32.455677715120288</v>
      </c>
      <c r="Z172">
        <v>-4.8683516572680432</v>
      </c>
      <c r="AA172">
        <v>4</v>
      </c>
      <c r="AB172">
        <v>4</v>
      </c>
      <c r="AC172" t="s">
        <v>33</v>
      </c>
      <c r="AD172">
        <v>3</v>
      </c>
      <c r="AE172">
        <v>0</v>
      </c>
      <c r="AG172">
        <v>5</v>
      </c>
      <c r="AH172">
        <v>1</v>
      </c>
      <c r="AI172">
        <v>5</v>
      </c>
      <c r="AJ172">
        <v>5</v>
      </c>
      <c r="AK172">
        <v>7</v>
      </c>
      <c r="AL172">
        <v>1</v>
      </c>
      <c r="AM172">
        <f>AJ172*AK172*AL172/7</f>
        <v>5</v>
      </c>
      <c r="AN172" t="s">
        <v>27</v>
      </c>
      <c r="AO172">
        <v>1</v>
      </c>
      <c r="AP172">
        <v>19</v>
      </c>
      <c r="AQ172" t="s">
        <v>184</v>
      </c>
      <c r="AR172">
        <v>2</v>
      </c>
      <c r="AS172">
        <v>7</v>
      </c>
      <c r="AT172">
        <v>1</v>
      </c>
      <c r="AU172">
        <f>AR172*AS172*AT172/7</f>
        <v>2</v>
      </c>
      <c r="AV172">
        <f>AU172+AM172</f>
        <v>7</v>
      </c>
      <c r="AW172" t="s">
        <v>177</v>
      </c>
      <c r="AX172">
        <v>0</v>
      </c>
      <c r="BE172">
        <f>AM172+AU172+BD172</f>
        <v>7</v>
      </c>
      <c r="BF172" t="s">
        <v>890</v>
      </c>
      <c r="BG172">
        <v>1</v>
      </c>
      <c r="BH172">
        <v>7</v>
      </c>
      <c r="BI172">
        <v>1</v>
      </c>
      <c r="BJ172" t="s">
        <v>114</v>
      </c>
      <c r="BK172">
        <v>6</v>
      </c>
      <c r="BL172">
        <v>1</v>
      </c>
      <c r="BM172">
        <v>1</v>
      </c>
      <c r="BN172" t="s">
        <v>30</v>
      </c>
      <c r="BO172">
        <v>1</v>
      </c>
      <c r="BP172">
        <v>42</v>
      </c>
      <c r="BQ172">
        <v>0.13</v>
      </c>
      <c r="BR172">
        <v>0.5</v>
      </c>
      <c r="BS172">
        <v>6.5000000000000002E-2</v>
      </c>
      <c r="BT172">
        <f>BS172+BD172+AU172+AM172</f>
        <v>7.0649999999999995</v>
      </c>
      <c r="BU172">
        <v>1</v>
      </c>
      <c r="BV172">
        <v>1</v>
      </c>
      <c r="BW172">
        <v>146.5</v>
      </c>
      <c r="BX172">
        <f>BW172/7</f>
        <v>20.928571428571427</v>
      </c>
      <c r="BY172">
        <f>0.00077*BX172</f>
        <v>1.6114999999999997E-2</v>
      </c>
      <c r="BZ172">
        <f t="shared" si="2"/>
        <v>7.0811149999999996</v>
      </c>
    </row>
    <row r="173" spans="1:78">
      <c r="A173" s="1">
        <v>45169.954225381945</v>
      </c>
      <c r="C173">
        <v>172</v>
      </c>
      <c r="D173" s="10">
        <v>32494</v>
      </c>
      <c r="E173">
        <v>34</v>
      </c>
      <c r="F173">
        <v>1</v>
      </c>
      <c r="G173">
        <v>1</v>
      </c>
      <c r="H173">
        <v>5</v>
      </c>
      <c r="I173" s="10">
        <v>44884</v>
      </c>
      <c r="J173">
        <v>2</v>
      </c>
      <c r="K173">
        <v>0</v>
      </c>
      <c r="L173">
        <v>2</v>
      </c>
      <c r="M173">
        <v>3600</v>
      </c>
      <c r="N173">
        <v>2</v>
      </c>
      <c r="O173" s="10">
        <v>44618</v>
      </c>
      <c r="P173">
        <v>0</v>
      </c>
      <c r="Q173">
        <v>38</v>
      </c>
      <c r="R173">
        <v>2</v>
      </c>
      <c r="S173">
        <v>55</v>
      </c>
      <c r="T173">
        <v>159</v>
      </c>
      <c r="U173">
        <v>65</v>
      </c>
      <c r="V173">
        <v>10</v>
      </c>
      <c r="W173">
        <v>1</v>
      </c>
      <c r="X173">
        <v>21.75546853368142</v>
      </c>
      <c r="Y173">
        <v>25.711008267078039</v>
      </c>
      <c r="Z173">
        <v>3.9555397333966198</v>
      </c>
      <c r="AA173">
        <v>2</v>
      </c>
      <c r="AB173">
        <v>3</v>
      </c>
      <c r="AC173" t="s">
        <v>33</v>
      </c>
      <c r="AD173">
        <v>3</v>
      </c>
      <c r="AE173">
        <v>0</v>
      </c>
      <c r="AG173">
        <v>5</v>
      </c>
      <c r="AH173">
        <v>1</v>
      </c>
      <c r="AI173">
        <v>4</v>
      </c>
      <c r="AJ173">
        <v>1</v>
      </c>
      <c r="AK173">
        <v>7</v>
      </c>
      <c r="AL173">
        <v>1</v>
      </c>
      <c r="AM173">
        <f>AJ173*AK173*AL173/7</f>
        <v>1</v>
      </c>
      <c r="AN173" t="s">
        <v>43</v>
      </c>
      <c r="AO173">
        <v>0</v>
      </c>
      <c r="AV173">
        <f>AU173+AM173</f>
        <v>1</v>
      </c>
      <c r="AW173" t="s">
        <v>178</v>
      </c>
      <c r="AX173">
        <v>0</v>
      </c>
      <c r="BE173">
        <f>AM173+AU173+BD173</f>
        <v>1</v>
      </c>
      <c r="BF173" t="s">
        <v>178</v>
      </c>
      <c r="BG173">
        <v>1</v>
      </c>
      <c r="BH173">
        <v>7</v>
      </c>
      <c r="BI173">
        <v>1</v>
      </c>
      <c r="BJ173" t="s">
        <v>49</v>
      </c>
      <c r="BK173">
        <v>5</v>
      </c>
      <c r="BL173">
        <v>1</v>
      </c>
      <c r="BM173">
        <v>1</v>
      </c>
      <c r="BN173" t="s">
        <v>30</v>
      </c>
      <c r="BO173">
        <v>1</v>
      </c>
      <c r="BP173">
        <v>168</v>
      </c>
      <c r="BQ173">
        <v>0.13</v>
      </c>
      <c r="BR173">
        <v>2</v>
      </c>
      <c r="BS173">
        <v>0.26</v>
      </c>
      <c r="BT173">
        <f>BS173+BD173+AU173+AM173</f>
        <v>1.26</v>
      </c>
      <c r="BU173">
        <v>1</v>
      </c>
      <c r="BV173">
        <v>0.5</v>
      </c>
      <c r="BW173">
        <v>73.25</v>
      </c>
      <c r="BX173">
        <f>BW173/7</f>
        <v>10.464285714285714</v>
      </c>
      <c r="BY173">
        <f>0.00077*BX173</f>
        <v>8.0574999999999987E-3</v>
      </c>
      <c r="BZ173">
        <f t="shared" si="2"/>
        <v>1.2680575000000001</v>
      </c>
    </row>
    <row r="174" spans="1:78">
      <c r="A174" s="1">
        <v>45169.957502777776</v>
      </c>
      <c r="C174">
        <v>173</v>
      </c>
      <c r="D174" s="10">
        <v>31671</v>
      </c>
      <c r="E174">
        <v>36</v>
      </c>
      <c r="F174">
        <v>1</v>
      </c>
      <c r="G174">
        <v>1</v>
      </c>
      <c r="H174">
        <v>4</v>
      </c>
      <c r="I174" s="10">
        <v>43813</v>
      </c>
      <c r="J174">
        <v>2</v>
      </c>
      <c r="K174">
        <v>0</v>
      </c>
      <c r="L174">
        <v>2</v>
      </c>
      <c r="M174">
        <v>3250</v>
      </c>
      <c r="N174">
        <v>2</v>
      </c>
      <c r="O174" s="10">
        <v>43533</v>
      </c>
      <c r="P174">
        <v>0</v>
      </c>
      <c r="Q174">
        <v>40</v>
      </c>
      <c r="R174">
        <v>2</v>
      </c>
      <c r="S174">
        <v>76</v>
      </c>
      <c r="T174">
        <v>169</v>
      </c>
      <c r="U174">
        <v>93</v>
      </c>
      <c r="V174">
        <v>17</v>
      </c>
      <c r="W174">
        <v>3</v>
      </c>
      <c r="X174">
        <v>26.609712545078956</v>
      </c>
      <c r="Y174">
        <v>32.561885088057146</v>
      </c>
      <c r="Z174">
        <v>5.9521725429781895</v>
      </c>
      <c r="AA174">
        <v>3</v>
      </c>
      <c r="AB174">
        <v>4</v>
      </c>
      <c r="AC174" t="s">
        <v>33</v>
      </c>
      <c r="AD174">
        <v>3</v>
      </c>
      <c r="AE174">
        <v>0</v>
      </c>
      <c r="AG174">
        <v>5</v>
      </c>
      <c r="AH174">
        <v>0</v>
      </c>
      <c r="AI174">
        <v>0</v>
      </c>
      <c r="AN174" t="s">
        <v>41</v>
      </c>
      <c r="AO174">
        <v>0</v>
      </c>
      <c r="AW174" t="s">
        <v>58</v>
      </c>
      <c r="AX174">
        <v>1</v>
      </c>
      <c r="AY174" t="s">
        <v>58</v>
      </c>
      <c r="AZ174">
        <v>1</v>
      </c>
      <c r="BA174">
        <v>0.8</v>
      </c>
      <c r="BB174">
        <v>7</v>
      </c>
      <c r="BC174">
        <v>1</v>
      </c>
      <c r="BD174">
        <f>BA174*BB174*1/7</f>
        <v>0.8</v>
      </c>
      <c r="BE174">
        <f>AM174+AU174+BD174</f>
        <v>0.8</v>
      </c>
      <c r="BF174" t="s">
        <v>58</v>
      </c>
      <c r="BG174">
        <v>0</v>
      </c>
      <c r="BH174">
        <v>7</v>
      </c>
      <c r="BI174">
        <v>1</v>
      </c>
      <c r="BJ174" t="s">
        <v>42</v>
      </c>
      <c r="BK174">
        <v>6</v>
      </c>
      <c r="BL174">
        <v>1</v>
      </c>
      <c r="BM174">
        <v>1</v>
      </c>
      <c r="BN174" t="s">
        <v>30</v>
      </c>
      <c r="BO174">
        <v>1</v>
      </c>
      <c r="BP174">
        <v>168</v>
      </c>
      <c r="BQ174">
        <v>0.13</v>
      </c>
      <c r="BR174">
        <v>2</v>
      </c>
      <c r="BS174">
        <v>0.26</v>
      </c>
      <c r="BT174">
        <f>BS174+BD174+AU174+AM174</f>
        <v>1.06</v>
      </c>
      <c r="BU174">
        <v>1</v>
      </c>
      <c r="BV174">
        <v>0.5</v>
      </c>
      <c r="BW174">
        <v>73.25</v>
      </c>
      <c r="BX174">
        <f>BW174/7</f>
        <v>10.464285714285714</v>
      </c>
      <c r="BY174">
        <f>0.00077*BX174</f>
        <v>8.0574999999999987E-3</v>
      </c>
      <c r="BZ174">
        <f t="shared" si="2"/>
        <v>1.0680575000000001</v>
      </c>
    </row>
    <row r="175" spans="1:78">
      <c r="A175" s="1">
        <v>45169.970069733798</v>
      </c>
      <c r="B175" t="s">
        <v>865</v>
      </c>
      <c r="C175">
        <v>174</v>
      </c>
      <c r="D175" s="10">
        <v>32094</v>
      </c>
      <c r="E175">
        <v>35</v>
      </c>
      <c r="F175">
        <v>1</v>
      </c>
      <c r="G175">
        <v>1</v>
      </c>
      <c r="H175">
        <v>4</v>
      </c>
      <c r="I175" s="10">
        <v>44552</v>
      </c>
      <c r="J175">
        <v>3</v>
      </c>
      <c r="K175">
        <v>0</v>
      </c>
      <c r="L175">
        <v>1</v>
      </c>
      <c r="M175">
        <v>2780</v>
      </c>
      <c r="N175">
        <v>2</v>
      </c>
      <c r="O175" s="10">
        <v>44286</v>
      </c>
      <c r="P175">
        <v>1</v>
      </c>
      <c r="Q175">
        <v>38</v>
      </c>
      <c r="R175">
        <v>2</v>
      </c>
      <c r="S175">
        <v>104</v>
      </c>
      <c r="T175">
        <v>162</v>
      </c>
      <c r="U175">
        <v>104</v>
      </c>
      <c r="V175">
        <v>0</v>
      </c>
      <c r="W175">
        <v>1</v>
      </c>
      <c r="X175">
        <v>39.628105471726862</v>
      </c>
      <c r="Y175">
        <v>39.628105471726862</v>
      </c>
      <c r="Z175">
        <v>0</v>
      </c>
      <c r="AA175">
        <v>4</v>
      </c>
      <c r="AB175">
        <v>4</v>
      </c>
      <c r="AC175" t="s">
        <v>25</v>
      </c>
      <c r="AD175">
        <v>1</v>
      </c>
      <c r="AE175">
        <v>0</v>
      </c>
      <c r="AG175">
        <v>5</v>
      </c>
      <c r="AH175">
        <v>1</v>
      </c>
      <c r="AI175">
        <v>13</v>
      </c>
      <c r="AJ175">
        <v>1</v>
      </c>
      <c r="AK175">
        <v>7</v>
      </c>
      <c r="AL175">
        <v>1</v>
      </c>
      <c r="AM175">
        <f>AJ175*AK175*AL175/7</f>
        <v>1</v>
      </c>
      <c r="AN175" t="s">
        <v>79</v>
      </c>
      <c r="AO175">
        <v>0</v>
      </c>
      <c r="AV175">
        <f>AU175+AM175</f>
        <v>1</v>
      </c>
      <c r="AW175" t="s">
        <v>95</v>
      </c>
      <c r="AX175">
        <v>1</v>
      </c>
      <c r="AY175" t="s">
        <v>878</v>
      </c>
      <c r="AZ175">
        <v>16</v>
      </c>
      <c r="BA175" t="s">
        <v>258</v>
      </c>
      <c r="BB175">
        <v>7</v>
      </c>
      <c r="BC175">
        <v>1</v>
      </c>
      <c r="BE175">
        <f>AM175+AU175+BD175</f>
        <v>1</v>
      </c>
      <c r="BF175" t="s">
        <v>878</v>
      </c>
      <c r="BG175" t="s">
        <v>258</v>
      </c>
      <c r="BH175">
        <v>7</v>
      </c>
      <c r="BI175">
        <v>1</v>
      </c>
      <c r="BJ175" t="s">
        <v>49</v>
      </c>
      <c r="BK175">
        <v>5</v>
      </c>
      <c r="BL175">
        <v>1</v>
      </c>
      <c r="BM175">
        <v>1</v>
      </c>
      <c r="BN175" t="s">
        <v>30</v>
      </c>
      <c r="BO175">
        <v>1</v>
      </c>
      <c r="BP175">
        <v>252</v>
      </c>
      <c r="BQ175">
        <v>0.13</v>
      </c>
      <c r="BR175">
        <v>3</v>
      </c>
      <c r="BS175">
        <v>0.39</v>
      </c>
      <c r="BT175">
        <f>BS175+BD175+AU175+AM175</f>
        <v>1.3900000000000001</v>
      </c>
      <c r="BU175">
        <v>1</v>
      </c>
      <c r="BV175">
        <v>2</v>
      </c>
      <c r="BW175">
        <v>293</v>
      </c>
      <c r="BX175">
        <f>BW175/7</f>
        <v>41.857142857142854</v>
      </c>
      <c r="BY175">
        <f>0.00077*BX175</f>
        <v>3.2229999999999995E-2</v>
      </c>
      <c r="BZ175">
        <f t="shared" si="2"/>
        <v>1.4222300000000001</v>
      </c>
    </row>
    <row r="176" spans="1:78">
      <c r="A176" s="1">
        <v>45169.970514270834</v>
      </c>
      <c r="C176">
        <v>175</v>
      </c>
      <c r="D176" s="10">
        <v>33190</v>
      </c>
      <c r="E176">
        <v>32</v>
      </c>
      <c r="F176">
        <v>1</v>
      </c>
      <c r="G176">
        <v>10</v>
      </c>
      <c r="H176">
        <v>4</v>
      </c>
      <c r="I176" s="10">
        <v>44742</v>
      </c>
      <c r="J176">
        <v>1</v>
      </c>
      <c r="K176">
        <v>1</v>
      </c>
      <c r="L176">
        <v>2</v>
      </c>
      <c r="M176">
        <v>3627</v>
      </c>
      <c r="N176">
        <v>2</v>
      </c>
      <c r="O176" s="10">
        <v>44469</v>
      </c>
      <c r="P176">
        <v>1</v>
      </c>
      <c r="Q176">
        <v>39</v>
      </c>
      <c r="R176">
        <v>2</v>
      </c>
      <c r="S176">
        <v>67</v>
      </c>
      <c r="T176">
        <v>164</v>
      </c>
      <c r="U176">
        <v>79</v>
      </c>
      <c r="V176">
        <v>12</v>
      </c>
      <c r="W176">
        <v>2</v>
      </c>
      <c r="X176">
        <v>24.910767400356935</v>
      </c>
      <c r="Y176">
        <v>29.372397382510414</v>
      </c>
      <c r="Z176">
        <v>4.4616299821534788</v>
      </c>
      <c r="AA176">
        <v>2</v>
      </c>
      <c r="AB176">
        <v>3</v>
      </c>
      <c r="AC176" t="s">
        <v>25</v>
      </c>
      <c r="AD176">
        <v>1</v>
      </c>
      <c r="AE176">
        <v>1</v>
      </c>
      <c r="AF176" t="s">
        <v>179</v>
      </c>
      <c r="AG176" t="e">
        <v>#N/A</v>
      </c>
      <c r="AH176">
        <v>1</v>
      </c>
      <c r="AI176">
        <v>4</v>
      </c>
      <c r="AJ176">
        <v>1</v>
      </c>
      <c r="AK176">
        <v>7</v>
      </c>
      <c r="AL176">
        <v>1</v>
      </c>
      <c r="AM176">
        <f>AJ176*AK176*AL176/7</f>
        <v>1</v>
      </c>
      <c r="AN176" t="s">
        <v>43</v>
      </c>
      <c r="AO176">
        <v>0</v>
      </c>
      <c r="AV176">
        <f>AU176+AM176</f>
        <v>1</v>
      </c>
      <c r="AX176">
        <v>0</v>
      </c>
      <c r="BE176">
        <f>AM176+AU176+BD176</f>
        <v>1</v>
      </c>
      <c r="BG176">
        <v>0</v>
      </c>
      <c r="BJ176" t="s">
        <v>49</v>
      </c>
      <c r="BK176">
        <v>5</v>
      </c>
      <c r="BL176">
        <v>4</v>
      </c>
      <c r="BM176">
        <v>1</v>
      </c>
      <c r="BN176" t="s">
        <v>63</v>
      </c>
      <c r="BO176">
        <v>5</v>
      </c>
      <c r="BP176">
        <v>144</v>
      </c>
      <c r="BQ176">
        <v>0.06</v>
      </c>
      <c r="BR176">
        <v>3</v>
      </c>
      <c r="BS176">
        <v>0.18</v>
      </c>
      <c r="BT176">
        <f>BS176+BD176+AU176+AM176</f>
        <v>1.18</v>
      </c>
      <c r="BU176">
        <v>1</v>
      </c>
      <c r="BV176">
        <v>2</v>
      </c>
      <c r="BW176">
        <v>293</v>
      </c>
      <c r="BX176">
        <f>BW176/7</f>
        <v>41.857142857142854</v>
      </c>
      <c r="BY176">
        <f>0.00077*BX176</f>
        <v>3.2229999999999995E-2</v>
      </c>
      <c r="BZ176">
        <f t="shared" si="2"/>
        <v>1.2122299999999999</v>
      </c>
    </row>
    <row r="177" spans="1:78">
      <c r="A177" s="1">
        <v>45169.973116956018</v>
      </c>
      <c r="C177">
        <v>176</v>
      </c>
      <c r="D177" s="10">
        <v>36202</v>
      </c>
      <c r="E177">
        <v>24</v>
      </c>
      <c r="F177">
        <v>1</v>
      </c>
      <c r="G177">
        <v>1</v>
      </c>
      <c r="H177">
        <v>4</v>
      </c>
      <c r="I177" s="10">
        <v>44753</v>
      </c>
      <c r="J177">
        <v>1</v>
      </c>
      <c r="K177">
        <v>1</v>
      </c>
      <c r="L177">
        <v>2</v>
      </c>
      <c r="M177">
        <v>2565</v>
      </c>
      <c r="N177">
        <v>2</v>
      </c>
      <c r="O177" s="10">
        <v>44487</v>
      </c>
      <c r="P177">
        <v>1</v>
      </c>
      <c r="Q177">
        <v>38</v>
      </c>
      <c r="R177">
        <v>2</v>
      </c>
      <c r="S177">
        <v>47</v>
      </c>
      <c r="T177">
        <v>149</v>
      </c>
      <c r="U177">
        <v>63</v>
      </c>
      <c r="V177">
        <v>16</v>
      </c>
      <c r="W177">
        <v>2</v>
      </c>
      <c r="X177">
        <v>21.170217557767668</v>
      </c>
      <c r="Y177">
        <v>28.377100130624747</v>
      </c>
      <c r="Z177">
        <v>7.2068825728570793</v>
      </c>
      <c r="AA177">
        <v>2</v>
      </c>
      <c r="AB177">
        <v>3</v>
      </c>
      <c r="AC177" t="s">
        <v>33</v>
      </c>
      <c r="AD177">
        <v>3</v>
      </c>
      <c r="AE177">
        <v>0</v>
      </c>
      <c r="AG177">
        <v>5</v>
      </c>
      <c r="AH177">
        <v>1</v>
      </c>
      <c r="AI177">
        <v>17</v>
      </c>
      <c r="AJ177">
        <v>0.6</v>
      </c>
      <c r="AK177">
        <v>7</v>
      </c>
      <c r="AL177">
        <v>2</v>
      </c>
      <c r="AM177">
        <f>AJ177*AK177*AL177/7</f>
        <v>1.2</v>
      </c>
      <c r="AN177" t="s">
        <v>181</v>
      </c>
      <c r="AO177">
        <v>0</v>
      </c>
      <c r="AV177">
        <f>AU177+AM177</f>
        <v>1.2</v>
      </c>
      <c r="AW177" t="s">
        <v>67</v>
      </c>
      <c r="AX177">
        <v>0</v>
      </c>
      <c r="BE177">
        <f>AM177+AU177+BD177</f>
        <v>1.2</v>
      </c>
      <c r="BF177" t="s">
        <v>67</v>
      </c>
      <c r="BG177">
        <v>1</v>
      </c>
      <c r="BH177">
        <v>7</v>
      </c>
      <c r="BI177">
        <v>1</v>
      </c>
      <c r="BJ177" t="s">
        <v>42</v>
      </c>
      <c r="BK177">
        <v>6</v>
      </c>
      <c r="BL177">
        <v>1</v>
      </c>
      <c r="BM177">
        <v>1</v>
      </c>
      <c r="BN177" t="s">
        <v>30</v>
      </c>
      <c r="BO177">
        <v>1</v>
      </c>
      <c r="BP177">
        <v>84</v>
      </c>
      <c r="BQ177">
        <v>0.13</v>
      </c>
      <c r="BR177">
        <v>1</v>
      </c>
      <c r="BS177">
        <v>0.13</v>
      </c>
      <c r="BT177">
        <f>BS177+BD177+AU177+AM177</f>
        <v>1.33</v>
      </c>
      <c r="BU177">
        <v>1</v>
      </c>
      <c r="BV177">
        <v>2</v>
      </c>
      <c r="BW177">
        <v>293</v>
      </c>
      <c r="BX177">
        <f>BW177/7</f>
        <v>41.857142857142854</v>
      </c>
      <c r="BY177">
        <f>0.00077*BX177</f>
        <v>3.2229999999999995E-2</v>
      </c>
      <c r="BZ177">
        <f t="shared" si="2"/>
        <v>1.3622300000000001</v>
      </c>
    </row>
    <row r="178" spans="1:78">
      <c r="A178" s="1">
        <v>45169.973510462965</v>
      </c>
      <c r="C178">
        <v>177</v>
      </c>
      <c r="D178" s="10">
        <v>34338</v>
      </c>
      <c r="E178">
        <v>29</v>
      </c>
      <c r="F178">
        <v>1</v>
      </c>
      <c r="G178">
        <v>3</v>
      </c>
      <c r="H178">
        <v>4</v>
      </c>
      <c r="I178" s="10">
        <v>44726</v>
      </c>
      <c r="J178">
        <v>2</v>
      </c>
      <c r="K178">
        <v>0</v>
      </c>
      <c r="L178">
        <v>2</v>
      </c>
      <c r="M178">
        <v>3380</v>
      </c>
      <c r="N178">
        <v>2</v>
      </c>
      <c r="O178" s="10">
        <v>44448</v>
      </c>
      <c r="P178">
        <v>1</v>
      </c>
      <c r="Q178">
        <v>39.714285714285715</v>
      </c>
      <c r="R178">
        <v>2</v>
      </c>
      <c r="S178">
        <v>80</v>
      </c>
      <c r="T178">
        <v>154</v>
      </c>
      <c r="U178">
        <v>87</v>
      </c>
      <c r="V178">
        <v>7</v>
      </c>
      <c r="W178">
        <v>2</v>
      </c>
      <c r="X178">
        <v>33.732501264968796</v>
      </c>
      <c r="Y178">
        <v>36.68409512565357</v>
      </c>
      <c r="Z178">
        <v>2.951593860684774</v>
      </c>
      <c r="AA178">
        <v>4</v>
      </c>
      <c r="AB178">
        <v>4</v>
      </c>
      <c r="AC178" t="s">
        <v>33</v>
      </c>
      <c r="AD178">
        <v>3</v>
      </c>
      <c r="AE178">
        <v>0</v>
      </c>
      <c r="AG178">
        <v>5</v>
      </c>
      <c r="AH178">
        <v>1</v>
      </c>
      <c r="AI178">
        <v>13</v>
      </c>
      <c r="AJ178">
        <v>1</v>
      </c>
      <c r="AK178">
        <v>7</v>
      </c>
      <c r="AL178">
        <v>1</v>
      </c>
      <c r="AM178">
        <f>AJ178*AK178*AL178/7</f>
        <v>1</v>
      </c>
      <c r="AN178" t="s">
        <v>79</v>
      </c>
      <c r="AO178">
        <v>0</v>
      </c>
      <c r="AV178">
        <f>AU178+AM178</f>
        <v>1</v>
      </c>
      <c r="AX178">
        <v>0</v>
      </c>
      <c r="BE178">
        <f>AM178+AU178+BD178</f>
        <v>1</v>
      </c>
      <c r="BG178">
        <v>0</v>
      </c>
      <c r="BJ178" t="s">
        <v>49</v>
      </c>
      <c r="BK178">
        <v>5</v>
      </c>
      <c r="BL178">
        <v>1</v>
      </c>
      <c r="BM178">
        <v>1</v>
      </c>
      <c r="BN178" t="s">
        <v>182</v>
      </c>
      <c r="BO178">
        <v>9</v>
      </c>
      <c r="BP178">
        <v>118</v>
      </c>
      <c r="BQ178">
        <v>0.09</v>
      </c>
      <c r="BR178">
        <v>2</v>
      </c>
      <c r="BS178">
        <v>0.18</v>
      </c>
      <c r="BT178">
        <f>BS178+BD178+AU178+AM178</f>
        <v>1.18</v>
      </c>
      <c r="BU178">
        <v>1</v>
      </c>
      <c r="BV178">
        <v>1</v>
      </c>
      <c r="BW178">
        <v>146.5</v>
      </c>
      <c r="BX178">
        <f>BW178/7</f>
        <v>20.928571428571427</v>
      </c>
      <c r="BY178">
        <f>0.00077*BX178</f>
        <v>1.6114999999999997E-2</v>
      </c>
      <c r="BZ178">
        <f t="shared" si="2"/>
        <v>1.196115</v>
      </c>
    </row>
    <row r="179" spans="1:78">
      <c r="A179" s="1">
        <v>45169.977626111111</v>
      </c>
      <c r="C179">
        <v>178</v>
      </c>
      <c r="D179" s="10">
        <v>35873</v>
      </c>
      <c r="E179">
        <v>25</v>
      </c>
      <c r="F179">
        <v>1</v>
      </c>
      <c r="G179">
        <v>1</v>
      </c>
      <c r="H179">
        <v>2</v>
      </c>
      <c r="I179" s="10">
        <v>44490</v>
      </c>
      <c r="J179">
        <v>2</v>
      </c>
      <c r="K179">
        <v>0</v>
      </c>
      <c r="L179">
        <v>2</v>
      </c>
      <c r="M179">
        <v>3850</v>
      </c>
      <c r="N179">
        <v>2</v>
      </c>
      <c r="O179" s="10">
        <v>44217</v>
      </c>
      <c r="P179">
        <v>1</v>
      </c>
      <c r="Q179">
        <v>39</v>
      </c>
      <c r="R179">
        <v>2</v>
      </c>
      <c r="S179">
        <v>75</v>
      </c>
      <c r="T179">
        <v>164</v>
      </c>
      <c r="U179">
        <v>89</v>
      </c>
      <c r="V179">
        <v>14</v>
      </c>
      <c r="W179">
        <v>3</v>
      </c>
      <c r="X179">
        <v>27.885187388459254</v>
      </c>
      <c r="Y179">
        <v>33.090422367638318</v>
      </c>
      <c r="Z179">
        <v>5.205234979179064</v>
      </c>
      <c r="AA179">
        <v>3</v>
      </c>
      <c r="AB179">
        <v>4</v>
      </c>
      <c r="AC179" t="s">
        <v>33</v>
      </c>
      <c r="AD179">
        <v>3</v>
      </c>
      <c r="AE179">
        <v>0</v>
      </c>
      <c r="AG179">
        <v>5</v>
      </c>
      <c r="AH179">
        <v>1</v>
      </c>
      <c r="AI179">
        <v>1</v>
      </c>
      <c r="AJ179">
        <v>1</v>
      </c>
      <c r="AK179">
        <v>7</v>
      </c>
      <c r="AL179">
        <v>1</v>
      </c>
      <c r="AM179">
        <f>AJ179*AK179*AL179/7</f>
        <v>1</v>
      </c>
      <c r="AN179" t="s">
        <v>56</v>
      </c>
      <c r="AO179">
        <v>0</v>
      </c>
      <c r="AV179">
        <f>AU179+AM179</f>
        <v>1</v>
      </c>
      <c r="AX179">
        <v>0</v>
      </c>
      <c r="BE179">
        <f>AM179+AU179+BD179</f>
        <v>1</v>
      </c>
      <c r="BG179">
        <v>0</v>
      </c>
      <c r="BJ179" t="s">
        <v>49</v>
      </c>
      <c r="BK179">
        <v>5</v>
      </c>
      <c r="BL179">
        <v>1</v>
      </c>
      <c r="BM179">
        <v>1</v>
      </c>
      <c r="BN179" t="s">
        <v>30</v>
      </c>
      <c r="BO179">
        <v>1</v>
      </c>
      <c r="BP179">
        <v>168</v>
      </c>
      <c r="BQ179">
        <v>0.13</v>
      </c>
      <c r="BR179">
        <v>2</v>
      </c>
      <c r="BS179">
        <v>0.26</v>
      </c>
      <c r="BT179">
        <f>BS179+BD179+AU179+AM179</f>
        <v>1.26</v>
      </c>
      <c r="BU179">
        <v>1</v>
      </c>
      <c r="BV179">
        <v>2</v>
      </c>
      <c r="BW179">
        <v>293</v>
      </c>
      <c r="BX179">
        <f>BW179/7</f>
        <v>41.857142857142854</v>
      </c>
      <c r="BY179">
        <f>0.00077*BX179</f>
        <v>3.2229999999999995E-2</v>
      </c>
      <c r="BZ179">
        <f t="shared" si="2"/>
        <v>1.29223</v>
      </c>
    </row>
    <row r="180" spans="1:78">
      <c r="A180" s="1">
        <v>45169.983089513888</v>
      </c>
      <c r="B180" t="s">
        <v>865</v>
      </c>
      <c r="C180">
        <v>179</v>
      </c>
      <c r="D180" s="10">
        <v>30482</v>
      </c>
      <c r="E180">
        <v>40</v>
      </c>
      <c r="F180">
        <v>1</v>
      </c>
      <c r="G180">
        <v>1</v>
      </c>
      <c r="H180">
        <v>4</v>
      </c>
      <c r="I180" s="10">
        <v>43878</v>
      </c>
      <c r="J180">
        <v>4</v>
      </c>
      <c r="K180">
        <v>0</v>
      </c>
      <c r="L180">
        <v>1</v>
      </c>
      <c r="M180">
        <v>3800</v>
      </c>
      <c r="N180">
        <v>2</v>
      </c>
      <c r="O180" s="10">
        <v>43616</v>
      </c>
      <c r="P180">
        <v>0</v>
      </c>
      <c r="Q180">
        <v>37.428571428571431</v>
      </c>
      <c r="R180">
        <v>2</v>
      </c>
      <c r="S180">
        <v>75</v>
      </c>
      <c r="T180">
        <v>159</v>
      </c>
      <c r="U180">
        <v>80</v>
      </c>
      <c r="V180">
        <v>5</v>
      </c>
      <c r="W180">
        <v>1</v>
      </c>
      <c r="X180">
        <v>29.666548000474663</v>
      </c>
      <c r="Y180">
        <v>31.644317867172973</v>
      </c>
      <c r="Z180">
        <v>1.9777698666983099</v>
      </c>
      <c r="AA180">
        <v>3</v>
      </c>
      <c r="AB180">
        <v>4</v>
      </c>
      <c r="AC180" t="s">
        <v>44</v>
      </c>
      <c r="AD180">
        <v>1</v>
      </c>
      <c r="AE180">
        <v>1</v>
      </c>
      <c r="AF180" t="s">
        <v>551</v>
      </c>
      <c r="AG180">
        <v>4</v>
      </c>
      <c r="AH180">
        <v>1</v>
      </c>
      <c r="AI180">
        <v>1</v>
      </c>
      <c r="AJ180">
        <v>1</v>
      </c>
      <c r="AK180">
        <v>7</v>
      </c>
      <c r="AL180">
        <v>1</v>
      </c>
      <c r="AM180">
        <f>AJ180*AK180*AL180/7</f>
        <v>1</v>
      </c>
      <c r="AN180" t="s">
        <v>56</v>
      </c>
      <c r="AO180">
        <v>0</v>
      </c>
      <c r="AV180">
        <f>AU180+AM180</f>
        <v>1</v>
      </c>
      <c r="AW180" t="s">
        <v>655</v>
      </c>
      <c r="AX180">
        <v>1</v>
      </c>
      <c r="AY180" t="s">
        <v>655</v>
      </c>
      <c r="AZ180">
        <v>16</v>
      </c>
      <c r="BA180" t="s">
        <v>258</v>
      </c>
      <c r="BB180">
        <v>7</v>
      </c>
      <c r="BC180">
        <v>1</v>
      </c>
      <c r="BE180">
        <f>AM180+AU180+BD180</f>
        <v>1</v>
      </c>
      <c r="BF180" t="s">
        <v>655</v>
      </c>
      <c r="BG180" t="s">
        <v>258</v>
      </c>
      <c r="BH180">
        <v>7</v>
      </c>
      <c r="BI180">
        <v>1</v>
      </c>
      <c r="BJ180" t="s">
        <v>49</v>
      </c>
      <c r="BK180">
        <v>5</v>
      </c>
      <c r="BL180">
        <v>1</v>
      </c>
      <c r="BM180">
        <v>1</v>
      </c>
      <c r="BN180" t="s">
        <v>30</v>
      </c>
      <c r="BO180">
        <v>1</v>
      </c>
      <c r="BP180">
        <v>168</v>
      </c>
      <c r="BQ180">
        <v>0.13</v>
      </c>
      <c r="BR180">
        <v>2</v>
      </c>
      <c r="BS180">
        <v>0.26</v>
      </c>
      <c r="BT180">
        <f>BS180+BD180+AU180+AM180</f>
        <v>1.26</v>
      </c>
      <c r="BU180">
        <v>1</v>
      </c>
      <c r="BV180">
        <v>3</v>
      </c>
      <c r="BW180">
        <v>439.5</v>
      </c>
      <c r="BX180">
        <f>BW180/7</f>
        <v>62.785714285714285</v>
      </c>
      <c r="BY180">
        <f>0.00077*BX180</f>
        <v>4.8344999999999999E-2</v>
      </c>
      <c r="BZ180">
        <f t="shared" si="2"/>
        <v>1.3083450000000001</v>
      </c>
    </row>
    <row r="181" spans="1:78">
      <c r="A181" s="1">
        <v>45169.985686412037</v>
      </c>
      <c r="C181">
        <v>180</v>
      </c>
      <c r="D181" s="10">
        <v>33608</v>
      </c>
      <c r="E181">
        <v>31</v>
      </c>
      <c r="F181">
        <v>1</v>
      </c>
      <c r="G181">
        <v>9</v>
      </c>
      <c r="H181">
        <v>4</v>
      </c>
      <c r="I181" s="10">
        <v>45057</v>
      </c>
      <c r="J181">
        <v>3</v>
      </c>
      <c r="K181">
        <v>0</v>
      </c>
      <c r="L181">
        <v>2</v>
      </c>
      <c r="M181">
        <v>3120</v>
      </c>
      <c r="N181">
        <v>2</v>
      </c>
      <c r="O181" s="10">
        <v>44788</v>
      </c>
      <c r="P181">
        <v>0</v>
      </c>
      <c r="Q181">
        <v>38.428571428571431</v>
      </c>
      <c r="R181">
        <v>2</v>
      </c>
      <c r="S181">
        <v>84</v>
      </c>
      <c r="T181">
        <v>160</v>
      </c>
      <c r="U181">
        <v>89</v>
      </c>
      <c r="V181">
        <v>5</v>
      </c>
      <c r="W181">
        <v>1</v>
      </c>
      <c r="X181">
        <v>32.812499999999993</v>
      </c>
      <c r="Y181">
        <v>34.765624999999993</v>
      </c>
      <c r="Z181">
        <v>1.953125</v>
      </c>
      <c r="AA181">
        <v>4</v>
      </c>
      <c r="AB181">
        <v>4</v>
      </c>
      <c r="AC181" t="s">
        <v>33</v>
      </c>
      <c r="AD181">
        <v>3</v>
      </c>
      <c r="AE181">
        <v>0</v>
      </c>
      <c r="AG181">
        <v>5</v>
      </c>
      <c r="AH181">
        <v>1</v>
      </c>
      <c r="AI181">
        <v>5</v>
      </c>
      <c r="AJ181">
        <v>5</v>
      </c>
      <c r="AK181">
        <v>7</v>
      </c>
      <c r="AL181">
        <v>1</v>
      </c>
      <c r="AM181">
        <f>AJ181*AK181*AL181/7</f>
        <v>5</v>
      </c>
      <c r="AN181" t="s">
        <v>27</v>
      </c>
      <c r="AO181">
        <v>0</v>
      </c>
      <c r="AV181">
        <f>AU181+AM181</f>
        <v>5</v>
      </c>
      <c r="AW181" t="s">
        <v>58</v>
      </c>
      <c r="AX181">
        <v>1</v>
      </c>
      <c r="AY181" t="s">
        <v>58</v>
      </c>
      <c r="AZ181">
        <v>1</v>
      </c>
      <c r="BA181">
        <v>0.8</v>
      </c>
      <c r="BB181">
        <v>7</v>
      </c>
      <c r="BC181">
        <v>1</v>
      </c>
      <c r="BD181">
        <f>BA181*BB181*1/7</f>
        <v>0.8</v>
      </c>
      <c r="BE181">
        <f>AM181+AU181+BD181</f>
        <v>5.8</v>
      </c>
      <c r="BF181" t="s">
        <v>58</v>
      </c>
      <c r="BG181">
        <v>0</v>
      </c>
      <c r="BH181">
        <v>7</v>
      </c>
      <c r="BI181">
        <v>1</v>
      </c>
      <c r="BJ181" t="s">
        <v>49</v>
      </c>
      <c r="BK181">
        <v>5</v>
      </c>
      <c r="BL181">
        <v>1</v>
      </c>
      <c r="BM181">
        <v>1</v>
      </c>
      <c r="BN181" t="s">
        <v>55</v>
      </c>
      <c r="BO181">
        <v>2</v>
      </c>
      <c r="BP181">
        <v>134</v>
      </c>
      <c r="BQ181">
        <v>0.1</v>
      </c>
      <c r="BR181">
        <v>2</v>
      </c>
      <c r="BS181">
        <v>0.2</v>
      </c>
      <c r="BT181">
        <f>BS181+BD181+AU181+AM181</f>
        <v>6</v>
      </c>
      <c r="BU181">
        <v>1</v>
      </c>
      <c r="BV181">
        <v>3</v>
      </c>
      <c r="BW181">
        <v>439.5</v>
      </c>
      <c r="BX181">
        <f>BW181/7</f>
        <v>62.785714285714285</v>
      </c>
      <c r="BY181">
        <f>0.00077*BX181</f>
        <v>4.8344999999999999E-2</v>
      </c>
      <c r="BZ181">
        <f t="shared" si="2"/>
        <v>6.0483450000000003</v>
      </c>
    </row>
    <row r="182" spans="1:78">
      <c r="A182" s="1">
        <v>45169.9994356713</v>
      </c>
      <c r="C182">
        <v>181</v>
      </c>
      <c r="D182" s="10">
        <v>34366</v>
      </c>
      <c r="E182">
        <v>29</v>
      </c>
      <c r="F182">
        <v>1</v>
      </c>
      <c r="G182">
        <v>1</v>
      </c>
      <c r="H182">
        <v>4</v>
      </c>
      <c r="I182" s="10">
        <v>44088</v>
      </c>
      <c r="J182">
        <v>1</v>
      </c>
      <c r="K182">
        <v>1</v>
      </c>
      <c r="L182">
        <v>1</v>
      </c>
      <c r="M182">
        <v>3145</v>
      </c>
      <c r="N182">
        <v>2</v>
      </c>
      <c r="O182" s="10">
        <v>43815</v>
      </c>
      <c r="P182">
        <v>0</v>
      </c>
      <c r="Q182">
        <v>39</v>
      </c>
      <c r="R182">
        <v>2</v>
      </c>
      <c r="S182">
        <v>67</v>
      </c>
      <c r="T182">
        <v>158</v>
      </c>
      <c r="U182">
        <v>78</v>
      </c>
      <c r="V182">
        <v>11</v>
      </c>
      <c r="W182">
        <v>2</v>
      </c>
      <c r="X182">
        <v>26.83864765261977</v>
      </c>
      <c r="Y182">
        <v>31.244992789617044</v>
      </c>
      <c r="Z182">
        <v>4.4063451369972739</v>
      </c>
      <c r="AA182">
        <v>3</v>
      </c>
      <c r="AB182">
        <v>4</v>
      </c>
      <c r="AC182" t="s">
        <v>33</v>
      </c>
      <c r="AD182">
        <v>3</v>
      </c>
      <c r="AE182">
        <v>0</v>
      </c>
      <c r="AG182">
        <v>5</v>
      </c>
      <c r="AH182">
        <v>1</v>
      </c>
      <c r="AI182">
        <v>4</v>
      </c>
      <c r="AJ182">
        <v>1</v>
      </c>
      <c r="AK182">
        <v>7</v>
      </c>
      <c r="AL182">
        <v>1</v>
      </c>
      <c r="AM182">
        <f>AJ182*AK182*AL182/7</f>
        <v>1</v>
      </c>
      <c r="AN182" t="s">
        <v>43</v>
      </c>
      <c r="AO182">
        <v>0</v>
      </c>
      <c r="AV182">
        <f>AU182+AM182</f>
        <v>1</v>
      </c>
      <c r="AX182">
        <v>0</v>
      </c>
      <c r="BE182">
        <f>AM182+AU182+BD182</f>
        <v>1</v>
      </c>
      <c r="BG182">
        <v>0</v>
      </c>
      <c r="BJ182" t="s">
        <v>28</v>
      </c>
      <c r="BK182">
        <v>3</v>
      </c>
      <c r="BL182">
        <v>1</v>
      </c>
      <c r="BM182">
        <v>1</v>
      </c>
      <c r="BN182" t="s">
        <v>30</v>
      </c>
      <c r="BO182">
        <v>1</v>
      </c>
      <c r="BP182">
        <v>84</v>
      </c>
      <c r="BQ182">
        <v>0.13</v>
      </c>
      <c r="BR182">
        <v>1</v>
      </c>
      <c r="BS182">
        <v>0.13</v>
      </c>
      <c r="BT182">
        <f>BS182+BD182+AU182+AM182</f>
        <v>1.1299999999999999</v>
      </c>
      <c r="BU182">
        <v>1</v>
      </c>
      <c r="BV182">
        <v>2</v>
      </c>
      <c r="BW182">
        <v>293</v>
      </c>
      <c r="BX182">
        <f>BW182/7</f>
        <v>41.857142857142854</v>
      </c>
      <c r="BY182">
        <f>0.00077*BX182</f>
        <v>3.2229999999999995E-2</v>
      </c>
      <c r="BZ182">
        <f t="shared" si="2"/>
        <v>1.1622299999999999</v>
      </c>
    </row>
    <row r="183" spans="1:78">
      <c r="A183" s="1">
        <v>45170.000501782408</v>
      </c>
      <c r="C183">
        <v>182</v>
      </c>
      <c r="D183" s="10">
        <v>34719</v>
      </c>
      <c r="E183">
        <v>28</v>
      </c>
      <c r="F183">
        <v>1</v>
      </c>
      <c r="G183">
        <v>1</v>
      </c>
      <c r="H183">
        <v>2</v>
      </c>
      <c r="I183" s="10">
        <v>44747</v>
      </c>
      <c r="J183">
        <v>2</v>
      </c>
      <c r="K183">
        <v>0</v>
      </c>
      <c r="L183">
        <v>1</v>
      </c>
      <c r="M183">
        <v>2070</v>
      </c>
      <c r="N183">
        <v>1</v>
      </c>
      <c r="O183" s="10">
        <v>44495</v>
      </c>
      <c r="P183">
        <v>0</v>
      </c>
      <c r="Q183">
        <v>36</v>
      </c>
      <c r="R183">
        <v>3</v>
      </c>
      <c r="S183">
        <v>78</v>
      </c>
      <c r="T183">
        <v>165</v>
      </c>
      <c r="U183">
        <v>75</v>
      </c>
      <c r="V183">
        <v>-3</v>
      </c>
      <c r="W183">
        <v>1</v>
      </c>
      <c r="X183">
        <v>28.650137741046834</v>
      </c>
      <c r="Y183">
        <v>27.548209366391188</v>
      </c>
      <c r="Z183">
        <v>-1.1019283746556461</v>
      </c>
      <c r="AA183">
        <v>3</v>
      </c>
      <c r="AB183">
        <v>3</v>
      </c>
      <c r="AC183" t="s">
        <v>44</v>
      </c>
      <c r="AD183">
        <v>1</v>
      </c>
      <c r="AE183">
        <v>0</v>
      </c>
      <c r="AG183">
        <v>5</v>
      </c>
      <c r="AH183">
        <v>1</v>
      </c>
      <c r="AI183">
        <v>13</v>
      </c>
      <c r="AJ183">
        <v>1</v>
      </c>
      <c r="AK183">
        <v>7</v>
      </c>
      <c r="AL183">
        <v>1</v>
      </c>
      <c r="AM183">
        <f>AJ183*AK183*AL183/7</f>
        <v>1</v>
      </c>
      <c r="AN183" t="s">
        <v>79</v>
      </c>
      <c r="AO183">
        <v>0</v>
      </c>
      <c r="AV183">
        <f>AU183+AM183</f>
        <v>1</v>
      </c>
      <c r="AX183">
        <v>0</v>
      </c>
      <c r="BE183">
        <f>AM183+AU183+BD183</f>
        <v>1</v>
      </c>
      <c r="BG183">
        <v>0</v>
      </c>
      <c r="BJ183" t="s">
        <v>49</v>
      </c>
      <c r="BK183">
        <v>5</v>
      </c>
      <c r="BL183">
        <v>1</v>
      </c>
      <c r="BM183">
        <v>1</v>
      </c>
      <c r="BN183" t="s">
        <v>59</v>
      </c>
      <c r="BO183">
        <v>3</v>
      </c>
      <c r="BP183">
        <v>112</v>
      </c>
      <c r="BQ183">
        <v>0.08</v>
      </c>
      <c r="BR183">
        <v>2</v>
      </c>
      <c r="BS183">
        <v>0.16</v>
      </c>
      <c r="BT183">
        <f>BS183+BD183+AU183+AM183</f>
        <v>1.1599999999999999</v>
      </c>
      <c r="BU183">
        <v>1</v>
      </c>
      <c r="BV183">
        <v>0.5</v>
      </c>
      <c r="BW183">
        <v>73.25</v>
      </c>
      <c r="BX183">
        <f>BW183/7</f>
        <v>10.464285714285714</v>
      </c>
      <c r="BY183">
        <f>0.00077*BX183</f>
        <v>8.0574999999999987E-3</v>
      </c>
      <c r="BZ183">
        <f t="shared" si="2"/>
        <v>1.1680575</v>
      </c>
    </row>
    <row r="184" spans="1:78">
      <c r="A184" s="1">
        <v>45170.004027581017</v>
      </c>
      <c r="C184">
        <v>183</v>
      </c>
      <c r="D184" s="10">
        <v>33268</v>
      </c>
      <c r="E184">
        <v>32</v>
      </c>
      <c r="F184">
        <v>1</v>
      </c>
      <c r="G184">
        <v>9</v>
      </c>
      <c r="H184">
        <v>3</v>
      </c>
      <c r="I184" s="10">
        <v>44920</v>
      </c>
      <c r="J184">
        <v>3</v>
      </c>
      <c r="K184">
        <v>0</v>
      </c>
      <c r="L184">
        <v>1</v>
      </c>
      <c r="M184">
        <v>2200</v>
      </c>
      <c r="N184">
        <v>1</v>
      </c>
      <c r="O184" s="10">
        <v>44675</v>
      </c>
      <c r="P184">
        <v>0</v>
      </c>
      <c r="Q184">
        <v>35</v>
      </c>
      <c r="R184">
        <v>3</v>
      </c>
      <c r="S184">
        <v>83</v>
      </c>
      <c r="T184">
        <v>156</v>
      </c>
      <c r="U184">
        <v>85</v>
      </c>
      <c r="V184">
        <v>2</v>
      </c>
      <c r="W184">
        <v>1</v>
      </c>
      <c r="X184">
        <v>34.105851413543718</v>
      </c>
      <c r="Y184">
        <v>34.927679158448385</v>
      </c>
      <c r="Z184">
        <v>0.8218277449046667</v>
      </c>
      <c r="AA184">
        <v>4</v>
      </c>
      <c r="AB184">
        <v>4</v>
      </c>
      <c r="AC184" t="s">
        <v>173</v>
      </c>
      <c r="AD184">
        <v>1</v>
      </c>
      <c r="AE184">
        <v>0</v>
      </c>
      <c r="AG184">
        <v>5</v>
      </c>
      <c r="AH184">
        <v>1</v>
      </c>
      <c r="AI184">
        <v>5</v>
      </c>
      <c r="AJ184">
        <v>5</v>
      </c>
      <c r="AK184">
        <v>7</v>
      </c>
      <c r="AL184">
        <v>1</v>
      </c>
      <c r="AM184">
        <f>AJ184*AK184*AL184/7</f>
        <v>5</v>
      </c>
      <c r="AN184" t="s">
        <v>27</v>
      </c>
      <c r="AO184">
        <v>0</v>
      </c>
      <c r="AV184">
        <f>AU184+AM184</f>
        <v>5</v>
      </c>
      <c r="AX184">
        <v>0</v>
      </c>
      <c r="BE184">
        <f>AM184+AU184+BD184</f>
        <v>5</v>
      </c>
      <c r="BG184">
        <v>0</v>
      </c>
      <c r="BJ184" t="s">
        <v>28</v>
      </c>
      <c r="BK184">
        <v>3</v>
      </c>
      <c r="BL184">
        <v>1</v>
      </c>
      <c r="BM184">
        <v>1</v>
      </c>
      <c r="BN184" t="s">
        <v>55</v>
      </c>
      <c r="BO184">
        <v>2</v>
      </c>
      <c r="BP184">
        <v>134</v>
      </c>
      <c r="BQ184">
        <v>0.1</v>
      </c>
      <c r="BR184">
        <v>2</v>
      </c>
      <c r="BS184">
        <v>0.2</v>
      </c>
      <c r="BT184">
        <f>BS184+BD184+AU184+AM184</f>
        <v>5.2</v>
      </c>
      <c r="BU184">
        <v>1</v>
      </c>
      <c r="BV184">
        <v>2</v>
      </c>
      <c r="BW184">
        <v>293</v>
      </c>
      <c r="BX184">
        <f>BW184/7</f>
        <v>41.857142857142854</v>
      </c>
      <c r="BY184">
        <f>0.00077*BX184</f>
        <v>3.2229999999999995E-2</v>
      </c>
      <c r="BZ184">
        <f t="shared" si="2"/>
        <v>5.2322300000000004</v>
      </c>
    </row>
    <row r="185" spans="1:78">
      <c r="A185" s="1">
        <v>45170.004243043979</v>
      </c>
      <c r="C185">
        <v>184</v>
      </c>
      <c r="D185" s="10">
        <v>33555</v>
      </c>
      <c r="E185">
        <v>31</v>
      </c>
      <c r="F185">
        <v>1</v>
      </c>
      <c r="G185">
        <v>1</v>
      </c>
      <c r="H185">
        <v>4</v>
      </c>
      <c r="I185" s="10">
        <v>44838</v>
      </c>
      <c r="J185">
        <v>2</v>
      </c>
      <c r="K185">
        <v>0</v>
      </c>
      <c r="L185">
        <v>1</v>
      </c>
      <c r="M185">
        <v>3563</v>
      </c>
      <c r="N185">
        <v>2</v>
      </c>
      <c r="O185" s="10">
        <v>44569</v>
      </c>
      <c r="P185">
        <v>0</v>
      </c>
      <c r="Q185">
        <v>38.428571428571431</v>
      </c>
      <c r="R185">
        <v>2</v>
      </c>
      <c r="S185">
        <v>84</v>
      </c>
      <c r="T185">
        <v>161</v>
      </c>
      <c r="U185">
        <v>83</v>
      </c>
      <c r="V185">
        <v>-1</v>
      </c>
      <c r="W185">
        <v>1</v>
      </c>
      <c r="X185">
        <v>32.406157169862269</v>
      </c>
      <c r="Y185">
        <v>32.020369584506767</v>
      </c>
      <c r="Z185">
        <v>-0.38578758535550151</v>
      </c>
      <c r="AA185">
        <v>4</v>
      </c>
      <c r="AB185">
        <v>4</v>
      </c>
      <c r="AC185" t="s">
        <v>50</v>
      </c>
      <c r="AD185">
        <v>2</v>
      </c>
      <c r="AE185">
        <v>1</v>
      </c>
      <c r="AF185" t="s">
        <v>183</v>
      </c>
      <c r="AG185" t="e">
        <v>#N/A</v>
      </c>
      <c r="AH185">
        <v>0</v>
      </c>
      <c r="AI185">
        <v>0</v>
      </c>
      <c r="AN185" t="s">
        <v>41</v>
      </c>
      <c r="AO185">
        <v>0</v>
      </c>
      <c r="AW185" t="s">
        <v>58</v>
      </c>
      <c r="AX185">
        <v>1</v>
      </c>
      <c r="AY185" t="s">
        <v>58</v>
      </c>
      <c r="AZ185">
        <v>1</v>
      </c>
      <c r="BA185">
        <v>0.8</v>
      </c>
      <c r="BB185">
        <v>7</v>
      </c>
      <c r="BC185">
        <v>1</v>
      </c>
      <c r="BD185">
        <f>BA185*BB185*1/7</f>
        <v>0.8</v>
      </c>
      <c r="BE185">
        <f>AM185+AU185+BD185</f>
        <v>0.8</v>
      </c>
      <c r="BF185" t="s">
        <v>58</v>
      </c>
      <c r="BG185">
        <v>0</v>
      </c>
      <c r="BH185">
        <v>7</v>
      </c>
      <c r="BI185">
        <v>1</v>
      </c>
      <c r="BJ185" t="s">
        <v>42</v>
      </c>
      <c r="BK185">
        <v>6</v>
      </c>
      <c r="BL185">
        <v>1</v>
      </c>
      <c r="BM185">
        <v>1</v>
      </c>
      <c r="BN185" t="s">
        <v>59</v>
      </c>
      <c r="BO185">
        <v>3</v>
      </c>
      <c r="BP185">
        <v>112</v>
      </c>
      <c r="BQ185">
        <v>0.08</v>
      </c>
      <c r="BR185">
        <v>2</v>
      </c>
      <c r="BS185">
        <v>0.16</v>
      </c>
      <c r="BT185">
        <f>BS185+BD185+AU185+AM185</f>
        <v>0.96000000000000008</v>
      </c>
      <c r="BU185">
        <v>1</v>
      </c>
      <c r="BV185">
        <v>2</v>
      </c>
      <c r="BW185">
        <v>293</v>
      </c>
      <c r="BX185">
        <f>BW185/7</f>
        <v>41.857142857142854</v>
      </c>
      <c r="BY185">
        <f>0.00077*BX185</f>
        <v>3.2229999999999995E-2</v>
      </c>
      <c r="BZ185">
        <f t="shared" si="2"/>
        <v>0.99223000000000006</v>
      </c>
    </row>
    <row r="186" spans="1:78">
      <c r="A186" s="1">
        <v>45170.011521979162</v>
      </c>
      <c r="B186" s="9" t="s">
        <v>903</v>
      </c>
      <c r="C186">
        <v>185</v>
      </c>
      <c r="D186" s="10">
        <v>33880</v>
      </c>
      <c r="E186">
        <v>30</v>
      </c>
      <c r="F186">
        <v>1</v>
      </c>
      <c r="G186">
        <v>1</v>
      </c>
      <c r="H186">
        <v>4</v>
      </c>
      <c r="I186" s="10">
        <v>44398</v>
      </c>
      <c r="J186">
        <v>1</v>
      </c>
      <c r="K186">
        <v>1</v>
      </c>
      <c r="L186">
        <v>2</v>
      </c>
      <c r="M186">
        <v>3470</v>
      </c>
      <c r="N186">
        <v>2</v>
      </c>
      <c r="O186" s="10">
        <v>44125</v>
      </c>
      <c r="P186">
        <v>1</v>
      </c>
      <c r="Q186">
        <v>39</v>
      </c>
      <c r="R186">
        <v>2</v>
      </c>
      <c r="S186">
        <v>58</v>
      </c>
      <c r="T186">
        <v>152</v>
      </c>
      <c r="U186">
        <v>72.5</v>
      </c>
      <c r="V186">
        <v>14.5</v>
      </c>
      <c r="W186">
        <v>3</v>
      </c>
      <c r="X186">
        <v>25.103878116343491</v>
      </c>
      <c r="Y186">
        <v>31.379847645429361</v>
      </c>
      <c r="Z186">
        <v>6.2759695290858701</v>
      </c>
      <c r="AA186">
        <v>3</v>
      </c>
      <c r="AB186">
        <v>4</v>
      </c>
      <c r="AC186" t="s">
        <v>25</v>
      </c>
      <c r="AD186">
        <v>1</v>
      </c>
      <c r="AE186">
        <v>0</v>
      </c>
      <c r="AG186">
        <v>5</v>
      </c>
      <c r="AH186">
        <v>0</v>
      </c>
      <c r="AI186">
        <v>0</v>
      </c>
      <c r="AN186" t="s">
        <v>689</v>
      </c>
      <c r="AO186">
        <v>0</v>
      </c>
      <c r="AX186">
        <v>1</v>
      </c>
      <c r="AY186" t="s">
        <v>384</v>
      </c>
      <c r="AZ186">
        <v>14</v>
      </c>
      <c r="BA186">
        <v>0.5</v>
      </c>
      <c r="BB186">
        <v>7</v>
      </c>
      <c r="BC186">
        <v>1</v>
      </c>
      <c r="BD186">
        <f>BA186*BB186*1/7</f>
        <v>0.5</v>
      </c>
      <c r="BE186">
        <f>AM186+AU186+BD186</f>
        <v>0.5</v>
      </c>
      <c r="BF186" t="s">
        <v>384</v>
      </c>
      <c r="BG186">
        <v>0</v>
      </c>
      <c r="BH186">
        <v>7</v>
      </c>
      <c r="BI186">
        <v>1</v>
      </c>
      <c r="BJ186" t="s">
        <v>42</v>
      </c>
      <c r="BK186">
        <v>6</v>
      </c>
      <c r="BL186">
        <v>1</v>
      </c>
      <c r="BM186">
        <v>1</v>
      </c>
      <c r="BN186" t="s">
        <v>30</v>
      </c>
      <c r="BO186">
        <v>1</v>
      </c>
      <c r="BP186">
        <v>168</v>
      </c>
      <c r="BQ186">
        <v>0.13</v>
      </c>
      <c r="BR186">
        <v>2</v>
      </c>
      <c r="BS186">
        <v>0.26</v>
      </c>
      <c r="BT186">
        <f>BS186+BD186+AU186+AM186</f>
        <v>0.76</v>
      </c>
      <c r="BU186">
        <v>1</v>
      </c>
      <c r="BV186">
        <v>3</v>
      </c>
      <c r="BW186">
        <v>439.5</v>
      </c>
      <c r="BX186">
        <f>BW186/7</f>
        <v>62.785714285714285</v>
      </c>
      <c r="BY186">
        <f>0.00077*BX186</f>
        <v>4.8344999999999999E-2</v>
      </c>
      <c r="BZ186">
        <f t="shared" si="2"/>
        <v>0.80834499999999998</v>
      </c>
    </row>
    <row r="187" spans="1:78">
      <c r="A187" s="1">
        <v>45170.01210547454</v>
      </c>
      <c r="C187">
        <v>186</v>
      </c>
      <c r="D187" s="10">
        <v>36824</v>
      </c>
      <c r="E187">
        <v>22</v>
      </c>
      <c r="F187">
        <v>1</v>
      </c>
      <c r="G187">
        <v>5</v>
      </c>
      <c r="H187">
        <v>3</v>
      </c>
      <c r="I187" s="10">
        <v>44718</v>
      </c>
      <c r="J187">
        <v>1</v>
      </c>
      <c r="K187">
        <v>1</v>
      </c>
      <c r="L187">
        <v>1</v>
      </c>
      <c r="M187">
        <v>3850</v>
      </c>
      <c r="N187">
        <v>2</v>
      </c>
      <c r="O187" s="10">
        <v>44459</v>
      </c>
      <c r="P187">
        <v>1</v>
      </c>
      <c r="Q187">
        <v>37</v>
      </c>
      <c r="R187">
        <v>2</v>
      </c>
      <c r="S187">
        <v>75</v>
      </c>
      <c r="T187">
        <v>159</v>
      </c>
      <c r="U187">
        <v>82</v>
      </c>
      <c r="V187">
        <v>7</v>
      </c>
      <c r="W187">
        <v>2</v>
      </c>
      <c r="X187">
        <v>29.666548000474663</v>
      </c>
      <c r="Y187">
        <v>32.435425813852298</v>
      </c>
      <c r="Z187">
        <v>2.7688778133776353</v>
      </c>
      <c r="AA187">
        <v>3</v>
      </c>
      <c r="AB187">
        <v>4</v>
      </c>
      <c r="AC187" t="s">
        <v>123</v>
      </c>
      <c r="AD187">
        <v>2</v>
      </c>
      <c r="AE187">
        <v>0</v>
      </c>
      <c r="AG187">
        <v>5</v>
      </c>
      <c r="AH187">
        <v>1</v>
      </c>
      <c r="AI187">
        <v>19</v>
      </c>
      <c r="AJ187">
        <v>2</v>
      </c>
      <c r="AK187">
        <v>7</v>
      </c>
      <c r="AL187">
        <v>1</v>
      </c>
      <c r="AM187">
        <f>AJ187*AK187*AL187/7</f>
        <v>2</v>
      </c>
      <c r="AN187" t="s">
        <v>184</v>
      </c>
      <c r="AO187">
        <v>0</v>
      </c>
      <c r="AV187">
        <f>AU187+AM187</f>
        <v>2</v>
      </c>
      <c r="AX187">
        <v>0</v>
      </c>
      <c r="BE187">
        <f>AM187+AU187+BD187</f>
        <v>2</v>
      </c>
      <c r="BG187">
        <v>0</v>
      </c>
      <c r="BJ187" t="s">
        <v>42</v>
      </c>
      <c r="BK187">
        <v>6</v>
      </c>
      <c r="BL187">
        <v>3</v>
      </c>
      <c r="BM187">
        <v>1</v>
      </c>
      <c r="BN187" t="s">
        <v>30</v>
      </c>
      <c r="BO187">
        <v>1</v>
      </c>
      <c r="BP187">
        <v>168</v>
      </c>
      <c r="BQ187">
        <v>0.13</v>
      </c>
      <c r="BR187">
        <v>2</v>
      </c>
      <c r="BS187">
        <v>0.26</v>
      </c>
      <c r="BT187">
        <f>BS187+BD187+AU187+AM187</f>
        <v>2.2599999999999998</v>
      </c>
      <c r="BU187">
        <v>1</v>
      </c>
      <c r="BV187">
        <v>5</v>
      </c>
      <c r="BW187">
        <v>732.5</v>
      </c>
      <c r="BX187">
        <f>BW187/7</f>
        <v>104.64285714285714</v>
      </c>
      <c r="BY187">
        <f>0.00077*BX187</f>
        <v>8.0574999999999994E-2</v>
      </c>
      <c r="BZ187">
        <f t="shared" si="2"/>
        <v>2.3405749999999999</v>
      </c>
    </row>
    <row r="188" spans="1:78">
      <c r="A188" s="1">
        <v>45170.014082453708</v>
      </c>
      <c r="C188">
        <v>187</v>
      </c>
      <c r="D188" s="10">
        <v>33176</v>
      </c>
      <c r="E188">
        <v>32</v>
      </c>
      <c r="F188">
        <v>1</v>
      </c>
      <c r="G188">
        <v>10</v>
      </c>
      <c r="H188">
        <v>5</v>
      </c>
      <c r="I188" s="10">
        <v>44756</v>
      </c>
      <c r="J188">
        <v>1</v>
      </c>
      <c r="K188">
        <v>1</v>
      </c>
      <c r="L188">
        <v>1</v>
      </c>
      <c r="M188">
        <v>3115</v>
      </c>
      <c r="N188">
        <v>2</v>
      </c>
      <c r="O188" s="10">
        <v>44489</v>
      </c>
      <c r="P188">
        <v>1</v>
      </c>
      <c r="Q188">
        <v>38.142857142857146</v>
      </c>
      <c r="R188">
        <v>2</v>
      </c>
      <c r="S188">
        <v>97</v>
      </c>
      <c r="T188">
        <v>151</v>
      </c>
      <c r="U188">
        <v>105</v>
      </c>
      <c r="V188">
        <v>8</v>
      </c>
      <c r="W188">
        <v>2</v>
      </c>
      <c r="X188">
        <v>42.541993772202972</v>
      </c>
      <c r="Y188">
        <v>46.05061181527126</v>
      </c>
      <c r="Z188">
        <v>3.5086180430682887</v>
      </c>
      <c r="AA188">
        <v>4</v>
      </c>
      <c r="AB188">
        <v>4</v>
      </c>
      <c r="AC188" t="s">
        <v>33</v>
      </c>
      <c r="AD188">
        <v>3</v>
      </c>
      <c r="AE188">
        <v>0</v>
      </c>
      <c r="AG188">
        <v>5</v>
      </c>
      <c r="AH188">
        <v>1</v>
      </c>
      <c r="AI188">
        <v>13</v>
      </c>
      <c r="AJ188">
        <v>1</v>
      </c>
      <c r="AK188">
        <v>7</v>
      </c>
      <c r="AL188">
        <v>1</v>
      </c>
      <c r="AM188">
        <f>AJ188*AK188*AL188/7</f>
        <v>1</v>
      </c>
      <c r="AN188" t="s">
        <v>79</v>
      </c>
      <c r="AO188">
        <v>0</v>
      </c>
      <c r="AV188">
        <f>AU188+AM188</f>
        <v>1</v>
      </c>
      <c r="AX188">
        <v>0</v>
      </c>
      <c r="BE188">
        <f>AM188+AU188+BD188</f>
        <v>1</v>
      </c>
      <c r="BG188">
        <v>0</v>
      </c>
      <c r="BJ188" t="s">
        <v>42</v>
      </c>
      <c r="BK188">
        <v>6</v>
      </c>
      <c r="BL188">
        <v>3</v>
      </c>
      <c r="BM188">
        <v>1</v>
      </c>
      <c r="BN188" t="s">
        <v>30</v>
      </c>
      <c r="BO188">
        <v>1</v>
      </c>
      <c r="BP188">
        <v>84</v>
      </c>
      <c r="BQ188">
        <v>0.13</v>
      </c>
      <c r="BR188">
        <v>1</v>
      </c>
      <c r="BS188">
        <v>0.13</v>
      </c>
      <c r="BT188">
        <f>BS188+BD188+AU188+AM188</f>
        <v>1.1299999999999999</v>
      </c>
      <c r="BU188">
        <v>1</v>
      </c>
      <c r="BV188">
        <v>1</v>
      </c>
      <c r="BW188">
        <v>146.5</v>
      </c>
      <c r="BX188">
        <f>BW188/7</f>
        <v>20.928571428571427</v>
      </c>
      <c r="BY188">
        <f>0.00077*BX188</f>
        <v>1.6114999999999997E-2</v>
      </c>
      <c r="BZ188">
        <f t="shared" si="2"/>
        <v>1.146115</v>
      </c>
    </row>
    <row r="189" spans="1:78">
      <c r="A189" s="1">
        <v>45170.16160861111</v>
      </c>
      <c r="C189">
        <v>188</v>
      </c>
      <c r="D189" s="10">
        <v>32792</v>
      </c>
      <c r="E189">
        <v>33</v>
      </c>
      <c r="F189">
        <v>1</v>
      </c>
      <c r="G189">
        <v>1</v>
      </c>
      <c r="H189">
        <v>4</v>
      </c>
      <c r="I189" s="10">
        <v>44693</v>
      </c>
      <c r="J189">
        <v>1</v>
      </c>
      <c r="K189">
        <v>1</v>
      </c>
      <c r="L189">
        <v>1</v>
      </c>
      <c r="M189">
        <v>3115</v>
      </c>
      <c r="N189">
        <v>2</v>
      </c>
      <c r="O189" s="10">
        <v>44419</v>
      </c>
      <c r="P189">
        <v>1</v>
      </c>
      <c r="Q189">
        <v>39.142857142857146</v>
      </c>
      <c r="R189">
        <v>2</v>
      </c>
      <c r="S189">
        <v>62</v>
      </c>
      <c r="T189">
        <v>156</v>
      </c>
      <c r="U189">
        <v>62</v>
      </c>
      <c r="V189">
        <v>0</v>
      </c>
      <c r="W189">
        <v>1</v>
      </c>
      <c r="X189">
        <v>25.476660092044707</v>
      </c>
      <c r="Y189">
        <v>25.476660092044707</v>
      </c>
      <c r="Z189">
        <v>0</v>
      </c>
      <c r="AA189">
        <v>3</v>
      </c>
      <c r="AB189">
        <v>3</v>
      </c>
      <c r="AC189" t="s">
        <v>33</v>
      </c>
      <c r="AD189">
        <v>3</v>
      </c>
      <c r="AE189">
        <v>0</v>
      </c>
      <c r="AG189">
        <v>5</v>
      </c>
      <c r="AH189">
        <v>1</v>
      </c>
      <c r="AI189">
        <v>4</v>
      </c>
      <c r="AJ189">
        <v>1</v>
      </c>
      <c r="AK189">
        <v>7</v>
      </c>
      <c r="AL189">
        <v>1</v>
      </c>
      <c r="AM189">
        <f>AJ189*AK189*AL189/7</f>
        <v>1</v>
      </c>
      <c r="AN189" t="s">
        <v>43</v>
      </c>
      <c r="AO189">
        <v>0</v>
      </c>
      <c r="AV189">
        <f>AU189+AM189</f>
        <v>1</v>
      </c>
      <c r="AW189" t="s">
        <v>128</v>
      </c>
      <c r="AX189">
        <v>1</v>
      </c>
      <c r="AY189" t="s">
        <v>128</v>
      </c>
      <c r="AZ189">
        <v>4</v>
      </c>
      <c r="BA189">
        <v>0.2</v>
      </c>
      <c r="BB189">
        <v>7</v>
      </c>
      <c r="BC189">
        <v>1</v>
      </c>
      <c r="BD189">
        <f>BA189*BB189*1/7</f>
        <v>0.2</v>
      </c>
      <c r="BE189">
        <f>AM189+AU189+BD189</f>
        <v>1.2</v>
      </c>
      <c r="BF189" t="s">
        <v>128</v>
      </c>
      <c r="BG189">
        <v>0</v>
      </c>
      <c r="BH189">
        <v>7</v>
      </c>
      <c r="BI189">
        <v>1</v>
      </c>
      <c r="BJ189" t="s">
        <v>36</v>
      </c>
      <c r="BK189">
        <v>4</v>
      </c>
      <c r="BL189">
        <v>1</v>
      </c>
      <c r="BM189">
        <v>1</v>
      </c>
      <c r="BN189" t="s">
        <v>55</v>
      </c>
      <c r="BO189">
        <v>2</v>
      </c>
      <c r="BP189">
        <v>67</v>
      </c>
      <c r="BQ189">
        <v>0.1</v>
      </c>
      <c r="BR189">
        <v>1</v>
      </c>
      <c r="BS189">
        <v>0.1</v>
      </c>
      <c r="BT189">
        <f>BS189+BD189+AU189+AM189</f>
        <v>1.3</v>
      </c>
      <c r="BU189">
        <v>1</v>
      </c>
      <c r="BV189">
        <v>3</v>
      </c>
      <c r="BW189">
        <v>439.5</v>
      </c>
      <c r="BX189">
        <f>BW189/7</f>
        <v>62.785714285714285</v>
      </c>
      <c r="BY189">
        <f>0.00077*BX189</f>
        <v>4.8344999999999999E-2</v>
      </c>
      <c r="BZ189">
        <f t="shared" si="2"/>
        <v>1.3483450000000001</v>
      </c>
    </row>
    <row r="190" spans="1:78">
      <c r="A190" s="1">
        <v>45170.206469386569</v>
      </c>
      <c r="C190">
        <v>189</v>
      </c>
      <c r="D190" s="10">
        <v>35495</v>
      </c>
      <c r="E190">
        <v>26</v>
      </c>
      <c r="F190">
        <v>1</v>
      </c>
      <c r="G190">
        <v>1</v>
      </c>
      <c r="H190">
        <v>4</v>
      </c>
      <c r="I190" s="10">
        <v>44861</v>
      </c>
      <c r="J190">
        <v>1</v>
      </c>
      <c r="K190">
        <v>1</v>
      </c>
      <c r="L190">
        <v>1</v>
      </c>
      <c r="M190">
        <v>3315</v>
      </c>
      <c r="N190">
        <v>2</v>
      </c>
      <c r="O190" s="10">
        <v>44595</v>
      </c>
      <c r="P190">
        <v>0</v>
      </c>
      <c r="Q190">
        <v>38</v>
      </c>
      <c r="R190">
        <v>2</v>
      </c>
      <c r="S190">
        <v>76</v>
      </c>
      <c r="T190">
        <v>162</v>
      </c>
      <c r="U190">
        <v>110</v>
      </c>
      <c r="V190">
        <v>34</v>
      </c>
      <c r="W190">
        <v>3</v>
      </c>
      <c r="X190">
        <v>28.959000152415786</v>
      </c>
      <c r="Y190">
        <v>41.914342325864951</v>
      </c>
      <c r="Z190">
        <v>12.955342173449164</v>
      </c>
      <c r="AA190">
        <v>3</v>
      </c>
      <c r="AB190">
        <v>4</v>
      </c>
      <c r="AC190" t="s">
        <v>44</v>
      </c>
      <c r="AD190">
        <v>1</v>
      </c>
      <c r="AE190">
        <v>0</v>
      </c>
      <c r="AG190">
        <v>5</v>
      </c>
      <c r="AH190">
        <v>1</v>
      </c>
      <c r="AI190">
        <v>5</v>
      </c>
      <c r="AJ190">
        <v>5</v>
      </c>
      <c r="AK190">
        <v>7</v>
      </c>
      <c r="AL190">
        <v>1</v>
      </c>
      <c r="AM190">
        <f>AJ190*AK190*AL190/7</f>
        <v>5</v>
      </c>
      <c r="AN190" t="s">
        <v>27</v>
      </c>
      <c r="AO190">
        <v>0</v>
      </c>
      <c r="AV190">
        <f>AU190+AM190</f>
        <v>5</v>
      </c>
      <c r="AW190" t="s">
        <v>58</v>
      </c>
      <c r="AX190">
        <v>1</v>
      </c>
      <c r="AY190" t="s">
        <v>58</v>
      </c>
      <c r="AZ190">
        <v>1</v>
      </c>
      <c r="BA190">
        <v>0.8</v>
      </c>
      <c r="BB190">
        <v>7</v>
      </c>
      <c r="BC190">
        <v>1</v>
      </c>
      <c r="BD190">
        <f>BA190*BB190*1/7</f>
        <v>0.8</v>
      </c>
      <c r="BE190">
        <f>AM190+AU190+BD190</f>
        <v>5.8</v>
      </c>
      <c r="BF190" t="s">
        <v>58</v>
      </c>
      <c r="BG190">
        <v>0</v>
      </c>
      <c r="BH190">
        <v>7</v>
      </c>
      <c r="BI190">
        <v>1</v>
      </c>
      <c r="BJ190" t="s">
        <v>42</v>
      </c>
      <c r="BK190">
        <v>6</v>
      </c>
      <c r="BL190">
        <v>3</v>
      </c>
      <c r="BM190">
        <v>1</v>
      </c>
      <c r="BN190" t="s">
        <v>30</v>
      </c>
      <c r="BO190">
        <v>1</v>
      </c>
      <c r="BP190">
        <v>168</v>
      </c>
      <c r="BQ190">
        <v>0.13</v>
      </c>
      <c r="BR190">
        <v>2</v>
      </c>
      <c r="BS190">
        <v>0.26</v>
      </c>
      <c r="BT190">
        <f>BS190+BD190+AU190+AM190</f>
        <v>6.0600000000000005</v>
      </c>
      <c r="BU190">
        <v>1</v>
      </c>
      <c r="BV190">
        <v>1</v>
      </c>
      <c r="BW190">
        <v>146.5</v>
      </c>
      <c r="BX190">
        <f>BW190/7</f>
        <v>20.928571428571427</v>
      </c>
      <c r="BY190">
        <f>0.00077*BX190</f>
        <v>1.6114999999999997E-2</v>
      </c>
      <c r="BZ190">
        <f t="shared" si="2"/>
        <v>6.0761150000000006</v>
      </c>
    </row>
    <row r="191" spans="1:78">
      <c r="A191" s="1">
        <v>45170.209909270838</v>
      </c>
      <c r="C191">
        <v>190</v>
      </c>
      <c r="D191" s="10">
        <v>33640</v>
      </c>
      <c r="E191">
        <v>31</v>
      </c>
      <c r="F191">
        <v>1</v>
      </c>
      <c r="G191">
        <v>1</v>
      </c>
      <c r="H191">
        <v>4</v>
      </c>
      <c r="I191" s="10">
        <v>44746</v>
      </c>
      <c r="J191">
        <v>2</v>
      </c>
      <c r="K191">
        <v>0</v>
      </c>
      <c r="L191">
        <v>2</v>
      </c>
      <c r="M191">
        <v>2484</v>
      </c>
      <c r="N191">
        <v>1</v>
      </c>
      <c r="O191" s="10">
        <v>44480</v>
      </c>
      <c r="P191">
        <v>1</v>
      </c>
      <c r="Q191">
        <v>38</v>
      </c>
      <c r="R191">
        <v>2</v>
      </c>
      <c r="S191">
        <v>49</v>
      </c>
      <c r="T191">
        <v>148</v>
      </c>
      <c r="U191">
        <v>65</v>
      </c>
      <c r="V191">
        <v>16</v>
      </c>
      <c r="W191">
        <v>2</v>
      </c>
      <c r="X191">
        <v>22.370343316289262</v>
      </c>
      <c r="Y191">
        <v>29.674945215485756</v>
      </c>
      <c r="Z191">
        <v>7.3046018991964949</v>
      </c>
      <c r="AA191">
        <v>2</v>
      </c>
      <c r="AB191">
        <v>3</v>
      </c>
      <c r="AC191" t="s">
        <v>33</v>
      </c>
      <c r="AD191">
        <v>3</v>
      </c>
      <c r="AE191">
        <v>0</v>
      </c>
      <c r="AG191">
        <v>5</v>
      </c>
      <c r="AH191">
        <v>1</v>
      </c>
      <c r="AI191">
        <v>1</v>
      </c>
      <c r="AJ191">
        <v>1</v>
      </c>
      <c r="AK191">
        <v>7</v>
      </c>
      <c r="AL191">
        <v>1</v>
      </c>
      <c r="AM191">
        <f>AJ191*AK191*AL191/7</f>
        <v>1</v>
      </c>
      <c r="AN191" t="s">
        <v>56</v>
      </c>
      <c r="AO191">
        <v>0</v>
      </c>
      <c r="AV191">
        <f>AU191+AM191</f>
        <v>1</v>
      </c>
      <c r="AW191" t="s">
        <v>186</v>
      </c>
      <c r="AX191">
        <v>1</v>
      </c>
      <c r="AY191" t="s">
        <v>186</v>
      </c>
      <c r="AZ191">
        <v>5</v>
      </c>
      <c r="BA191">
        <v>0.4</v>
      </c>
      <c r="BB191">
        <v>7</v>
      </c>
      <c r="BC191">
        <v>1</v>
      </c>
      <c r="BD191">
        <f>BA191*BB191*1/7</f>
        <v>0.4</v>
      </c>
      <c r="BE191">
        <f>AM191+AU191+BD191</f>
        <v>1.4</v>
      </c>
      <c r="BF191" t="s">
        <v>186</v>
      </c>
      <c r="BG191">
        <v>0</v>
      </c>
      <c r="BH191">
        <v>7</v>
      </c>
      <c r="BI191">
        <v>1</v>
      </c>
      <c r="BJ191" t="s">
        <v>49</v>
      </c>
      <c r="BK191">
        <v>5</v>
      </c>
      <c r="BL191">
        <v>1</v>
      </c>
      <c r="BM191">
        <v>1</v>
      </c>
      <c r="BN191" t="s">
        <v>30</v>
      </c>
      <c r="BO191">
        <v>1</v>
      </c>
      <c r="BP191">
        <v>84</v>
      </c>
      <c r="BQ191">
        <v>0.13</v>
      </c>
      <c r="BR191">
        <v>1</v>
      </c>
      <c r="BS191">
        <v>0.13</v>
      </c>
      <c r="BT191">
        <f>BS191+BD191+AU191+AM191</f>
        <v>1.53</v>
      </c>
      <c r="BU191">
        <v>1</v>
      </c>
      <c r="BV191">
        <v>2</v>
      </c>
      <c r="BW191">
        <v>293</v>
      </c>
      <c r="BX191">
        <f>BW191/7</f>
        <v>41.857142857142854</v>
      </c>
      <c r="BY191">
        <f>0.00077*BX191</f>
        <v>3.2229999999999995E-2</v>
      </c>
      <c r="BZ191">
        <f t="shared" si="2"/>
        <v>1.56223</v>
      </c>
    </row>
    <row r="192" spans="1:78">
      <c r="A192" s="1">
        <v>45170.231449953702</v>
      </c>
      <c r="C192">
        <v>191</v>
      </c>
      <c r="D192" s="10">
        <v>34681</v>
      </c>
      <c r="E192">
        <v>28</v>
      </c>
      <c r="F192">
        <v>1</v>
      </c>
      <c r="G192">
        <v>9</v>
      </c>
      <c r="H192">
        <v>4</v>
      </c>
      <c r="I192" s="10">
        <v>44449</v>
      </c>
      <c r="J192">
        <v>1</v>
      </c>
      <c r="K192">
        <v>1</v>
      </c>
      <c r="L192">
        <v>1</v>
      </c>
      <c r="M192">
        <v>3160</v>
      </c>
      <c r="N192">
        <v>2</v>
      </c>
      <c r="O192" s="10">
        <v>44190</v>
      </c>
      <c r="P192">
        <v>1</v>
      </c>
      <c r="Q192">
        <v>37</v>
      </c>
      <c r="R192">
        <v>2</v>
      </c>
      <c r="S192">
        <v>92</v>
      </c>
      <c r="T192">
        <v>163</v>
      </c>
      <c r="U192">
        <v>118</v>
      </c>
      <c r="V192">
        <v>26</v>
      </c>
      <c r="W192">
        <v>3</v>
      </c>
      <c r="X192">
        <v>34.626820730927022</v>
      </c>
      <c r="Y192">
        <v>44.412661372275963</v>
      </c>
      <c r="Z192">
        <v>9.7858406413489405</v>
      </c>
      <c r="AA192">
        <v>4</v>
      </c>
      <c r="AB192">
        <v>4</v>
      </c>
      <c r="AC192" t="s">
        <v>25</v>
      </c>
      <c r="AD192">
        <v>1</v>
      </c>
      <c r="AE192">
        <v>0</v>
      </c>
      <c r="AG192">
        <v>5</v>
      </c>
      <c r="AH192">
        <v>0</v>
      </c>
      <c r="AI192">
        <v>0</v>
      </c>
      <c r="AN192" t="s">
        <v>121</v>
      </c>
      <c r="AO192">
        <v>0</v>
      </c>
      <c r="AX192">
        <v>0</v>
      </c>
      <c r="BG192">
        <v>0</v>
      </c>
      <c r="BJ192" t="s">
        <v>51</v>
      </c>
      <c r="BK192">
        <v>1</v>
      </c>
      <c r="BL192">
        <v>1</v>
      </c>
      <c r="BM192">
        <v>1</v>
      </c>
      <c r="BN192" t="s">
        <v>55</v>
      </c>
      <c r="BO192">
        <v>2</v>
      </c>
      <c r="BP192">
        <v>134</v>
      </c>
      <c r="BQ192">
        <v>0.1</v>
      </c>
      <c r="BR192">
        <v>2</v>
      </c>
      <c r="BS192">
        <v>0.2</v>
      </c>
      <c r="BT192">
        <f>BS192+BD192+AU192+AM192</f>
        <v>0.2</v>
      </c>
      <c r="BU192">
        <v>1</v>
      </c>
      <c r="BV192">
        <v>3</v>
      </c>
      <c r="BW192">
        <v>439.5</v>
      </c>
      <c r="BX192">
        <f>BW192/7</f>
        <v>62.785714285714285</v>
      </c>
      <c r="BY192">
        <f>0.00077*BX192</f>
        <v>4.8344999999999999E-2</v>
      </c>
      <c r="BZ192">
        <f t="shared" si="2"/>
        <v>0.24834500000000001</v>
      </c>
    </row>
    <row r="193" spans="1:78">
      <c r="A193" s="1">
        <v>45170.272265081017</v>
      </c>
      <c r="C193">
        <v>192</v>
      </c>
      <c r="D193" s="10">
        <v>32412</v>
      </c>
      <c r="E193">
        <v>34</v>
      </c>
      <c r="F193">
        <v>1</v>
      </c>
      <c r="G193">
        <v>1</v>
      </c>
      <c r="H193">
        <v>4</v>
      </c>
      <c r="I193" s="10">
        <v>43231</v>
      </c>
      <c r="J193">
        <v>1</v>
      </c>
      <c r="K193">
        <v>1</v>
      </c>
      <c r="L193">
        <v>1</v>
      </c>
      <c r="M193">
        <v>2950</v>
      </c>
      <c r="N193">
        <v>2</v>
      </c>
      <c r="O193" s="10">
        <v>42958</v>
      </c>
      <c r="P193">
        <v>0</v>
      </c>
      <c r="Q193">
        <v>39</v>
      </c>
      <c r="R193">
        <v>2</v>
      </c>
      <c r="S193">
        <v>57</v>
      </c>
      <c r="T193">
        <v>150</v>
      </c>
      <c r="U193">
        <v>63</v>
      </c>
      <c r="V193">
        <v>6</v>
      </c>
      <c r="W193">
        <v>1</v>
      </c>
      <c r="X193">
        <v>25.333333333333332</v>
      </c>
      <c r="Y193">
        <v>28</v>
      </c>
      <c r="Z193">
        <v>2.6666666666666679</v>
      </c>
      <c r="AA193">
        <v>3</v>
      </c>
      <c r="AB193">
        <v>3</v>
      </c>
      <c r="AC193" t="s">
        <v>33</v>
      </c>
      <c r="AD193">
        <v>3</v>
      </c>
      <c r="AE193">
        <v>0</v>
      </c>
      <c r="AG193">
        <v>5</v>
      </c>
      <c r="AH193">
        <v>1</v>
      </c>
      <c r="AI193">
        <v>1</v>
      </c>
      <c r="AJ193">
        <v>1</v>
      </c>
      <c r="AK193">
        <v>7</v>
      </c>
      <c r="AL193">
        <v>1</v>
      </c>
      <c r="AM193">
        <f>AJ193*AK193*AL193/7</f>
        <v>1</v>
      </c>
      <c r="AN193" t="s">
        <v>56</v>
      </c>
      <c r="AO193">
        <v>0</v>
      </c>
      <c r="AV193">
        <f>AU193+AM193</f>
        <v>1</v>
      </c>
      <c r="AW193" t="s">
        <v>128</v>
      </c>
      <c r="AX193">
        <v>1</v>
      </c>
      <c r="AY193" t="s">
        <v>128</v>
      </c>
      <c r="AZ193">
        <v>4</v>
      </c>
      <c r="BA193">
        <v>0.2</v>
      </c>
      <c r="BB193">
        <v>7</v>
      </c>
      <c r="BC193">
        <v>1</v>
      </c>
      <c r="BD193">
        <f>BA193*BB193*1/7</f>
        <v>0.2</v>
      </c>
      <c r="BE193">
        <f>AM193+AU193+BD193</f>
        <v>1.2</v>
      </c>
      <c r="BF193" t="s">
        <v>128</v>
      </c>
      <c r="BG193">
        <v>0</v>
      </c>
      <c r="BH193">
        <v>7</v>
      </c>
      <c r="BI193">
        <v>1</v>
      </c>
      <c r="BJ193" t="s">
        <v>42</v>
      </c>
      <c r="BK193">
        <v>6</v>
      </c>
      <c r="BL193">
        <v>1</v>
      </c>
      <c r="BM193">
        <v>1</v>
      </c>
      <c r="BN193" t="s">
        <v>30</v>
      </c>
      <c r="BO193">
        <v>1</v>
      </c>
      <c r="BP193">
        <v>84</v>
      </c>
      <c r="BQ193">
        <v>0.13</v>
      </c>
      <c r="BR193">
        <v>1</v>
      </c>
      <c r="BS193">
        <v>0.13</v>
      </c>
      <c r="BT193">
        <f>BS193+BD193+AU193+AM193</f>
        <v>1.33</v>
      </c>
      <c r="BU193">
        <v>1</v>
      </c>
      <c r="BV193">
        <v>2</v>
      </c>
      <c r="BW193">
        <v>293</v>
      </c>
      <c r="BX193">
        <f>BW193/7</f>
        <v>41.857142857142854</v>
      </c>
      <c r="BY193">
        <f>0.00077*BX193</f>
        <v>3.2229999999999995E-2</v>
      </c>
      <c r="BZ193">
        <f t="shared" si="2"/>
        <v>1.3622300000000001</v>
      </c>
    </row>
    <row r="194" spans="1:78">
      <c r="A194" s="1">
        <v>45170.273563124996</v>
      </c>
      <c r="C194">
        <v>193</v>
      </c>
      <c r="D194" s="10">
        <v>32033</v>
      </c>
      <c r="E194">
        <v>35</v>
      </c>
      <c r="F194">
        <v>1</v>
      </c>
      <c r="G194">
        <v>9</v>
      </c>
      <c r="H194">
        <v>4</v>
      </c>
      <c r="I194" s="10">
        <v>44780</v>
      </c>
      <c r="J194">
        <v>2</v>
      </c>
      <c r="K194">
        <v>0</v>
      </c>
      <c r="L194">
        <v>1</v>
      </c>
      <c r="M194">
        <v>3420</v>
      </c>
      <c r="N194">
        <v>2</v>
      </c>
      <c r="O194" s="10">
        <v>44525</v>
      </c>
      <c r="P194">
        <v>0</v>
      </c>
      <c r="Q194">
        <v>36.428571428571431</v>
      </c>
      <c r="R194">
        <v>3</v>
      </c>
      <c r="S194">
        <v>81</v>
      </c>
      <c r="T194">
        <v>166</v>
      </c>
      <c r="U194">
        <v>92</v>
      </c>
      <c r="V194">
        <v>11</v>
      </c>
      <c r="W194">
        <v>2</v>
      </c>
      <c r="X194">
        <v>29.3946871824648</v>
      </c>
      <c r="Y194">
        <v>33.386558281318045</v>
      </c>
      <c r="Z194">
        <v>3.9918710988532453</v>
      </c>
      <c r="AA194">
        <v>3</v>
      </c>
      <c r="AB194">
        <v>4</v>
      </c>
      <c r="AC194" t="s">
        <v>44</v>
      </c>
      <c r="AD194">
        <v>1</v>
      </c>
      <c r="AE194">
        <v>0</v>
      </c>
      <c r="AG194">
        <v>5</v>
      </c>
      <c r="AH194">
        <v>1</v>
      </c>
      <c r="AI194">
        <v>13</v>
      </c>
      <c r="AJ194">
        <v>1</v>
      </c>
      <c r="AK194">
        <v>7</v>
      </c>
      <c r="AL194">
        <v>1</v>
      </c>
      <c r="AM194">
        <f>AJ194*AK194*AL194/7</f>
        <v>1</v>
      </c>
      <c r="AN194" t="s">
        <v>79</v>
      </c>
      <c r="AO194">
        <v>0</v>
      </c>
      <c r="AV194">
        <f>AU194+AM194</f>
        <v>1</v>
      </c>
      <c r="AX194">
        <v>0</v>
      </c>
      <c r="BE194">
        <f>AM194+AU194+BD194</f>
        <v>1</v>
      </c>
      <c r="BG194">
        <v>0</v>
      </c>
      <c r="BJ194" t="s">
        <v>49</v>
      </c>
      <c r="BK194">
        <v>5</v>
      </c>
      <c r="BL194">
        <v>1</v>
      </c>
      <c r="BM194">
        <v>1</v>
      </c>
      <c r="BN194" t="s">
        <v>30</v>
      </c>
      <c r="BO194">
        <v>1</v>
      </c>
      <c r="BP194">
        <v>168</v>
      </c>
      <c r="BQ194">
        <v>0.13</v>
      </c>
      <c r="BR194">
        <v>2</v>
      </c>
      <c r="BS194">
        <v>0.26</v>
      </c>
      <c r="BT194">
        <f>BS194+BD194+AU194+AM194</f>
        <v>1.26</v>
      </c>
      <c r="BU194">
        <v>1</v>
      </c>
      <c r="BV194">
        <v>1</v>
      </c>
      <c r="BW194">
        <v>146.5</v>
      </c>
      <c r="BX194">
        <f>BW194/7</f>
        <v>20.928571428571427</v>
      </c>
      <c r="BY194">
        <f>0.00077*BX194</f>
        <v>1.6114999999999997E-2</v>
      </c>
      <c r="BZ194">
        <f t="shared" si="2"/>
        <v>1.2761150000000001</v>
      </c>
    </row>
    <row r="195" spans="1:78">
      <c r="A195" s="1">
        <v>45170.329321458332</v>
      </c>
      <c r="C195">
        <v>194</v>
      </c>
      <c r="D195" s="10">
        <v>35978</v>
      </c>
      <c r="E195">
        <v>25</v>
      </c>
      <c r="F195">
        <v>2</v>
      </c>
      <c r="G195">
        <v>10</v>
      </c>
      <c r="H195">
        <v>1</v>
      </c>
      <c r="I195" s="10">
        <v>44724</v>
      </c>
      <c r="J195">
        <v>3</v>
      </c>
      <c r="K195">
        <v>0</v>
      </c>
      <c r="L195">
        <v>2</v>
      </c>
      <c r="M195">
        <v>3640</v>
      </c>
      <c r="N195">
        <v>2</v>
      </c>
      <c r="O195" s="10">
        <v>44456</v>
      </c>
      <c r="P195">
        <v>1</v>
      </c>
      <c r="Q195">
        <v>38.285714285714285</v>
      </c>
      <c r="R195">
        <v>2</v>
      </c>
      <c r="S195">
        <v>65</v>
      </c>
      <c r="T195">
        <v>165</v>
      </c>
      <c r="U195">
        <v>72</v>
      </c>
      <c r="V195">
        <v>7</v>
      </c>
      <c r="W195">
        <v>1</v>
      </c>
      <c r="X195">
        <v>23.875114784205696</v>
      </c>
      <c r="Y195">
        <v>26.446280991735541</v>
      </c>
      <c r="Z195">
        <v>2.5711662075298456</v>
      </c>
      <c r="AA195">
        <v>2</v>
      </c>
      <c r="AB195">
        <v>3</v>
      </c>
      <c r="AC195" t="s">
        <v>33</v>
      </c>
      <c r="AD195">
        <v>3</v>
      </c>
      <c r="AE195">
        <v>0</v>
      </c>
      <c r="AG195">
        <v>5</v>
      </c>
      <c r="AH195">
        <v>1</v>
      </c>
      <c r="AI195">
        <v>13</v>
      </c>
      <c r="AJ195">
        <v>1</v>
      </c>
      <c r="AK195">
        <v>7</v>
      </c>
      <c r="AL195">
        <v>1</v>
      </c>
      <c r="AM195">
        <f>AJ195*AK195*AL195/7</f>
        <v>1</v>
      </c>
      <c r="AN195" t="s">
        <v>79</v>
      </c>
      <c r="AO195">
        <v>0</v>
      </c>
      <c r="AV195">
        <f>AU195+AM195</f>
        <v>1</v>
      </c>
      <c r="AW195" t="s">
        <v>188</v>
      </c>
      <c r="AX195">
        <v>1</v>
      </c>
      <c r="AY195" t="s">
        <v>188</v>
      </c>
      <c r="AZ195">
        <v>7</v>
      </c>
      <c r="BA195">
        <v>0.4</v>
      </c>
      <c r="BB195">
        <v>7</v>
      </c>
      <c r="BC195">
        <v>1</v>
      </c>
      <c r="BD195">
        <f>BA195*BB195*1/7</f>
        <v>0.4</v>
      </c>
      <c r="BE195">
        <f>AM195+AU195+BD195</f>
        <v>1.4</v>
      </c>
      <c r="BF195" t="s">
        <v>188</v>
      </c>
      <c r="BG195">
        <v>0</v>
      </c>
      <c r="BH195">
        <v>7</v>
      </c>
      <c r="BI195">
        <v>1</v>
      </c>
      <c r="BJ195" t="s">
        <v>42</v>
      </c>
      <c r="BK195">
        <v>6</v>
      </c>
      <c r="BL195">
        <v>3</v>
      </c>
      <c r="BM195">
        <v>1</v>
      </c>
      <c r="BN195" t="s">
        <v>37</v>
      </c>
      <c r="BO195">
        <v>4</v>
      </c>
      <c r="BP195">
        <v>110</v>
      </c>
      <c r="BQ195">
        <v>0.05</v>
      </c>
      <c r="BR195">
        <v>2</v>
      </c>
      <c r="BS195">
        <v>0.1</v>
      </c>
      <c r="BT195">
        <f>BS195+BD195+AU195+AM195</f>
        <v>1.5</v>
      </c>
      <c r="BU195">
        <v>1</v>
      </c>
      <c r="BV195">
        <v>0.5</v>
      </c>
      <c r="BW195">
        <v>73.25</v>
      </c>
      <c r="BX195">
        <f>BW195/7</f>
        <v>10.464285714285714</v>
      </c>
      <c r="BY195">
        <f>0.00077*BX195</f>
        <v>8.0574999999999987E-3</v>
      </c>
      <c r="BZ195">
        <f t="shared" si="2"/>
        <v>1.5080575000000001</v>
      </c>
    </row>
    <row r="196" spans="1:78">
      <c r="A196" s="1">
        <v>45170.349282141207</v>
      </c>
      <c r="C196">
        <v>195</v>
      </c>
      <c r="D196" s="10">
        <v>33490</v>
      </c>
      <c r="E196">
        <v>32</v>
      </c>
      <c r="F196">
        <v>1</v>
      </c>
      <c r="G196">
        <v>8</v>
      </c>
      <c r="H196">
        <v>4</v>
      </c>
      <c r="I196" s="10">
        <v>44779</v>
      </c>
      <c r="J196">
        <v>1</v>
      </c>
      <c r="K196">
        <v>1</v>
      </c>
      <c r="L196">
        <v>1</v>
      </c>
      <c r="M196">
        <v>3240</v>
      </c>
      <c r="N196">
        <v>2</v>
      </c>
      <c r="O196" s="10">
        <v>44505</v>
      </c>
      <c r="P196">
        <v>0</v>
      </c>
      <c r="Q196">
        <v>39.142857142857146</v>
      </c>
      <c r="R196">
        <v>2</v>
      </c>
      <c r="S196">
        <v>64</v>
      </c>
      <c r="T196">
        <v>158</v>
      </c>
      <c r="U196">
        <v>74</v>
      </c>
      <c r="V196">
        <v>10</v>
      </c>
      <c r="W196">
        <v>2</v>
      </c>
      <c r="X196">
        <v>25.63691716071142</v>
      </c>
      <c r="Y196">
        <v>29.642685467072578</v>
      </c>
      <c r="Z196">
        <v>4.0057683063611584</v>
      </c>
      <c r="AA196">
        <v>3</v>
      </c>
      <c r="AB196">
        <v>3</v>
      </c>
      <c r="AC196" t="s">
        <v>33</v>
      </c>
      <c r="AD196">
        <v>3</v>
      </c>
      <c r="AE196">
        <v>0</v>
      </c>
      <c r="AG196">
        <v>5</v>
      </c>
      <c r="AH196">
        <v>1</v>
      </c>
      <c r="AI196">
        <v>5</v>
      </c>
      <c r="AJ196">
        <v>5</v>
      </c>
      <c r="AK196">
        <v>7</v>
      </c>
      <c r="AL196">
        <v>1</v>
      </c>
      <c r="AM196">
        <f>AJ196*AK196*AL196/7</f>
        <v>5</v>
      </c>
      <c r="AN196" t="s">
        <v>27</v>
      </c>
      <c r="AO196">
        <v>0</v>
      </c>
      <c r="AV196">
        <f>AU196+AM196</f>
        <v>5</v>
      </c>
      <c r="AW196" t="s">
        <v>35</v>
      </c>
      <c r="AX196">
        <v>1</v>
      </c>
      <c r="AY196" t="s">
        <v>35</v>
      </c>
      <c r="AZ196">
        <v>12</v>
      </c>
      <c r="BA196">
        <v>0.4</v>
      </c>
      <c r="BB196">
        <v>7</v>
      </c>
      <c r="BC196">
        <v>1</v>
      </c>
      <c r="BD196">
        <f>BA196*BB196*1/7</f>
        <v>0.4</v>
      </c>
      <c r="BE196">
        <f>AM196+AU196+BD196</f>
        <v>5.4</v>
      </c>
      <c r="BF196" t="s">
        <v>35</v>
      </c>
      <c r="BG196">
        <v>0</v>
      </c>
      <c r="BH196">
        <v>7</v>
      </c>
      <c r="BI196">
        <v>1</v>
      </c>
      <c r="BJ196" t="s">
        <v>28</v>
      </c>
      <c r="BK196">
        <v>3</v>
      </c>
      <c r="BL196">
        <v>3</v>
      </c>
      <c r="BM196">
        <v>1</v>
      </c>
      <c r="BN196" t="s">
        <v>30</v>
      </c>
      <c r="BO196">
        <v>1</v>
      </c>
      <c r="BP196">
        <v>168</v>
      </c>
      <c r="BQ196">
        <v>0.13</v>
      </c>
      <c r="BR196">
        <v>2</v>
      </c>
      <c r="BS196">
        <v>0.26</v>
      </c>
      <c r="BT196">
        <f>BS196+BD196+AU196+AM196</f>
        <v>5.66</v>
      </c>
      <c r="BU196">
        <v>1</v>
      </c>
      <c r="BV196">
        <v>4</v>
      </c>
      <c r="BW196">
        <v>586</v>
      </c>
      <c r="BX196">
        <f>BW196/7</f>
        <v>83.714285714285708</v>
      </c>
      <c r="BY196">
        <f>0.00077*BX196</f>
        <v>6.445999999999999E-2</v>
      </c>
      <c r="BZ196">
        <f t="shared" ref="BZ196:BZ259" si="3">BS196+BD196+AU196+AM196+BY196</f>
        <v>5.7244600000000005</v>
      </c>
    </row>
    <row r="197" spans="1:78">
      <c r="A197" s="1">
        <v>45170.363506689813</v>
      </c>
      <c r="C197">
        <v>196</v>
      </c>
      <c r="D197" s="10">
        <v>32437</v>
      </c>
      <c r="E197">
        <v>34</v>
      </c>
      <c r="F197">
        <v>1</v>
      </c>
      <c r="G197">
        <v>9</v>
      </c>
      <c r="H197">
        <v>5</v>
      </c>
      <c r="I197" s="10">
        <v>45028</v>
      </c>
      <c r="J197">
        <v>2</v>
      </c>
      <c r="K197">
        <v>0</v>
      </c>
      <c r="L197">
        <v>2</v>
      </c>
      <c r="M197">
        <v>3490</v>
      </c>
      <c r="N197">
        <v>2</v>
      </c>
      <c r="O197" s="10">
        <v>44753</v>
      </c>
      <c r="P197">
        <v>0</v>
      </c>
      <c r="Q197">
        <v>39.285714285714285</v>
      </c>
      <c r="R197">
        <v>2</v>
      </c>
      <c r="S197">
        <v>63</v>
      </c>
      <c r="T197">
        <v>157</v>
      </c>
      <c r="U197">
        <v>79</v>
      </c>
      <c r="V197">
        <v>16</v>
      </c>
      <c r="W197">
        <v>3</v>
      </c>
      <c r="X197">
        <v>25.558846200657225</v>
      </c>
      <c r="Y197">
        <v>32.049981743681286</v>
      </c>
      <c r="Z197">
        <v>6.4911355430240611</v>
      </c>
      <c r="AA197">
        <v>3</v>
      </c>
      <c r="AB197">
        <v>4</v>
      </c>
      <c r="AC197" t="s">
        <v>191</v>
      </c>
      <c r="AD197">
        <v>2</v>
      </c>
      <c r="AE197">
        <v>0</v>
      </c>
      <c r="AG197">
        <v>5</v>
      </c>
      <c r="AH197">
        <v>1</v>
      </c>
      <c r="AI197">
        <v>4</v>
      </c>
      <c r="AJ197">
        <v>1</v>
      </c>
      <c r="AK197">
        <v>7</v>
      </c>
      <c r="AL197">
        <v>1</v>
      </c>
      <c r="AM197">
        <f>AJ197*AK197*AL197/7</f>
        <v>1</v>
      </c>
      <c r="AN197" t="s">
        <v>43</v>
      </c>
      <c r="AO197">
        <v>1</v>
      </c>
      <c r="AP197">
        <v>24</v>
      </c>
      <c r="AQ197" t="s">
        <v>192</v>
      </c>
      <c r="AR197">
        <v>0.5</v>
      </c>
      <c r="AS197">
        <v>1</v>
      </c>
      <c r="AT197">
        <v>1</v>
      </c>
      <c r="AU197">
        <f>AR197*AS197*AT197/7</f>
        <v>7.1428571428571425E-2</v>
      </c>
      <c r="AV197">
        <f>AU197+AM197</f>
        <v>1.0714285714285714</v>
      </c>
      <c r="AW197" t="s">
        <v>192</v>
      </c>
      <c r="AX197">
        <v>0</v>
      </c>
      <c r="BE197">
        <f>AM197+AU197+BD197</f>
        <v>1.0714285714285714</v>
      </c>
      <c r="BG197">
        <v>0</v>
      </c>
      <c r="BJ197" t="s">
        <v>28</v>
      </c>
      <c r="BK197">
        <v>3</v>
      </c>
      <c r="BL197">
        <v>3</v>
      </c>
      <c r="BM197">
        <v>1</v>
      </c>
      <c r="BN197" t="s">
        <v>30</v>
      </c>
      <c r="BO197">
        <v>1</v>
      </c>
      <c r="BP197">
        <v>84</v>
      </c>
      <c r="BQ197">
        <v>0.13</v>
      </c>
      <c r="BR197">
        <v>1</v>
      </c>
      <c r="BS197">
        <v>0.13</v>
      </c>
      <c r="BT197">
        <f>BS197+BD197+AU197+AM197</f>
        <v>1.2014285714285715</v>
      </c>
      <c r="BU197">
        <v>1</v>
      </c>
      <c r="BV197">
        <v>3</v>
      </c>
      <c r="BW197">
        <v>439.5</v>
      </c>
      <c r="BX197">
        <f>BW197/7</f>
        <v>62.785714285714285</v>
      </c>
      <c r="BY197">
        <f>0.00077*BX197</f>
        <v>4.8344999999999999E-2</v>
      </c>
      <c r="BZ197">
        <f t="shared" si="3"/>
        <v>1.2497735714285716</v>
      </c>
    </row>
    <row r="198" spans="1:78">
      <c r="A198" s="1">
        <v>45170.376103668983</v>
      </c>
      <c r="C198">
        <v>197</v>
      </c>
      <c r="D198" s="10">
        <v>31301</v>
      </c>
      <c r="E198">
        <v>37</v>
      </c>
      <c r="F198">
        <v>1</v>
      </c>
      <c r="G198">
        <v>14</v>
      </c>
      <c r="H198">
        <v>5</v>
      </c>
      <c r="I198" s="10">
        <v>44924</v>
      </c>
      <c r="J198">
        <v>2</v>
      </c>
      <c r="K198">
        <v>0</v>
      </c>
      <c r="L198">
        <v>1</v>
      </c>
      <c r="M198">
        <v>3235</v>
      </c>
      <c r="N198">
        <v>2</v>
      </c>
      <c r="O198" s="10">
        <v>44658</v>
      </c>
      <c r="P198">
        <v>0</v>
      </c>
      <c r="Q198">
        <v>38</v>
      </c>
      <c r="R198">
        <v>2</v>
      </c>
      <c r="S198">
        <v>63</v>
      </c>
      <c r="T198">
        <v>170</v>
      </c>
      <c r="U198">
        <v>75</v>
      </c>
      <c r="V198">
        <v>12</v>
      </c>
      <c r="W198">
        <v>2</v>
      </c>
      <c r="X198">
        <v>21.79930795847751</v>
      </c>
      <c r="Y198">
        <v>25.95155709342561</v>
      </c>
      <c r="Z198">
        <v>4.1522491349481001</v>
      </c>
      <c r="AA198">
        <v>2</v>
      </c>
      <c r="AB198">
        <v>3</v>
      </c>
      <c r="AC198" t="s">
        <v>33</v>
      </c>
      <c r="AD198">
        <v>3</v>
      </c>
      <c r="AE198">
        <v>0</v>
      </c>
      <c r="AG198">
        <v>5</v>
      </c>
      <c r="AH198">
        <v>1</v>
      </c>
      <c r="AI198">
        <v>5</v>
      </c>
      <c r="AJ198">
        <v>5</v>
      </c>
      <c r="AK198">
        <v>7</v>
      </c>
      <c r="AL198">
        <v>1</v>
      </c>
      <c r="AM198">
        <f>AJ198*AK198*AL198/7</f>
        <v>5</v>
      </c>
      <c r="AN198" t="s">
        <v>27</v>
      </c>
      <c r="AO198">
        <v>0</v>
      </c>
      <c r="AV198">
        <f>AU198+AM198</f>
        <v>5</v>
      </c>
      <c r="AW198" t="s">
        <v>35</v>
      </c>
      <c r="AX198">
        <v>1</v>
      </c>
      <c r="AY198" t="s">
        <v>35</v>
      </c>
      <c r="AZ198">
        <v>12</v>
      </c>
      <c r="BA198">
        <v>0.4</v>
      </c>
      <c r="BB198">
        <v>7</v>
      </c>
      <c r="BC198">
        <v>1</v>
      </c>
      <c r="BD198">
        <f>BA198*BB198*1/7</f>
        <v>0.4</v>
      </c>
      <c r="BE198">
        <f>AM198+AU198+BD198</f>
        <v>5.4</v>
      </c>
      <c r="BF198" t="s">
        <v>35</v>
      </c>
      <c r="BG198">
        <v>0</v>
      </c>
      <c r="BH198">
        <v>7</v>
      </c>
      <c r="BI198">
        <v>1</v>
      </c>
      <c r="BJ198" t="s">
        <v>28</v>
      </c>
      <c r="BK198">
        <v>3</v>
      </c>
      <c r="BL198">
        <v>1</v>
      </c>
      <c r="BM198">
        <v>1</v>
      </c>
      <c r="BN198" t="s">
        <v>194</v>
      </c>
      <c r="BO198">
        <v>4</v>
      </c>
      <c r="BP198">
        <v>90</v>
      </c>
      <c r="BQ198">
        <v>0.05</v>
      </c>
      <c r="BR198">
        <v>2</v>
      </c>
      <c r="BS198">
        <v>0.1</v>
      </c>
      <c r="BT198">
        <f>BS198+BD198+AU198+AM198</f>
        <v>5.5</v>
      </c>
      <c r="BU198">
        <v>1</v>
      </c>
      <c r="BV198">
        <v>2</v>
      </c>
      <c r="BW198">
        <v>293</v>
      </c>
      <c r="BX198">
        <f>BW198/7</f>
        <v>41.857142857142854</v>
      </c>
      <c r="BY198">
        <f>0.00077*BX198</f>
        <v>3.2229999999999995E-2</v>
      </c>
      <c r="BZ198">
        <f t="shared" si="3"/>
        <v>5.5322300000000002</v>
      </c>
    </row>
    <row r="199" spans="1:78">
      <c r="A199" s="1">
        <v>45170.377180740739</v>
      </c>
      <c r="C199">
        <v>198</v>
      </c>
      <c r="D199" s="10">
        <v>36998</v>
      </c>
      <c r="E199">
        <v>22</v>
      </c>
      <c r="F199">
        <v>1</v>
      </c>
      <c r="G199">
        <v>1</v>
      </c>
      <c r="H199">
        <v>4</v>
      </c>
      <c r="I199" s="10">
        <v>45009</v>
      </c>
      <c r="J199">
        <v>1</v>
      </c>
      <c r="K199">
        <v>1</v>
      </c>
      <c r="L199">
        <v>2</v>
      </c>
      <c r="M199">
        <v>2510</v>
      </c>
      <c r="N199">
        <v>2</v>
      </c>
      <c r="O199" s="10">
        <v>44743</v>
      </c>
      <c r="P199">
        <v>0</v>
      </c>
      <c r="Q199">
        <v>38</v>
      </c>
      <c r="R199">
        <v>2</v>
      </c>
      <c r="S199">
        <v>110</v>
      </c>
      <c r="T199">
        <v>168</v>
      </c>
      <c r="U199">
        <v>100</v>
      </c>
      <c r="V199">
        <v>-10</v>
      </c>
      <c r="W199">
        <v>1</v>
      </c>
      <c r="X199">
        <v>38.973922902494337</v>
      </c>
      <c r="Y199">
        <v>35.430839002267582</v>
      </c>
      <c r="Z199">
        <v>-3.5430839002267547</v>
      </c>
      <c r="AA199">
        <v>4</v>
      </c>
      <c r="AB199">
        <v>4</v>
      </c>
      <c r="AC199" t="s">
        <v>50</v>
      </c>
      <c r="AD199">
        <v>2</v>
      </c>
      <c r="AE199">
        <v>0</v>
      </c>
      <c r="AG199">
        <v>5</v>
      </c>
      <c r="AH199">
        <v>1</v>
      </c>
      <c r="AI199">
        <v>4</v>
      </c>
      <c r="AJ199">
        <v>1</v>
      </c>
      <c r="AK199">
        <v>7</v>
      </c>
      <c r="AL199">
        <v>1</v>
      </c>
      <c r="AM199">
        <f>AJ199*AK199*AL199/7</f>
        <v>1</v>
      </c>
      <c r="AN199" t="s">
        <v>43</v>
      </c>
      <c r="AO199">
        <v>0</v>
      </c>
      <c r="AV199">
        <f>AU199+AM199</f>
        <v>1</v>
      </c>
      <c r="AX199">
        <v>0</v>
      </c>
      <c r="BE199">
        <f>AM199+AU199+BD199</f>
        <v>1</v>
      </c>
      <c r="BG199">
        <v>0</v>
      </c>
      <c r="BJ199" t="s">
        <v>49</v>
      </c>
      <c r="BK199">
        <v>5</v>
      </c>
      <c r="BL199">
        <v>1</v>
      </c>
      <c r="BM199">
        <v>1</v>
      </c>
      <c r="BN199" t="s">
        <v>30</v>
      </c>
      <c r="BO199">
        <v>1</v>
      </c>
      <c r="BP199">
        <v>84</v>
      </c>
      <c r="BQ199">
        <v>0.13</v>
      </c>
      <c r="BR199">
        <v>1</v>
      </c>
      <c r="BS199">
        <v>0.13</v>
      </c>
      <c r="BT199">
        <f>BS199+BD199+AU199+AM199</f>
        <v>1.1299999999999999</v>
      </c>
      <c r="BU199">
        <v>1</v>
      </c>
      <c r="BV199">
        <v>1</v>
      </c>
      <c r="BW199">
        <v>146.5</v>
      </c>
      <c r="BX199">
        <f>BW199/7</f>
        <v>20.928571428571427</v>
      </c>
      <c r="BY199">
        <f>0.00077*BX199</f>
        <v>1.6114999999999997E-2</v>
      </c>
      <c r="BZ199">
        <f t="shared" si="3"/>
        <v>1.146115</v>
      </c>
    </row>
    <row r="200" spans="1:78">
      <c r="A200" s="1">
        <v>45170.390991886576</v>
      </c>
      <c r="B200" t="s">
        <v>865</v>
      </c>
      <c r="C200">
        <v>199</v>
      </c>
      <c r="D200" s="10">
        <v>30435</v>
      </c>
      <c r="E200">
        <v>40</v>
      </c>
      <c r="F200">
        <v>1</v>
      </c>
      <c r="G200">
        <v>2</v>
      </c>
      <c r="H200">
        <v>4</v>
      </c>
      <c r="I200" s="10">
        <v>44152</v>
      </c>
      <c r="J200">
        <v>2</v>
      </c>
      <c r="K200">
        <v>0</v>
      </c>
      <c r="L200">
        <v>2</v>
      </c>
      <c r="M200">
        <v>2950</v>
      </c>
      <c r="N200">
        <v>2</v>
      </c>
      <c r="O200" s="10">
        <v>43886</v>
      </c>
      <c r="P200">
        <v>0</v>
      </c>
      <c r="Q200">
        <v>38</v>
      </c>
      <c r="R200">
        <v>2</v>
      </c>
      <c r="S200">
        <v>63</v>
      </c>
      <c r="T200">
        <v>149</v>
      </c>
      <c r="U200">
        <v>69</v>
      </c>
      <c r="V200">
        <v>6</v>
      </c>
      <c r="W200">
        <v>1</v>
      </c>
      <c r="X200">
        <v>28.377100130624747</v>
      </c>
      <c r="Y200">
        <v>31.079681095446151</v>
      </c>
      <c r="Z200">
        <v>2.7025809648214043</v>
      </c>
      <c r="AA200">
        <v>3</v>
      </c>
      <c r="AB200">
        <v>4</v>
      </c>
      <c r="AC200" t="s">
        <v>33</v>
      </c>
      <c r="AD200">
        <v>3</v>
      </c>
      <c r="AE200">
        <v>0</v>
      </c>
      <c r="AG200">
        <v>5</v>
      </c>
      <c r="AH200">
        <v>1</v>
      </c>
      <c r="AI200">
        <v>2</v>
      </c>
      <c r="AJ200">
        <v>5</v>
      </c>
      <c r="AK200">
        <v>7</v>
      </c>
      <c r="AL200">
        <v>1</v>
      </c>
      <c r="AM200">
        <f>AJ200*AK200*AL200/7</f>
        <v>5</v>
      </c>
      <c r="AN200" t="s">
        <v>57</v>
      </c>
      <c r="AO200">
        <v>0</v>
      </c>
      <c r="AV200">
        <f>AU200+AM200</f>
        <v>5</v>
      </c>
      <c r="AW200" t="s">
        <v>95</v>
      </c>
      <c r="AX200">
        <v>1</v>
      </c>
      <c r="AY200" t="s">
        <v>878</v>
      </c>
      <c r="AZ200">
        <v>16</v>
      </c>
      <c r="BA200" t="s">
        <v>258</v>
      </c>
      <c r="BB200">
        <v>7</v>
      </c>
      <c r="BC200">
        <v>1</v>
      </c>
      <c r="BE200">
        <f>AM200+AU200+BD200</f>
        <v>5</v>
      </c>
      <c r="BF200" t="s">
        <v>878</v>
      </c>
      <c r="BG200" t="s">
        <v>258</v>
      </c>
      <c r="BH200">
        <v>7</v>
      </c>
      <c r="BI200">
        <v>1</v>
      </c>
      <c r="BJ200" t="s">
        <v>49</v>
      </c>
      <c r="BK200">
        <v>5</v>
      </c>
      <c r="BL200">
        <v>1</v>
      </c>
      <c r="BM200">
        <v>1</v>
      </c>
      <c r="BN200" t="s">
        <v>55</v>
      </c>
      <c r="BO200">
        <v>2</v>
      </c>
      <c r="BP200">
        <v>201</v>
      </c>
      <c r="BQ200">
        <v>0.1</v>
      </c>
      <c r="BR200">
        <v>3</v>
      </c>
      <c r="BS200">
        <v>0.30000000000000004</v>
      </c>
      <c r="BT200">
        <f>BS200+BD200+AU200+AM200</f>
        <v>5.3</v>
      </c>
      <c r="BU200">
        <v>1</v>
      </c>
      <c r="BV200">
        <v>1</v>
      </c>
      <c r="BW200">
        <v>146.5</v>
      </c>
      <c r="BX200">
        <f>BW200/7</f>
        <v>20.928571428571427</v>
      </c>
      <c r="BY200">
        <f>0.00077*BX200</f>
        <v>1.6114999999999997E-2</v>
      </c>
      <c r="BZ200">
        <f t="shared" si="3"/>
        <v>5.3161149999999999</v>
      </c>
    </row>
    <row r="201" spans="1:78">
      <c r="A201" s="1">
        <v>45170.395062453703</v>
      </c>
      <c r="C201">
        <v>200</v>
      </c>
      <c r="D201" s="10">
        <v>34325</v>
      </c>
      <c r="E201">
        <v>29</v>
      </c>
      <c r="F201">
        <v>1</v>
      </c>
      <c r="G201">
        <v>6</v>
      </c>
      <c r="H201">
        <v>4</v>
      </c>
      <c r="I201" s="10">
        <v>44916</v>
      </c>
      <c r="J201">
        <v>1</v>
      </c>
      <c r="K201">
        <v>1</v>
      </c>
      <c r="L201">
        <v>1</v>
      </c>
      <c r="M201">
        <v>4219</v>
      </c>
      <c r="N201">
        <v>3</v>
      </c>
      <c r="O201" s="10">
        <v>44629</v>
      </c>
      <c r="P201">
        <v>0</v>
      </c>
      <c r="Q201">
        <v>41</v>
      </c>
      <c r="R201">
        <v>2</v>
      </c>
      <c r="S201">
        <v>57</v>
      </c>
      <c r="T201">
        <v>163</v>
      </c>
      <c r="U201">
        <v>64</v>
      </c>
      <c r="V201">
        <v>7</v>
      </c>
      <c r="W201">
        <v>1</v>
      </c>
      <c r="X201">
        <v>21.453573713726524</v>
      </c>
      <c r="Y201">
        <v>24.088223117166624</v>
      </c>
      <c r="Z201">
        <v>2.6346494034401005</v>
      </c>
      <c r="AA201">
        <v>2</v>
      </c>
      <c r="AB201">
        <v>2</v>
      </c>
      <c r="AC201" t="s">
        <v>33</v>
      </c>
      <c r="AD201">
        <v>3</v>
      </c>
      <c r="AE201">
        <v>0</v>
      </c>
      <c r="AG201">
        <v>5</v>
      </c>
      <c r="AH201">
        <v>1</v>
      </c>
      <c r="AI201">
        <v>4</v>
      </c>
      <c r="AJ201">
        <v>1</v>
      </c>
      <c r="AK201">
        <v>7</v>
      </c>
      <c r="AL201">
        <v>1</v>
      </c>
      <c r="AM201">
        <f>AJ201*AK201*AL201/7</f>
        <v>1</v>
      </c>
      <c r="AN201" t="s">
        <v>43</v>
      </c>
      <c r="AO201">
        <v>0</v>
      </c>
      <c r="AV201">
        <f>AU201+AM201</f>
        <v>1</v>
      </c>
      <c r="AW201" t="s">
        <v>128</v>
      </c>
      <c r="AX201">
        <v>1</v>
      </c>
      <c r="AY201" t="s">
        <v>128</v>
      </c>
      <c r="AZ201">
        <v>4</v>
      </c>
      <c r="BA201">
        <v>0.2</v>
      </c>
      <c r="BB201">
        <v>7</v>
      </c>
      <c r="BC201">
        <v>1</v>
      </c>
      <c r="BD201">
        <f>BA201*BB201*1/7</f>
        <v>0.2</v>
      </c>
      <c r="BE201">
        <f>AM201+AU201+BD201</f>
        <v>1.2</v>
      </c>
      <c r="BF201" t="s">
        <v>128</v>
      </c>
      <c r="BG201">
        <v>0</v>
      </c>
      <c r="BH201">
        <v>7</v>
      </c>
      <c r="BI201">
        <v>1</v>
      </c>
      <c r="BJ201" t="s">
        <v>49</v>
      </c>
      <c r="BK201">
        <v>5</v>
      </c>
      <c r="BL201">
        <v>1</v>
      </c>
      <c r="BM201">
        <v>1</v>
      </c>
      <c r="BN201" t="s">
        <v>37</v>
      </c>
      <c r="BO201">
        <v>4</v>
      </c>
      <c r="BP201">
        <v>165</v>
      </c>
      <c r="BQ201">
        <v>0.05</v>
      </c>
      <c r="BR201">
        <v>3</v>
      </c>
      <c r="BS201">
        <v>0.15000000000000002</v>
      </c>
      <c r="BT201">
        <f>BS201+BD201+AU201+AM201</f>
        <v>1.35</v>
      </c>
      <c r="BU201">
        <v>1</v>
      </c>
      <c r="BV201">
        <v>2</v>
      </c>
      <c r="BW201">
        <v>293</v>
      </c>
      <c r="BX201">
        <f>BW201/7</f>
        <v>41.857142857142854</v>
      </c>
      <c r="BY201">
        <f>0.00077*BX201</f>
        <v>3.2229999999999995E-2</v>
      </c>
      <c r="BZ201">
        <f t="shared" si="3"/>
        <v>1.3822300000000001</v>
      </c>
    </row>
    <row r="202" spans="1:78">
      <c r="A202" s="1">
        <v>45170.432111539354</v>
      </c>
      <c r="C202">
        <v>201</v>
      </c>
      <c r="D202" s="10">
        <v>34552</v>
      </c>
      <c r="E202">
        <v>29</v>
      </c>
      <c r="F202">
        <v>1</v>
      </c>
      <c r="G202">
        <v>1</v>
      </c>
      <c r="H202">
        <v>2</v>
      </c>
      <c r="I202" s="10">
        <v>44720</v>
      </c>
      <c r="J202">
        <v>1</v>
      </c>
      <c r="K202">
        <v>1</v>
      </c>
      <c r="L202">
        <v>2</v>
      </c>
      <c r="M202">
        <v>3380</v>
      </c>
      <c r="N202">
        <v>2</v>
      </c>
      <c r="O202" s="10">
        <v>44444</v>
      </c>
      <c r="P202">
        <v>1</v>
      </c>
      <c r="Q202">
        <v>39.428571428571431</v>
      </c>
      <c r="R202">
        <v>2</v>
      </c>
      <c r="S202">
        <v>84</v>
      </c>
      <c r="T202">
        <v>173</v>
      </c>
      <c r="U202">
        <v>100</v>
      </c>
      <c r="V202">
        <v>16</v>
      </c>
      <c r="W202">
        <v>3</v>
      </c>
      <c r="X202">
        <v>28.06642386982525</v>
      </c>
      <c r="Y202">
        <v>33.412409368839583</v>
      </c>
      <c r="Z202">
        <v>5.3459854990143327</v>
      </c>
      <c r="AA202">
        <v>3</v>
      </c>
      <c r="AB202">
        <v>4</v>
      </c>
      <c r="AC202" t="s">
        <v>173</v>
      </c>
      <c r="AD202">
        <v>1</v>
      </c>
      <c r="AE202">
        <v>0</v>
      </c>
      <c r="AG202">
        <v>5</v>
      </c>
      <c r="AH202">
        <v>1</v>
      </c>
      <c r="AI202">
        <v>4</v>
      </c>
      <c r="AJ202">
        <v>1</v>
      </c>
      <c r="AK202">
        <v>7</v>
      </c>
      <c r="AL202">
        <v>1</v>
      </c>
      <c r="AM202">
        <f>AJ202*AK202*AL202/7</f>
        <v>1</v>
      </c>
      <c r="AN202" t="s">
        <v>43</v>
      </c>
      <c r="AO202">
        <v>0</v>
      </c>
      <c r="AV202">
        <f>AU202+AM202</f>
        <v>1</v>
      </c>
      <c r="AW202" t="s">
        <v>195</v>
      </c>
      <c r="AX202">
        <v>1</v>
      </c>
      <c r="AY202" t="s">
        <v>195</v>
      </c>
      <c r="AZ202">
        <v>5</v>
      </c>
      <c r="BA202">
        <v>0.6</v>
      </c>
      <c r="BB202">
        <v>7</v>
      </c>
      <c r="BC202">
        <v>1</v>
      </c>
      <c r="BD202">
        <f>BA202*BB202*1/7</f>
        <v>0.6</v>
      </c>
      <c r="BE202">
        <f>AM202+AU202+BD202</f>
        <v>1.6</v>
      </c>
      <c r="BF202" t="s">
        <v>195</v>
      </c>
      <c r="BG202">
        <v>0</v>
      </c>
      <c r="BH202">
        <v>7</v>
      </c>
      <c r="BI202">
        <v>1</v>
      </c>
      <c r="BJ202" t="s">
        <v>114</v>
      </c>
      <c r="BK202">
        <v>6</v>
      </c>
      <c r="BL202">
        <v>3</v>
      </c>
      <c r="BM202">
        <v>1</v>
      </c>
      <c r="BN202" t="s">
        <v>196</v>
      </c>
      <c r="BO202">
        <v>4</v>
      </c>
      <c r="BP202">
        <v>45</v>
      </c>
      <c r="BQ202">
        <v>0.05</v>
      </c>
      <c r="BR202">
        <v>1</v>
      </c>
      <c r="BS202">
        <v>0.05</v>
      </c>
      <c r="BT202">
        <f>BS202+BD202+AU202+AM202</f>
        <v>1.65</v>
      </c>
      <c r="BU202">
        <v>1</v>
      </c>
      <c r="BV202">
        <v>0.5</v>
      </c>
      <c r="BW202">
        <v>73.25</v>
      </c>
      <c r="BX202">
        <f>BW202/7</f>
        <v>10.464285714285714</v>
      </c>
      <c r="BY202">
        <f>0.00077*BX202</f>
        <v>8.0574999999999987E-3</v>
      </c>
      <c r="BZ202">
        <f t="shared" si="3"/>
        <v>1.6580575</v>
      </c>
    </row>
    <row r="203" spans="1:78">
      <c r="A203" s="1">
        <v>45170.506960949075</v>
      </c>
      <c r="C203">
        <v>202</v>
      </c>
      <c r="D203" s="10">
        <v>36267</v>
      </c>
      <c r="E203">
        <v>24</v>
      </c>
      <c r="F203">
        <v>1</v>
      </c>
      <c r="G203">
        <v>1</v>
      </c>
      <c r="H203">
        <v>3</v>
      </c>
      <c r="I203" s="10">
        <v>44756</v>
      </c>
      <c r="J203">
        <v>1</v>
      </c>
      <c r="K203">
        <v>1</v>
      </c>
      <c r="L203">
        <v>1</v>
      </c>
      <c r="M203">
        <v>3540</v>
      </c>
      <c r="N203">
        <v>2</v>
      </c>
      <c r="O203" s="10">
        <v>44468</v>
      </c>
      <c r="P203">
        <v>1</v>
      </c>
      <c r="Q203">
        <v>41.142857142857146</v>
      </c>
      <c r="R203">
        <v>2</v>
      </c>
      <c r="S203">
        <v>84</v>
      </c>
      <c r="T203">
        <v>162</v>
      </c>
      <c r="U203">
        <v>102</v>
      </c>
      <c r="V203">
        <v>18</v>
      </c>
      <c r="W203">
        <v>3</v>
      </c>
      <c r="X203">
        <v>32.007315957933237</v>
      </c>
      <c r="Y203">
        <v>38.866026520347503</v>
      </c>
      <c r="Z203">
        <v>6.8587105624142666</v>
      </c>
      <c r="AA203">
        <v>4</v>
      </c>
      <c r="AB203">
        <v>4</v>
      </c>
      <c r="AC203" t="s">
        <v>50</v>
      </c>
      <c r="AD203">
        <v>2</v>
      </c>
      <c r="AE203">
        <v>0</v>
      </c>
      <c r="AG203">
        <v>5</v>
      </c>
      <c r="AH203">
        <v>1</v>
      </c>
      <c r="AI203">
        <v>13</v>
      </c>
      <c r="AJ203">
        <v>1</v>
      </c>
      <c r="AK203">
        <v>7</v>
      </c>
      <c r="AL203">
        <v>1</v>
      </c>
      <c r="AM203">
        <f>AJ203*AK203*AL203/7</f>
        <v>1</v>
      </c>
      <c r="AN203" t="s">
        <v>79</v>
      </c>
      <c r="AO203">
        <v>0</v>
      </c>
      <c r="AV203">
        <f>AU203+AM203</f>
        <v>1</v>
      </c>
      <c r="AX203">
        <v>0</v>
      </c>
      <c r="BE203">
        <f>AM203+AU203+BD203</f>
        <v>1</v>
      </c>
      <c r="BG203">
        <v>0</v>
      </c>
      <c r="BJ203" t="s">
        <v>49</v>
      </c>
      <c r="BK203">
        <v>5</v>
      </c>
      <c r="BL203">
        <v>1</v>
      </c>
      <c r="BM203">
        <v>1</v>
      </c>
      <c r="BN203" t="s">
        <v>30</v>
      </c>
      <c r="BO203">
        <v>1</v>
      </c>
      <c r="BP203">
        <v>84</v>
      </c>
      <c r="BQ203">
        <v>0.13</v>
      </c>
      <c r="BR203">
        <v>1</v>
      </c>
      <c r="BS203">
        <v>0.13</v>
      </c>
      <c r="BT203">
        <f>BS203+BD203+AU203+AM203</f>
        <v>1.1299999999999999</v>
      </c>
      <c r="BU203">
        <v>1</v>
      </c>
      <c r="BV203">
        <v>1</v>
      </c>
      <c r="BW203">
        <v>146.5</v>
      </c>
      <c r="BX203">
        <f>BW203/7</f>
        <v>20.928571428571427</v>
      </c>
      <c r="BY203">
        <f>0.00077*BX203</f>
        <v>1.6114999999999997E-2</v>
      </c>
      <c r="BZ203">
        <f t="shared" si="3"/>
        <v>1.146115</v>
      </c>
    </row>
    <row r="204" spans="1:78">
      <c r="A204" s="1">
        <v>45170.530502187496</v>
      </c>
      <c r="C204">
        <v>203</v>
      </c>
      <c r="D204" s="10">
        <v>33421</v>
      </c>
      <c r="E204">
        <v>32</v>
      </c>
      <c r="F204">
        <v>1</v>
      </c>
      <c r="G204">
        <v>1</v>
      </c>
      <c r="H204">
        <v>4</v>
      </c>
      <c r="I204" s="10">
        <v>44500</v>
      </c>
      <c r="J204">
        <v>1</v>
      </c>
      <c r="K204">
        <v>1</v>
      </c>
      <c r="L204">
        <v>1</v>
      </c>
      <c r="M204">
        <v>1895</v>
      </c>
      <c r="N204">
        <v>1</v>
      </c>
      <c r="O204" s="10">
        <v>44283</v>
      </c>
      <c r="P204">
        <v>1</v>
      </c>
      <c r="Q204">
        <v>31</v>
      </c>
      <c r="R204">
        <v>4</v>
      </c>
      <c r="S204">
        <v>58</v>
      </c>
      <c r="T204">
        <v>154</v>
      </c>
      <c r="U204">
        <v>65</v>
      </c>
      <c r="V204">
        <v>7</v>
      </c>
      <c r="W204">
        <v>1</v>
      </c>
      <c r="X204">
        <v>24.456063417102378</v>
      </c>
      <c r="Y204">
        <v>27.407657277787148</v>
      </c>
      <c r="Z204">
        <v>2.9515938606847705</v>
      </c>
      <c r="AA204">
        <v>2</v>
      </c>
      <c r="AB204">
        <v>3</v>
      </c>
      <c r="AC204" t="s">
        <v>33</v>
      </c>
      <c r="AD204">
        <v>3</v>
      </c>
      <c r="AE204">
        <v>0</v>
      </c>
      <c r="AG204">
        <v>5</v>
      </c>
      <c r="AH204">
        <v>1</v>
      </c>
      <c r="AI204">
        <v>4</v>
      </c>
      <c r="AJ204">
        <v>1</v>
      </c>
      <c r="AK204">
        <v>7</v>
      </c>
      <c r="AL204">
        <v>1</v>
      </c>
      <c r="AM204">
        <f>AJ204*AK204*AL204/7</f>
        <v>1</v>
      </c>
      <c r="AN204" t="s">
        <v>43</v>
      </c>
      <c r="AO204">
        <v>0</v>
      </c>
      <c r="AV204">
        <f>AU204+AM204</f>
        <v>1</v>
      </c>
      <c r="AW204" t="s">
        <v>197</v>
      </c>
      <c r="AX204">
        <v>1</v>
      </c>
      <c r="AY204" t="s">
        <v>197</v>
      </c>
      <c r="AZ204">
        <v>5</v>
      </c>
      <c r="BA204">
        <v>0.4</v>
      </c>
      <c r="BB204">
        <v>7</v>
      </c>
      <c r="BC204">
        <v>1</v>
      </c>
      <c r="BD204">
        <f>BA204*BB204*1/7</f>
        <v>0.4</v>
      </c>
      <c r="BE204">
        <f>AM204+AU204+BD204</f>
        <v>1.4</v>
      </c>
      <c r="BF204" t="s">
        <v>197</v>
      </c>
      <c r="BG204">
        <v>0</v>
      </c>
      <c r="BH204">
        <v>7</v>
      </c>
      <c r="BI204">
        <v>1</v>
      </c>
      <c r="BJ204" t="s">
        <v>28</v>
      </c>
      <c r="BK204">
        <v>3</v>
      </c>
      <c r="BL204">
        <v>4</v>
      </c>
      <c r="BM204">
        <v>1</v>
      </c>
      <c r="BN204" t="s">
        <v>30</v>
      </c>
      <c r="BO204">
        <v>1</v>
      </c>
      <c r="BP204">
        <v>84</v>
      </c>
      <c r="BQ204">
        <v>0.13</v>
      </c>
      <c r="BR204">
        <v>1</v>
      </c>
      <c r="BS204">
        <v>0.13</v>
      </c>
      <c r="BT204">
        <f>BS204+BD204+AU204+AM204</f>
        <v>1.53</v>
      </c>
      <c r="BU204">
        <v>1</v>
      </c>
      <c r="BV204">
        <v>2</v>
      </c>
      <c r="BW204">
        <v>293</v>
      </c>
      <c r="BX204">
        <f>BW204/7</f>
        <v>41.857142857142854</v>
      </c>
      <c r="BY204">
        <f>0.00077*BX204</f>
        <v>3.2229999999999995E-2</v>
      </c>
      <c r="BZ204">
        <f t="shared" si="3"/>
        <v>1.56223</v>
      </c>
    </row>
    <row r="205" spans="1:78">
      <c r="A205" s="1">
        <v>45170.531803124999</v>
      </c>
      <c r="C205">
        <v>204</v>
      </c>
      <c r="D205" s="10">
        <v>44596</v>
      </c>
      <c r="E205">
        <v>33</v>
      </c>
      <c r="F205">
        <v>1</v>
      </c>
      <c r="G205">
        <v>2</v>
      </c>
      <c r="H205">
        <v>4</v>
      </c>
      <c r="I205" s="10">
        <v>44596</v>
      </c>
      <c r="J205">
        <v>1</v>
      </c>
      <c r="K205">
        <v>1</v>
      </c>
      <c r="L205">
        <v>1</v>
      </c>
      <c r="M205">
        <v>4150</v>
      </c>
      <c r="N205">
        <v>3</v>
      </c>
      <c r="O205" s="10">
        <v>44316</v>
      </c>
      <c r="P205">
        <v>1</v>
      </c>
      <c r="Q205">
        <v>40</v>
      </c>
      <c r="R205">
        <v>2</v>
      </c>
      <c r="S205">
        <v>83</v>
      </c>
      <c r="T205">
        <v>163</v>
      </c>
      <c r="U205">
        <v>89</v>
      </c>
      <c r="V205">
        <v>6</v>
      </c>
      <c r="W205">
        <v>1</v>
      </c>
      <c r="X205">
        <v>31.239414355075468</v>
      </c>
      <c r="Y205">
        <v>33.497685272309838</v>
      </c>
      <c r="Z205">
        <v>2.2582709172343698</v>
      </c>
      <c r="AA205">
        <v>4</v>
      </c>
      <c r="AB205">
        <v>4</v>
      </c>
      <c r="AC205" t="s">
        <v>33</v>
      </c>
      <c r="AD205">
        <v>3</v>
      </c>
      <c r="AE205">
        <v>0</v>
      </c>
      <c r="AG205">
        <v>5</v>
      </c>
      <c r="AH205">
        <v>1</v>
      </c>
      <c r="AI205">
        <v>1</v>
      </c>
      <c r="AJ205">
        <v>1</v>
      </c>
      <c r="AK205">
        <v>7</v>
      </c>
      <c r="AL205">
        <v>1</v>
      </c>
      <c r="AM205">
        <f>AJ205*AK205*AL205/7</f>
        <v>1</v>
      </c>
      <c r="AN205" t="s">
        <v>56</v>
      </c>
      <c r="AO205">
        <v>0</v>
      </c>
      <c r="AV205">
        <f>AU205+AM205</f>
        <v>1</v>
      </c>
      <c r="AX205">
        <v>0</v>
      </c>
      <c r="BE205">
        <f>AM205+AU205+BD205</f>
        <v>1</v>
      </c>
      <c r="BG205">
        <v>0</v>
      </c>
      <c r="BJ205" t="s">
        <v>28</v>
      </c>
      <c r="BK205">
        <v>3</v>
      </c>
      <c r="BL205">
        <v>1</v>
      </c>
      <c r="BM205">
        <v>1</v>
      </c>
      <c r="BN205" t="s">
        <v>55</v>
      </c>
      <c r="BO205">
        <v>2</v>
      </c>
      <c r="BP205">
        <v>134</v>
      </c>
      <c r="BQ205">
        <v>0.1</v>
      </c>
      <c r="BR205">
        <v>2</v>
      </c>
      <c r="BS205">
        <v>0.2</v>
      </c>
      <c r="BT205">
        <f>BS205+BD205+AU205+AM205</f>
        <v>1.2</v>
      </c>
      <c r="BU205">
        <v>1</v>
      </c>
      <c r="BV205">
        <v>2</v>
      </c>
      <c r="BW205">
        <v>293</v>
      </c>
      <c r="BX205">
        <f>BW205/7</f>
        <v>41.857142857142854</v>
      </c>
      <c r="BY205">
        <f>0.00077*BX205</f>
        <v>3.2229999999999995E-2</v>
      </c>
      <c r="BZ205">
        <f t="shared" si="3"/>
        <v>1.2322299999999999</v>
      </c>
    </row>
    <row r="206" spans="1:78">
      <c r="A206" s="1">
        <v>45170.614335358798</v>
      </c>
      <c r="B206" t="s">
        <v>865</v>
      </c>
      <c r="C206">
        <v>205</v>
      </c>
      <c r="D206" s="10">
        <v>33225</v>
      </c>
      <c r="E206">
        <v>32</v>
      </c>
      <c r="F206">
        <v>1</v>
      </c>
      <c r="G206">
        <v>4</v>
      </c>
      <c r="H206">
        <v>3</v>
      </c>
      <c r="I206" s="10">
        <v>44186</v>
      </c>
      <c r="J206">
        <v>1</v>
      </c>
      <c r="K206">
        <v>1</v>
      </c>
      <c r="L206">
        <v>2</v>
      </c>
      <c r="M206">
        <v>3250</v>
      </c>
      <c r="N206">
        <v>2</v>
      </c>
      <c r="O206" s="10">
        <v>43920</v>
      </c>
      <c r="P206">
        <v>1</v>
      </c>
      <c r="Q206">
        <v>38</v>
      </c>
      <c r="R206">
        <v>2</v>
      </c>
      <c r="S206">
        <v>62</v>
      </c>
      <c r="T206">
        <v>158</v>
      </c>
      <c r="U206">
        <v>78</v>
      </c>
      <c r="V206">
        <v>16</v>
      </c>
      <c r="W206">
        <v>2</v>
      </c>
      <c r="X206">
        <v>24.835763499439189</v>
      </c>
      <c r="Y206">
        <v>31.244992789617044</v>
      </c>
      <c r="Z206">
        <v>6.4092292901778549</v>
      </c>
      <c r="AA206">
        <v>2</v>
      </c>
      <c r="AB206">
        <v>4</v>
      </c>
      <c r="AC206" t="s">
        <v>50</v>
      </c>
      <c r="AD206">
        <v>2</v>
      </c>
      <c r="AE206">
        <v>0</v>
      </c>
      <c r="AG206">
        <v>5</v>
      </c>
      <c r="AH206">
        <v>1</v>
      </c>
      <c r="AI206">
        <v>13</v>
      </c>
      <c r="AJ206">
        <v>1</v>
      </c>
      <c r="AK206">
        <v>7</v>
      </c>
      <c r="AL206">
        <v>1</v>
      </c>
      <c r="AM206">
        <f>AJ206*AK206*AL206/7</f>
        <v>1</v>
      </c>
      <c r="AN206" t="s">
        <v>79</v>
      </c>
      <c r="AO206">
        <v>0</v>
      </c>
      <c r="AV206">
        <f>AU206+AM206</f>
        <v>1</v>
      </c>
      <c r="AW206" t="s">
        <v>689</v>
      </c>
      <c r="AX206">
        <v>0</v>
      </c>
      <c r="AY206" t="s">
        <v>116</v>
      </c>
      <c r="BE206">
        <f>AM206+AU206+BD206</f>
        <v>1</v>
      </c>
      <c r="BF206" t="s">
        <v>116</v>
      </c>
      <c r="BG206">
        <v>1</v>
      </c>
      <c r="BH206">
        <v>7</v>
      </c>
      <c r="BI206">
        <v>1</v>
      </c>
      <c r="BJ206" t="s">
        <v>49</v>
      </c>
      <c r="BK206">
        <v>5</v>
      </c>
      <c r="BL206">
        <v>1</v>
      </c>
      <c r="BM206">
        <v>1</v>
      </c>
      <c r="BN206" t="s">
        <v>30</v>
      </c>
      <c r="BO206">
        <v>1</v>
      </c>
      <c r="BP206">
        <v>168</v>
      </c>
      <c r="BQ206">
        <v>0.13</v>
      </c>
      <c r="BR206">
        <v>2</v>
      </c>
      <c r="BS206">
        <v>0.26</v>
      </c>
      <c r="BT206">
        <f>BS206+BD206+AU206+AM206</f>
        <v>1.26</v>
      </c>
      <c r="BU206">
        <v>1</v>
      </c>
      <c r="BV206">
        <v>2</v>
      </c>
      <c r="BW206">
        <v>293</v>
      </c>
      <c r="BX206">
        <f>BW206/7</f>
        <v>41.857142857142854</v>
      </c>
      <c r="BY206">
        <f>0.00077*BX206</f>
        <v>3.2229999999999995E-2</v>
      </c>
      <c r="BZ206">
        <f t="shared" si="3"/>
        <v>1.29223</v>
      </c>
    </row>
    <row r="207" spans="1:78">
      <c r="A207" s="1">
        <v>45170.647222037034</v>
      </c>
      <c r="C207">
        <v>206</v>
      </c>
      <c r="D207" s="10">
        <v>35001</v>
      </c>
      <c r="E207">
        <v>27</v>
      </c>
      <c r="F207">
        <v>1</v>
      </c>
      <c r="G207">
        <v>1</v>
      </c>
      <c r="H207">
        <v>4</v>
      </c>
      <c r="I207" s="10">
        <v>44896</v>
      </c>
      <c r="J207">
        <v>1</v>
      </c>
      <c r="K207">
        <v>1</v>
      </c>
      <c r="L207">
        <v>2</v>
      </c>
      <c r="M207">
        <v>3880</v>
      </c>
      <c r="N207">
        <v>2</v>
      </c>
      <c r="O207" s="10">
        <v>44616</v>
      </c>
      <c r="P207">
        <v>0</v>
      </c>
      <c r="Q207">
        <v>40</v>
      </c>
      <c r="R207">
        <v>2</v>
      </c>
      <c r="S207">
        <v>64</v>
      </c>
      <c r="T207">
        <v>165</v>
      </c>
      <c r="U207">
        <v>90</v>
      </c>
      <c r="V207">
        <v>26</v>
      </c>
      <c r="W207">
        <v>3</v>
      </c>
      <c r="X207">
        <v>23.507805325987146</v>
      </c>
      <c r="Y207">
        <v>33.057851239669425</v>
      </c>
      <c r="Z207">
        <v>9.5500459136822791</v>
      </c>
      <c r="AA207">
        <v>2</v>
      </c>
      <c r="AB207">
        <v>4</v>
      </c>
      <c r="AC207" t="s">
        <v>50</v>
      </c>
      <c r="AD207">
        <v>2</v>
      </c>
      <c r="AE207">
        <v>0</v>
      </c>
      <c r="AG207">
        <v>5</v>
      </c>
      <c r="AH207">
        <v>1</v>
      </c>
      <c r="AI207">
        <v>5</v>
      </c>
      <c r="AJ207">
        <v>5</v>
      </c>
      <c r="AK207">
        <v>7</v>
      </c>
      <c r="AL207">
        <v>1</v>
      </c>
      <c r="AM207">
        <f>AJ207*AK207*AL207/7</f>
        <v>5</v>
      </c>
      <c r="AN207" t="s">
        <v>27</v>
      </c>
      <c r="AO207">
        <v>0</v>
      </c>
      <c r="AV207">
        <f>AU207+AM207</f>
        <v>5</v>
      </c>
      <c r="AX207">
        <v>0</v>
      </c>
      <c r="BE207">
        <f>AM207+AU207+BD207</f>
        <v>5</v>
      </c>
      <c r="BG207">
        <v>0</v>
      </c>
      <c r="BJ207" t="s">
        <v>36</v>
      </c>
      <c r="BK207">
        <v>4</v>
      </c>
      <c r="BL207">
        <v>1</v>
      </c>
      <c r="BM207">
        <v>1</v>
      </c>
      <c r="BN207" t="s">
        <v>30</v>
      </c>
      <c r="BO207">
        <v>1</v>
      </c>
      <c r="BP207">
        <v>168</v>
      </c>
      <c r="BQ207">
        <v>0.13</v>
      </c>
      <c r="BR207">
        <v>2</v>
      </c>
      <c r="BS207">
        <v>0.26</v>
      </c>
      <c r="BT207">
        <f>BS207+BD207+AU207+AM207</f>
        <v>5.26</v>
      </c>
      <c r="BU207">
        <v>1</v>
      </c>
      <c r="BV207">
        <v>5</v>
      </c>
      <c r="BW207">
        <v>732.5</v>
      </c>
      <c r="BX207">
        <f>BW207/7</f>
        <v>104.64285714285714</v>
      </c>
      <c r="BY207">
        <f>0.00077*BX207</f>
        <v>8.0574999999999994E-2</v>
      </c>
      <c r="BZ207">
        <f t="shared" si="3"/>
        <v>5.3405749999999994</v>
      </c>
    </row>
    <row r="208" spans="1:78">
      <c r="A208" s="1">
        <v>45170.649883923616</v>
      </c>
      <c r="C208">
        <v>207</v>
      </c>
      <c r="D208" s="10">
        <v>32099</v>
      </c>
      <c r="E208">
        <v>35</v>
      </c>
      <c r="F208">
        <v>1</v>
      </c>
      <c r="G208">
        <v>1</v>
      </c>
      <c r="H208">
        <v>4</v>
      </c>
      <c r="I208" s="10">
        <v>44322</v>
      </c>
      <c r="J208">
        <v>3</v>
      </c>
      <c r="K208">
        <v>0</v>
      </c>
      <c r="L208">
        <v>2</v>
      </c>
      <c r="M208">
        <v>3250</v>
      </c>
      <c r="N208">
        <v>2</v>
      </c>
      <c r="O208" s="10">
        <v>44049</v>
      </c>
      <c r="P208">
        <v>1</v>
      </c>
      <c r="Q208">
        <v>39</v>
      </c>
      <c r="R208">
        <v>2</v>
      </c>
      <c r="S208">
        <v>70</v>
      </c>
      <c r="T208">
        <v>144</v>
      </c>
      <c r="U208">
        <v>77</v>
      </c>
      <c r="V208">
        <v>7</v>
      </c>
      <c r="W208">
        <v>2</v>
      </c>
      <c r="X208">
        <v>33.757716049382715</v>
      </c>
      <c r="Y208">
        <v>37.133487654320987</v>
      </c>
      <c r="Z208">
        <v>3.3757716049382722</v>
      </c>
      <c r="AA208">
        <v>4</v>
      </c>
      <c r="AB208">
        <v>4</v>
      </c>
      <c r="AC208" t="s">
        <v>33</v>
      </c>
      <c r="AD208">
        <v>3</v>
      </c>
      <c r="AE208">
        <v>0</v>
      </c>
      <c r="AG208">
        <v>5</v>
      </c>
      <c r="AH208">
        <v>1</v>
      </c>
      <c r="AI208">
        <v>10</v>
      </c>
      <c r="AJ208">
        <v>1</v>
      </c>
      <c r="AK208">
        <v>7</v>
      </c>
      <c r="AL208">
        <v>1</v>
      </c>
      <c r="AM208">
        <f>AJ208*AK208*AL208/7</f>
        <v>1</v>
      </c>
      <c r="AN208" t="s">
        <v>166</v>
      </c>
      <c r="AO208">
        <v>0</v>
      </c>
      <c r="AV208">
        <f>AU208+AM208</f>
        <v>1</v>
      </c>
      <c r="AX208">
        <v>0</v>
      </c>
      <c r="BE208">
        <f>AM208+AU208+BD208</f>
        <v>1</v>
      </c>
      <c r="BG208">
        <v>0</v>
      </c>
      <c r="BJ208" t="s">
        <v>42</v>
      </c>
      <c r="BK208">
        <v>6</v>
      </c>
      <c r="BL208">
        <v>1</v>
      </c>
      <c r="BM208">
        <v>1</v>
      </c>
      <c r="BN208" t="s">
        <v>30</v>
      </c>
      <c r="BO208">
        <v>1</v>
      </c>
      <c r="BP208">
        <v>168</v>
      </c>
      <c r="BQ208">
        <v>0.13</v>
      </c>
      <c r="BR208">
        <v>2</v>
      </c>
      <c r="BS208">
        <v>0.26</v>
      </c>
      <c r="BT208">
        <f>BS208+BD208+AU208+AM208</f>
        <v>1.26</v>
      </c>
      <c r="BU208">
        <v>1</v>
      </c>
      <c r="BV208">
        <v>0.5</v>
      </c>
      <c r="BW208">
        <v>73.25</v>
      </c>
      <c r="BX208">
        <f>BW208/7</f>
        <v>10.464285714285714</v>
      </c>
      <c r="BY208">
        <f>0.00077*BX208</f>
        <v>8.0574999999999987E-3</v>
      </c>
      <c r="BZ208">
        <f t="shared" si="3"/>
        <v>1.2680575000000001</v>
      </c>
    </row>
    <row r="209" spans="1:78">
      <c r="A209" s="1">
        <v>45170.661409976849</v>
      </c>
      <c r="C209">
        <v>208</v>
      </c>
      <c r="D209" s="10">
        <v>31980</v>
      </c>
      <c r="E209">
        <v>36</v>
      </c>
      <c r="F209">
        <v>1</v>
      </c>
      <c r="G209">
        <v>1</v>
      </c>
      <c r="H209">
        <v>5</v>
      </c>
      <c r="I209" s="10">
        <v>43435</v>
      </c>
      <c r="J209">
        <v>1</v>
      </c>
      <c r="K209">
        <v>1</v>
      </c>
      <c r="L209">
        <v>1</v>
      </c>
      <c r="M209">
        <v>3330</v>
      </c>
      <c r="N209">
        <v>2</v>
      </c>
      <c r="O209" s="10">
        <v>43155</v>
      </c>
      <c r="P209">
        <v>0</v>
      </c>
      <c r="Q209">
        <v>40</v>
      </c>
      <c r="R209">
        <v>2</v>
      </c>
      <c r="S209">
        <v>50</v>
      </c>
      <c r="T209">
        <v>163</v>
      </c>
      <c r="U209">
        <v>60</v>
      </c>
      <c r="V209">
        <v>10</v>
      </c>
      <c r="W209">
        <v>1</v>
      </c>
      <c r="X209">
        <v>18.818924310286427</v>
      </c>
      <c r="Y209">
        <v>22.582709172343712</v>
      </c>
      <c r="Z209">
        <v>3.7637848620572854</v>
      </c>
      <c r="AA209">
        <v>2</v>
      </c>
      <c r="AB209">
        <v>2</v>
      </c>
      <c r="AC209" t="s">
        <v>33</v>
      </c>
      <c r="AD209">
        <v>3</v>
      </c>
      <c r="AE209">
        <v>0</v>
      </c>
      <c r="AG209">
        <v>5</v>
      </c>
      <c r="AH209">
        <v>0</v>
      </c>
      <c r="AI209">
        <v>0</v>
      </c>
      <c r="AN209" t="s">
        <v>41</v>
      </c>
      <c r="AO209">
        <v>0</v>
      </c>
      <c r="AW209" t="s">
        <v>58</v>
      </c>
      <c r="AX209">
        <v>1</v>
      </c>
      <c r="AY209" t="s">
        <v>58</v>
      </c>
      <c r="AZ209">
        <v>1</v>
      </c>
      <c r="BA209">
        <v>0.8</v>
      </c>
      <c r="BB209">
        <v>7</v>
      </c>
      <c r="BC209">
        <v>1</v>
      </c>
      <c r="BD209">
        <f>BA209*BB209*1/7</f>
        <v>0.8</v>
      </c>
      <c r="BE209">
        <f>AM209+AU209+BD209</f>
        <v>0.8</v>
      </c>
      <c r="BF209" t="s">
        <v>58</v>
      </c>
      <c r="BG209">
        <v>0</v>
      </c>
      <c r="BH209">
        <v>7</v>
      </c>
      <c r="BI209">
        <v>1</v>
      </c>
      <c r="BJ209" t="s">
        <v>36</v>
      </c>
      <c r="BK209">
        <v>4</v>
      </c>
      <c r="BL209">
        <v>3</v>
      </c>
      <c r="BM209">
        <v>1</v>
      </c>
      <c r="BN209" t="s">
        <v>37</v>
      </c>
      <c r="BO209">
        <v>4</v>
      </c>
      <c r="BP209">
        <v>55</v>
      </c>
      <c r="BQ209">
        <v>0.05</v>
      </c>
      <c r="BR209">
        <v>1</v>
      </c>
      <c r="BS209">
        <v>0.05</v>
      </c>
      <c r="BT209">
        <f>BS209+BD209+AU209+AM209</f>
        <v>0.85000000000000009</v>
      </c>
      <c r="BU209">
        <v>1</v>
      </c>
      <c r="BV209">
        <v>1</v>
      </c>
      <c r="BW209">
        <v>146.5</v>
      </c>
      <c r="BX209">
        <f>BW209/7</f>
        <v>20.928571428571427</v>
      </c>
      <c r="BY209">
        <f>0.00077*BX209</f>
        <v>1.6114999999999997E-2</v>
      </c>
      <c r="BZ209">
        <f t="shared" si="3"/>
        <v>0.86611500000000008</v>
      </c>
    </row>
    <row r="210" spans="1:78">
      <c r="A210" s="1">
        <v>45170.671496585652</v>
      </c>
      <c r="C210">
        <v>209</v>
      </c>
      <c r="D210" s="10">
        <v>34529</v>
      </c>
      <c r="E210">
        <v>29</v>
      </c>
      <c r="F210">
        <v>1</v>
      </c>
      <c r="G210">
        <v>2</v>
      </c>
      <c r="H210">
        <v>4</v>
      </c>
      <c r="I210" s="10">
        <v>44909</v>
      </c>
      <c r="J210">
        <v>2</v>
      </c>
      <c r="K210">
        <v>0</v>
      </c>
      <c r="L210">
        <v>1</v>
      </c>
      <c r="M210">
        <v>3890</v>
      </c>
      <c r="N210">
        <v>2</v>
      </c>
      <c r="O210" s="10">
        <v>44643</v>
      </c>
      <c r="P210">
        <v>0</v>
      </c>
      <c r="Q210">
        <v>38</v>
      </c>
      <c r="R210">
        <v>2</v>
      </c>
      <c r="S210">
        <v>94</v>
      </c>
      <c r="T210">
        <v>158</v>
      </c>
      <c r="U210">
        <v>99</v>
      </c>
      <c r="V210">
        <v>5</v>
      </c>
      <c r="W210">
        <v>1</v>
      </c>
      <c r="X210">
        <v>37.654222079794899</v>
      </c>
      <c r="Y210">
        <v>39.65710623297548</v>
      </c>
      <c r="Z210">
        <v>2.002884153180581</v>
      </c>
      <c r="AA210">
        <v>4</v>
      </c>
      <c r="AB210">
        <v>4</v>
      </c>
      <c r="AC210" t="s">
        <v>44</v>
      </c>
      <c r="AD210">
        <v>1</v>
      </c>
      <c r="AE210">
        <v>0</v>
      </c>
      <c r="AG210">
        <v>5</v>
      </c>
      <c r="AH210">
        <v>1</v>
      </c>
      <c r="AI210">
        <v>13</v>
      </c>
      <c r="AJ210">
        <v>1</v>
      </c>
      <c r="AK210">
        <v>7</v>
      </c>
      <c r="AL210">
        <v>1</v>
      </c>
      <c r="AM210">
        <f>AJ210*AK210*AL210/7</f>
        <v>1</v>
      </c>
      <c r="AN210" t="s">
        <v>79</v>
      </c>
      <c r="AO210">
        <v>0</v>
      </c>
      <c r="AV210">
        <f>AU210+AM210</f>
        <v>1</v>
      </c>
      <c r="AX210">
        <v>0</v>
      </c>
      <c r="BE210">
        <f>AM210+AU210+BD210</f>
        <v>1</v>
      </c>
      <c r="BG210">
        <v>0</v>
      </c>
      <c r="BJ210" t="s">
        <v>28</v>
      </c>
      <c r="BK210">
        <v>3</v>
      </c>
      <c r="BL210">
        <v>1</v>
      </c>
      <c r="BM210">
        <v>1</v>
      </c>
      <c r="BN210" t="s">
        <v>30</v>
      </c>
      <c r="BO210">
        <v>1</v>
      </c>
      <c r="BP210">
        <v>84</v>
      </c>
      <c r="BQ210">
        <v>0.13</v>
      </c>
      <c r="BR210">
        <v>1</v>
      </c>
      <c r="BS210">
        <v>0.13</v>
      </c>
      <c r="BT210">
        <f>BS210+BD210+AU210+AM210</f>
        <v>1.1299999999999999</v>
      </c>
      <c r="BU210">
        <v>1</v>
      </c>
      <c r="BV210">
        <v>2</v>
      </c>
      <c r="BW210">
        <v>293</v>
      </c>
      <c r="BX210">
        <f>BW210/7</f>
        <v>41.857142857142854</v>
      </c>
      <c r="BY210">
        <f>0.00077*BX210</f>
        <v>3.2229999999999995E-2</v>
      </c>
      <c r="BZ210">
        <f t="shared" si="3"/>
        <v>1.1622299999999999</v>
      </c>
    </row>
    <row r="211" spans="1:78">
      <c r="A211" s="1">
        <v>45170.696509606481</v>
      </c>
      <c r="C211">
        <v>210</v>
      </c>
      <c r="D211" s="10">
        <v>30641</v>
      </c>
      <c r="E211">
        <v>39</v>
      </c>
      <c r="F211">
        <v>1</v>
      </c>
      <c r="G211">
        <v>1</v>
      </c>
      <c r="H211">
        <v>2</v>
      </c>
      <c r="I211" s="10">
        <v>44236</v>
      </c>
      <c r="J211">
        <v>1</v>
      </c>
      <c r="K211">
        <v>1</v>
      </c>
      <c r="L211">
        <v>1</v>
      </c>
      <c r="M211">
        <v>3425</v>
      </c>
      <c r="N211">
        <v>2</v>
      </c>
      <c r="O211" s="10">
        <v>43957</v>
      </c>
      <c r="P211">
        <v>1</v>
      </c>
      <c r="Q211">
        <v>39.857142857142854</v>
      </c>
      <c r="R211">
        <v>2</v>
      </c>
      <c r="S211">
        <v>86</v>
      </c>
      <c r="T211">
        <v>167</v>
      </c>
      <c r="U211">
        <v>90</v>
      </c>
      <c r="V211">
        <v>4</v>
      </c>
      <c r="W211">
        <v>1</v>
      </c>
      <c r="X211">
        <v>30.836530531750871</v>
      </c>
      <c r="Y211">
        <v>32.270787765785798</v>
      </c>
      <c r="Z211">
        <v>1.4342572340349271</v>
      </c>
      <c r="AA211">
        <v>4</v>
      </c>
      <c r="AB211">
        <v>4</v>
      </c>
      <c r="AC211" t="s">
        <v>33</v>
      </c>
      <c r="AD211">
        <v>3</v>
      </c>
      <c r="AE211">
        <v>0</v>
      </c>
      <c r="AG211">
        <v>5</v>
      </c>
      <c r="AH211">
        <v>0</v>
      </c>
      <c r="AI211">
        <v>0</v>
      </c>
      <c r="AN211" t="s">
        <v>121</v>
      </c>
      <c r="AO211">
        <v>0</v>
      </c>
      <c r="AW211" t="s">
        <v>35</v>
      </c>
      <c r="AX211">
        <v>1</v>
      </c>
      <c r="AY211" t="s">
        <v>35</v>
      </c>
      <c r="AZ211">
        <v>12</v>
      </c>
      <c r="BA211">
        <v>0.4</v>
      </c>
      <c r="BB211">
        <v>7</v>
      </c>
      <c r="BC211">
        <v>1</v>
      </c>
      <c r="BD211">
        <f>BA211*BB211*1/7</f>
        <v>0.4</v>
      </c>
      <c r="BE211">
        <f>AM211+AU211+BD211</f>
        <v>0.4</v>
      </c>
      <c r="BF211" t="s">
        <v>35</v>
      </c>
      <c r="BG211">
        <v>0</v>
      </c>
      <c r="BH211">
        <v>7</v>
      </c>
      <c r="BI211">
        <v>1</v>
      </c>
      <c r="BJ211" t="s">
        <v>36</v>
      </c>
      <c r="BK211">
        <v>4</v>
      </c>
      <c r="BL211">
        <v>1</v>
      </c>
      <c r="BM211">
        <v>1</v>
      </c>
      <c r="BN211" t="s">
        <v>30</v>
      </c>
      <c r="BO211">
        <v>1</v>
      </c>
      <c r="BP211">
        <v>168</v>
      </c>
      <c r="BQ211">
        <v>0.13</v>
      </c>
      <c r="BR211">
        <v>2</v>
      </c>
      <c r="BS211">
        <v>0.26</v>
      </c>
      <c r="BT211">
        <f>BS211+BD211+AU211+AM211</f>
        <v>0.66</v>
      </c>
      <c r="BU211">
        <v>1</v>
      </c>
      <c r="BV211">
        <v>2</v>
      </c>
      <c r="BW211">
        <v>293</v>
      </c>
      <c r="BX211">
        <f>BW211/7</f>
        <v>41.857142857142854</v>
      </c>
      <c r="BY211">
        <f>0.00077*BX211</f>
        <v>3.2229999999999995E-2</v>
      </c>
      <c r="BZ211">
        <f t="shared" si="3"/>
        <v>0.69223000000000001</v>
      </c>
    </row>
    <row r="212" spans="1:78">
      <c r="A212" s="1">
        <v>45170.732403402777</v>
      </c>
      <c r="C212">
        <v>211</v>
      </c>
      <c r="D212" s="10">
        <v>32642</v>
      </c>
      <c r="E212">
        <v>34</v>
      </c>
      <c r="F212">
        <v>1</v>
      </c>
      <c r="G212">
        <v>1</v>
      </c>
      <c r="H212">
        <v>4</v>
      </c>
      <c r="I212" s="10">
        <v>44685</v>
      </c>
      <c r="J212">
        <v>1</v>
      </c>
      <c r="K212">
        <v>1</v>
      </c>
      <c r="L212">
        <v>2</v>
      </c>
      <c r="M212">
        <v>2960</v>
      </c>
      <c r="N212">
        <v>2</v>
      </c>
      <c r="O212" s="10">
        <v>44412</v>
      </c>
      <c r="P212">
        <v>1</v>
      </c>
      <c r="Q212">
        <v>39</v>
      </c>
      <c r="R212">
        <v>2</v>
      </c>
      <c r="S212">
        <v>71</v>
      </c>
      <c r="T212">
        <v>160</v>
      </c>
      <c r="U212">
        <v>81</v>
      </c>
      <c r="V212">
        <v>10</v>
      </c>
      <c r="W212">
        <v>2</v>
      </c>
      <c r="X212">
        <v>27.734374999999993</v>
      </c>
      <c r="Y212">
        <v>31.640624999999993</v>
      </c>
      <c r="Z212">
        <v>3.90625</v>
      </c>
      <c r="AA212">
        <v>3</v>
      </c>
      <c r="AB212">
        <v>4</v>
      </c>
      <c r="AC212" t="s">
        <v>33</v>
      </c>
      <c r="AD212">
        <v>3</v>
      </c>
      <c r="AE212">
        <v>0</v>
      </c>
      <c r="AG212">
        <v>5</v>
      </c>
      <c r="AH212">
        <v>1</v>
      </c>
      <c r="AI212">
        <v>25</v>
      </c>
      <c r="AJ212">
        <v>1</v>
      </c>
      <c r="AK212">
        <v>7</v>
      </c>
      <c r="AL212">
        <v>1</v>
      </c>
      <c r="AM212">
        <f>AJ212*AK212*AL212/7</f>
        <v>1</v>
      </c>
      <c r="AN212" t="s">
        <v>200</v>
      </c>
      <c r="AO212">
        <v>0</v>
      </c>
      <c r="AV212">
        <f>AU212+AM212</f>
        <v>1</v>
      </c>
      <c r="AX212">
        <v>0</v>
      </c>
      <c r="BE212">
        <f>AM212+AU212+BD212</f>
        <v>1</v>
      </c>
      <c r="BG212">
        <v>0</v>
      </c>
      <c r="BJ212" t="s">
        <v>42</v>
      </c>
      <c r="BK212">
        <v>6</v>
      </c>
      <c r="BL212">
        <v>1</v>
      </c>
      <c r="BM212">
        <v>1</v>
      </c>
      <c r="BN212" t="s">
        <v>37</v>
      </c>
      <c r="BO212">
        <v>4</v>
      </c>
      <c r="BP212">
        <v>110</v>
      </c>
      <c r="BQ212">
        <v>0.05</v>
      </c>
      <c r="BR212">
        <v>2</v>
      </c>
      <c r="BS212">
        <v>0.1</v>
      </c>
      <c r="BT212">
        <f>BS212+BD212+AU212+AM212</f>
        <v>1.1000000000000001</v>
      </c>
      <c r="BU212">
        <v>1</v>
      </c>
      <c r="BV212">
        <v>4</v>
      </c>
      <c r="BW212">
        <v>586</v>
      </c>
      <c r="BX212">
        <f>BW212/7</f>
        <v>83.714285714285708</v>
      </c>
      <c r="BY212">
        <f>0.00077*BX212</f>
        <v>6.445999999999999E-2</v>
      </c>
      <c r="BZ212">
        <f t="shared" si="3"/>
        <v>1.1644600000000001</v>
      </c>
    </row>
    <row r="213" spans="1:78">
      <c r="A213" s="1">
        <v>45170.801967928244</v>
      </c>
      <c r="C213">
        <v>212</v>
      </c>
      <c r="D213" s="10">
        <v>33835</v>
      </c>
      <c r="E213">
        <v>31</v>
      </c>
      <c r="F213">
        <v>1</v>
      </c>
      <c r="G213">
        <v>1</v>
      </c>
      <c r="H213">
        <v>4</v>
      </c>
      <c r="I213" s="10">
        <v>43866</v>
      </c>
      <c r="J213">
        <v>2</v>
      </c>
      <c r="K213">
        <v>0</v>
      </c>
      <c r="L213">
        <v>2</v>
      </c>
      <c r="M213">
        <v>3190</v>
      </c>
      <c r="N213">
        <v>2</v>
      </c>
      <c r="O213" s="10">
        <v>43588</v>
      </c>
      <c r="P213">
        <v>0</v>
      </c>
      <c r="Q213">
        <v>39.714285714285715</v>
      </c>
      <c r="R213">
        <v>2</v>
      </c>
      <c r="S213">
        <v>56</v>
      </c>
      <c r="T213">
        <v>162</v>
      </c>
      <c r="U213">
        <v>65</v>
      </c>
      <c r="V213">
        <v>9</v>
      </c>
      <c r="W213">
        <v>1</v>
      </c>
      <c r="X213">
        <v>21.338210638622158</v>
      </c>
      <c r="Y213">
        <v>24.767565919829291</v>
      </c>
      <c r="Z213">
        <v>3.4293552812071333</v>
      </c>
      <c r="AA213">
        <v>2</v>
      </c>
      <c r="AB213">
        <v>2</v>
      </c>
      <c r="AC213" t="s">
        <v>33</v>
      </c>
      <c r="AD213">
        <v>3</v>
      </c>
      <c r="AE213">
        <v>0</v>
      </c>
      <c r="AG213">
        <v>5</v>
      </c>
      <c r="AH213">
        <v>1</v>
      </c>
      <c r="AI213">
        <v>1</v>
      </c>
      <c r="AJ213">
        <v>1</v>
      </c>
      <c r="AK213">
        <v>7</v>
      </c>
      <c r="AL213">
        <v>1</v>
      </c>
      <c r="AM213">
        <f>AJ213*AK213*AL213/7</f>
        <v>1</v>
      </c>
      <c r="AN213" t="s">
        <v>56</v>
      </c>
      <c r="AO213">
        <v>0</v>
      </c>
      <c r="AV213">
        <f>AU213+AM213</f>
        <v>1</v>
      </c>
      <c r="AX213">
        <v>0</v>
      </c>
      <c r="BE213">
        <f>AM213+AU213+BD213</f>
        <v>1</v>
      </c>
      <c r="BG213">
        <v>0</v>
      </c>
      <c r="BJ213" t="s">
        <v>49</v>
      </c>
      <c r="BK213">
        <v>5</v>
      </c>
      <c r="BL213">
        <v>1</v>
      </c>
      <c r="BM213">
        <v>1</v>
      </c>
      <c r="BN213" t="s">
        <v>55</v>
      </c>
      <c r="BO213">
        <v>2</v>
      </c>
      <c r="BP213">
        <v>134</v>
      </c>
      <c r="BQ213">
        <v>0.1</v>
      </c>
      <c r="BR213">
        <v>2</v>
      </c>
      <c r="BS213">
        <v>0.2</v>
      </c>
      <c r="BT213">
        <f>BS213+BD213+AU213+AM213</f>
        <v>1.2</v>
      </c>
      <c r="BU213">
        <v>1</v>
      </c>
      <c r="BV213">
        <v>1</v>
      </c>
      <c r="BW213">
        <v>146.5</v>
      </c>
      <c r="BX213">
        <f>BW213/7</f>
        <v>20.928571428571427</v>
      </c>
      <c r="BY213">
        <f>0.00077*BX213</f>
        <v>1.6114999999999997E-2</v>
      </c>
      <c r="BZ213">
        <f t="shared" si="3"/>
        <v>1.2161150000000001</v>
      </c>
    </row>
    <row r="214" spans="1:78">
      <c r="A214" s="1">
        <v>45170.831036423609</v>
      </c>
      <c r="C214">
        <v>213</v>
      </c>
      <c r="D214" s="10">
        <v>31515</v>
      </c>
      <c r="E214">
        <v>37</v>
      </c>
      <c r="F214">
        <v>1</v>
      </c>
      <c r="G214">
        <v>1</v>
      </c>
      <c r="H214">
        <v>4</v>
      </c>
      <c r="I214" s="10">
        <v>44608</v>
      </c>
      <c r="J214">
        <v>2</v>
      </c>
      <c r="K214">
        <v>0</v>
      </c>
      <c r="L214">
        <v>2</v>
      </c>
      <c r="M214">
        <v>3190</v>
      </c>
      <c r="N214">
        <v>2</v>
      </c>
      <c r="O214" s="10">
        <v>44342</v>
      </c>
      <c r="P214">
        <v>1</v>
      </c>
      <c r="Q214">
        <v>38</v>
      </c>
      <c r="R214">
        <v>2</v>
      </c>
      <c r="S214">
        <v>70</v>
      </c>
      <c r="T214">
        <v>172</v>
      </c>
      <c r="U214">
        <v>78</v>
      </c>
      <c r="V214">
        <v>8</v>
      </c>
      <c r="W214">
        <v>1</v>
      </c>
      <c r="X214">
        <v>23.661438615467823</v>
      </c>
      <c r="Y214">
        <v>26.365603028664147</v>
      </c>
      <c r="Z214">
        <v>2.7041644131963238</v>
      </c>
      <c r="AA214">
        <v>2</v>
      </c>
      <c r="AB214">
        <v>3</v>
      </c>
      <c r="AC214" t="s">
        <v>33</v>
      </c>
      <c r="AD214">
        <v>3</v>
      </c>
      <c r="AE214">
        <v>0</v>
      </c>
      <c r="AG214">
        <v>5</v>
      </c>
      <c r="AH214">
        <v>1</v>
      </c>
      <c r="AI214">
        <v>5</v>
      </c>
      <c r="AJ214">
        <v>5</v>
      </c>
      <c r="AK214">
        <v>7</v>
      </c>
      <c r="AL214">
        <v>1</v>
      </c>
      <c r="AM214">
        <f>AJ214*AK214*AL214/7</f>
        <v>5</v>
      </c>
      <c r="AN214" t="s">
        <v>27</v>
      </c>
      <c r="AO214">
        <v>0</v>
      </c>
      <c r="AV214">
        <f>AU214+AM214</f>
        <v>5</v>
      </c>
      <c r="AW214" t="s">
        <v>201</v>
      </c>
      <c r="AX214">
        <v>0</v>
      </c>
      <c r="BE214">
        <f>AM214+AU214+BD214</f>
        <v>5</v>
      </c>
      <c r="BF214" t="s">
        <v>201</v>
      </c>
      <c r="BG214">
        <v>1</v>
      </c>
      <c r="BH214">
        <v>7</v>
      </c>
      <c r="BI214">
        <v>1</v>
      </c>
      <c r="BJ214" t="s">
        <v>49</v>
      </c>
      <c r="BK214">
        <v>5</v>
      </c>
      <c r="BL214">
        <v>3</v>
      </c>
      <c r="BM214">
        <v>1</v>
      </c>
      <c r="BN214" t="s">
        <v>30</v>
      </c>
      <c r="BO214">
        <v>1</v>
      </c>
      <c r="BP214">
        <v>84</v>
      </c>
      <c r="BQ214">
        <v>0.13</v>
      </c>
      <c r="BR214">
        <v>1</v>
      </c>
      <c r="BS214">
        <v>0.13</v>
      </c>
      <c r="BT214">
        <f>BS214+BD214+AU214+AM214</f>
        <v>5.13</v>
      </c>
      <c r="BU214">
        <v>1</v>
      </c>
      <c r="BV214">
        <v>1</v>
      </c>
      <c r="BW214">
        <v>146.5</v>
      </c>
      <c r="BX214">
        <f>BW214/7</f>
        <v>20.928571428571427</v>
      </c>
      <c r="BY214">
        <f>0.00077*BX214</f>
        <v>1.6114999999999997E-2</v>
      </c>
      <c r="BZ214">
        <f t="shared" si="3"/>
        <v>5.146115</v>
      </c>
    </row>
    <row r="215" spans="1:78">
      <c r="A215" s="1">
        <v>45170.840560682875</v>
      </c>
      <c r="C215">
        <v>214</v>
      </c>
      <c r="D215" s="10">
        <v>32613</v>
      </c>
      <c r="E215">
        <v>34</v>
      </c>
      <c r="F215">
        <v>1</v>
      </c>
      <c r="G215">
        <v>2</v>
      </c>
      <c r="H215">
        <v>5</v>
      </c>
      <c r="I215" s="10">
        <v>44034</v>
      </c>
      <c r="J215">
        <v>1</v>
      </c>
      <c r="K215">
        <v>1</v>
      </c>
      <c r="L215">
        <v>2</v>
      </c>
      <c r="M215">
        <v>3950</v>
      </c>
      <c r="N215">
        <v>2</v>
      </c>
      <c r="O215" s="10">
        <v>43753</v>
      </c>
      <c r="P215">
        <v>0</v>
      </c>
      <c r="Q215">
        <v>40.142857142857146</v>
      </c>
      <c r="R215">
        <v>2</v>
      </c>
      <c r="S215">
        <v>63</v>
      </c>
      <c r="T215">
        <v>161</v>
      </c>
      <c r="U215">
        <v>74</v>
      </c>
      <c r="V215">
        <v>11</v>
      </c>
      <c r="W215">
        <v>1</v>
      </c>
      <c r="X215">
        <v>24.304617877396701</v>
      </c>
      <c r="Y215">
        <v>28.548281316307239</v>
      </c>
      <c r="Z215">
        <v>4.2436634389105379</v>
      </c>
      <c r="AA215">
        <v>2</v>
      </c>
      <c r="AB215">
        <v>3</v>
      </c>
      <c r="AC215" t="s">
        <v>123</v>
      </c>
      <c r="AD215">
        <v>2</v>
      </c>
      <c r="AE215">
        <v>0</v>
      </c>
      <c r="AG215">
        <v>5</v>
      </c>
      <c r="AH215">
        <v>0</v>
      </c>
      <c r="AI215">
        <v>0</v>
      </c>
      <c r="AN215" t="s">
        <v>41</v>
      </c>
      <c r="AO215">
        <v>0</v>
      </c>
      <c r="AW215" t="s">
        <v>203</v>
      </c>
      <c r="AX215">
        <v>1</v>
      </c>
      <c r="AY215" t="s">
        <v>876</v>
      </c>
      <c r="AZ215">
        <v>1</v>
      </c>
      <c r="BA215">
        <v>0.8</v>
      </c>
      <c r="BB215">
        <v>7</v>
      </c>
      <c r="BC215">
        <v>1</v>
      </c>
      <c r="BD215">
        <f>BA215*BB215*1/7</f>
        <v>0.8</v>
      </c>
      <c r="BE215">
        <f>AM215+AU215+BD215</f>
        <v>0.8</v>
      </c>
      <c r="BF215" t="s">
        <v>891</v>
      </c>
      <c r="BG215">
        <v>1</v>
      </c>
      <c r="BH215">
        <v>7</v>
      </c>
      <c r="BI215">
        <v>1</v>
      </c>
      <c r="BJ215" t="s">
        <v>42</v>
      </c>
      <c r="BK215">
        <v>6</v>
      </c>
      <c r="BL215">
        <v>1</v>
      </c>
      <c r="BM215">
        <v>1</v>
      </c>
      <c r="BN215" t="s">
        <v>37</v>
      </c>
      <c r="BO215">
        <v>4</v>
      </c>
      <c r="BP215">
        <v>55</v>
      </c>
      <c r="BQ215">
        <v>0.05</v>
      </c>
      <c r="BR215">
        <v>1</v>
      </c>
      <c r="BS215">
        <v>0.05</v>
      </c>
      <c r="BT215">
        <f>BS215+BD215+AU215+AM215</f>
        <v>0.85000000000000009</v>
      </c>
      <c r="BU215">
        <v>1</v>
      </c>
      <c r="BV215">
        <v>1</v>
      </c>
      <c r="BW215">
        <v>146.5</v>
      </c>
      <c r="BX215">
        <f>BW215/7</f>
        <v>20.928571428571427</v>
      </c>
      <c r="BY215">
        <f>0.00077*BX215</f>
        <v>1.6114999999999997E-2</v>
      </c>
      <c r="BZ215">
        <f t="shared" si="3"/>
        <v>0.86611500000000008</v>
      </c>
    </row>
    <row r="216" spans="1:78">
      <c r="A216" s="1">
        <v>45170.848678344904</v>
      </c>
      <c r="C216">
        <v>215</v>
      </c>
      <c r="D216" s="10">
        <v>34652</v>
      </c>
      <c r="E216">
        <v>28</v>
      </c>
      <c r="F216">
        <v>1</v>
      </c>
      <c r="G216">
        <v>4</v>
      </c>
      <c r="H216">
        <v>4</v>
      </c>
      <c r="I216" s="10">
        <v>45137</v>
      </c>
      <c r="J216">
        <v>2</v>
      </c>
      <c r="K216">
        <v>0</v>
      </c>
      <c r="L216">
        <v>2</v>
      </c>
      <c r="M216">
        <v>3300</v>
      </c>
      <c r="N216">
        <v>2</v>
      </c>
      <c r="O216" s="10">
        <v>44859</v>
      </c>
      <c r="P216">
        <v>0</v>
      </c>
      <c r="Q216">
        <v>39.714285714285715</v>
      </c>
      <c r="R216">
        <v>2</v>
      </c>
      <c r="S216">
        <v>55</v>
      </c>
      <c r="T216">
        <v>165</v>
      </c>
      <c r="U216">
        <v>73</v>
      </c>
      <c r="V216">
        <v>18</v>
      </c>
      <c r="W216">
        <v>3</v>
      </c>
      <c r="X216">
        <v>20.202020202020204</v>
      </c>
      <c r="Y216">
        <v>26.813590449954088</v>
      </c>
      <c r="Z216">
        <v>6.6115702479338836</v>
      </c>
      <c r="AA216">
        <v>2</v>
      </c>
      <c r="AB216">
        <v>3</v>
      </c>
      <c r="AC216" t="s">
        <v>33</v>
      </c>
      <c r="AD216">
        <v>3</v>
      </c>
      <c r="AE216">
        <v>0</v>
      </c>
      <c r="AG216">
        <v>5</v>
      </c>
      <c r="AH216">
        <v>0</v>
      </c>
      <c r="AI216">
        <v>0</v>
      </c>
      <c r="AO216">
        <v>0</v>
      </c>
      <c r="AW216" t="s">
        <v>96</v>
      </c>
      <c r="AX216">
        <v>1</v>
      </c>
      <c r="AY216" t="s">
        <v>96</v>
      </c>
      <c r="AZ216">
        <v>4</v>
      </c>
      <c r="BA216">
        <v>0.2</v>
      </c>
      <c r="BB216">
        <v>7</v>
      </c>
      <c r="BC216">
        <v>1</v>
      </c>
      <c r="BD216">
        <f>BA216*BB216*1/7</f>
        <v>0.2</v>
      </c>
      <c r="BE216">
        <f>AM216+AU216+BD216</f>
        <v>0.2</v>
      </c>
      <c r="BF216" t="s">
        <v>96</v>
      </c>
      <c r="BG216">
        <v>0</v>
      </c>
      <c r="BH216">
        <v>7</v>
      </c>
      <c r="BI216">
        <v>1</v>
      </c>
      <c r="BJ216" t="s">
        <v>49</v>
      </c>
      <c r="BK216">
        <v>5</v>
      </c>
      <c r="BL216">
        <v>1</v>
      </c>
      <c r="BM216">
        <v>1</v>
      </c>
      <c r="BN216" t="s">
        <v>30</v>
      </c>
      <c r="BO216">
        <v>1</v>
      </c>
      <c r="BP216">
        <v>252</v>
      </c>
      <c r="BQ216">
        <v>0.13</v>
      </c>
      <c r="BR216">
        <v>3</v>
      </c>
      <c r="BS216">
        <v>0.39</v>
      </c>
      <c r="BT216">
        <f>BS216+BD216+AU216+AM216</f>
        <v>0.59000000000000008</v>
      </c>
      <c r="BU216">
        <v>1</v>
      </c>
      <c r="BV216">
        <v>2</v>
      </c>
      <c r="BW216">
        <v>293</v>
      </c>
      <c r="BX216">
        <f>BW216/7</f>
        <v>41.857142857142854</v>
      </c>
      <c r="BY216">
        <f>0.00077*BX216</f>
        <v>3.2229999999999995E-2</v>
      </c>
      <c r="BZ216">
        <f t="shared" si="3"/>
        <v>0.62223000000000006</v>
      </c>
    </row>
    <row r="217" spans="1:78">
      <c r="A217" s="1">
        <v>45170.850033680559</v>
      </c>
      <c r="B217" t="s">
        <v>865</v>
      </c>
      <c r="C217">
        <v>216</v>
      </c>
      <c r="D217" s="10">
        <v>33420</v>
      </c>
      <c r="E217">
        <v>32</v>
      </c>
      <c r="F217">
        <v>1</v>
      </c>
      <c r="G217">
        <v>11</v>
      </c>
      <c r="H217">
        <v>4</v>
      </c>
      <c r="I217" s="10">
        <v>44896</v>
      </c>
      <c r="J217">
        <v>1</v>
      </c>
      <c r="K217">
        <v>1</v>
      </c>
      <c r="L217">
        <v>2</v>
      </c>
      <c r="M217">
        <v>2950</v>
      </c>
      <c r="N217">
        <v>2</v>
      </c>
      <c r="O217" s="10">
        <v>44623</v>
      </c>
      <c r="P217">
        <v>0</v>
      </c>
      <c r="Q217">
        <v>39</v>
      </c>
      <c r="R217">
        <v>2</v>
      </c>
      <c r="S217">
        <v>64</v>
      </c>
      <c r="T217">
        <v>150</v>
      </c>
      <c r="U217">
        <v>76</v>
      </c>
      <c r="V217">
        <v>12</v>
      </c>
      <c r="W217">
        <v>3</v>
      </c>
      <c r="X217">
        <v>28.444444444444443</v>
      </c>
      <c r="Y217">
        <v>33.777777777777779</v>
      </c>
      <c r="Z217">
        <v>5.3333333333333357</v>
      </c>
      <c r="AA217">
        <v>3</v>
      </c>
      <c r="AB217">
        <v>4</v>
      </c>
      <c r="AC217" t="s">
        <v>33</v>
      </c>
      <c r="AD217">
        <v>3</v>
      </c>
      <c r="AE217">
        <v>0</v>
      </c>
      <c r="AG217">
        <v>5</v>
      </c>
      <c r="AH217">
        <v>1</v>
      </c>
      <c r="AI217">
        <v>13</v>
      </c>
      <c r="AJ217">
        <v>1</v>
      </c>
      <c r="AK217">
        <v>7</v>
      </c>
      <c r="AL217">
        <v>1</v>
      </c>
      <c r="AM217">
        <f>AJ217*AK217*AL217/7</f>
        <v>1</v>
      </c>
      <c r="AN217" t="s">
        <v>79</v>
      </c>
      <c r="AO217">
        <v>0</v>
      </c>
      <c r="AV217">
        <f>AU217+AM217</f>
        <v>1</v>
      </c>
      <c r="AW217" t="s">
        <v>655</v>
      </c>
      <c r="AX217">
        <v>1</v>
      </c>
      <c r="AY217" t="s">
        <v>655</v>
      </c>
      <c r="AZ217">
        <v>16</v>
      </c>
      <c r="BA217" t="s">
        <v>258</v>
      </c>
      <c r="BB217">
        <v>7</v>
      </c>
      <c r="BC217">
        <v>1</v>
      </c>
      <c r="BE217">
        <f>AM217+AU217+BD217</f>
        <v>1</v>
      </c>
      <c r="BF217" t="s">
        <v>655</v>
      </c>
      <c r="BG217" t="s">
        <v>258</v>
      </c>
      <c r="BH217">
        <v>7</v>
      </c>
      <c r="BI217">
        <v>1</v>
      </c>
      <c r="BJ217" t="s">
        <v>49</v>
      </c>
      <c r="BK217">
        <v>5</v>
      </c>
      <c r="BL217">
        <v>4</v>
      </c>
      <c r="BM217">
        <v>1</v>
      </c>
      <c r="BN217" t="s">
        <v>30</v>
      </c>
      <c r="BO217">
        <v>1</v>
      </c>
      <c r="BP217">
        <v>168</v>
      </c>
      <c r="BQ217">
        <v>0.13</v>
      </c>
      <c r="BR217">
        <v>2</v>
      </c>
      <c r="BS217">
        <v>0.26</v>
      </c>
      <c r="BT217">
        <f>BS217+BD217+AU217+AM217</f>
        <v>1.26</v>
      </c>
      <c r="BU217">
        <v>1</v>
      </c>
      <c r="BV217">
        <v>1</v>
      </c>
      <c r="BW217">
        <v>146.5</v>
      </c>
      <c r="BX217">
        <f>BW217/7</f>
        <v>20.928571428571427</v>
      </c>
      <c r="BY217">
        <f>0.00077*BX217</f>
        <v>1.6114999999999997E-2</v>
      </c>
      <c r="BZ217">
        <f t="shared" si="3"/>
        <v>1.2761150000000001</v>
      </c>
    </row>
    <row r="218" spans="1:78">
      <c r="A218" s="1">
        <v>45170.867131689811</v>
      </c>
      <c r="C218">
        <v>217</v>
      </c>
      <c r="D218" s="10">
        <v>31156</v>
      </c>
      <c r="E218">
        <v>38</v>
      </c>
      <c r="F218">
        <v>1</v>
      </c>
      <c r="G218">
        <v>1</v>
      </c>
      <c r="H218">
        <v>5</v>
      </c>
      <c r="I218" s="10">
        <v>43665</v>
      </c>
      <c r="J218">
        <v>1</v>
      </c>
      <c r="K218">
        <v>1</v>
      </c>
      <c r="L218">
        <v>2</v>
      </c>
      <c r="M218">
        <v>3040</v>
      </c>
      <c r="N218">
        <v>2</v>
      </c>
      <c r="O218" s="10">
        <v>43390</v>
      </c>
      <c r="P218">
        <v>0</v>
      </c>
      <c r="Q218">
        <v>39.285714285714285</v>
      </c>
      <c r="R218">
        <v>2</v>
      </c>
      <c r="S218">
        <v>67</v>
      </c>
      <c r="T218">
        <v>158</v>
      </c>
      <c r="U218">
        <v>72</v>
      </c>
      <c r="V218">
        <v>5</v>
      </c>
      <c r="W218">
        <v>1</v>
      </c>
      <c r="X218">
        <v>26.83864765261977</v>
      </c>
      <c r="Y218">
        <v>28.841531805800347</v>
      </c>
      <c r="Z218">
        <v>2.0028841531805774</v>
      </c>
      <c r="AA218">
        <v>3</v>
      </c>
      <c r="AB218">
        <v>3</v>
      </c>
      <c r="AC218" t="s">
        <v>44</v>
      </c>
      <c r="AD218">
        <v>1</v>
      </c>
      <c r="AE218">
        <v>0</v>
      </c>
      <c r="AG218">
        <v>5</v>
      </c>
      <c r="AH218">
        <v>1</v>
      </c>
      <c r="AI218">
        <v>4</v>
      </c>
      <c r="AJ218">
        <v>1</v>
      </c>
      <c r="AK218">
        <v>7</v>
      </c>
      <c r="AL218">
        <v>1</v>
      </c>
      <c r="AM218">
        <f>AJ218*AK218*AL218/7</f>
        <v>1</v>
      </c>
      <c r="AN218" t="s">
        <v>43</v>
      </c>
      <c r="AO218">
        <v>0</v>
      </c>
      <c r="AV218">
        <f>AU218+AM218</f>
        <v>1</v>
      </c>
      <c r="AW218" t="s">
        <v>204</v>
      </c>
      <c r="AX218">
        <v>1</v>
      </c>
      <c r="AY218" t="s">
        <v>204</v>
      </c>
      <c r="AZ218">
        <v>14</v>
      </c>
      <c r="BA218">
        <v>0.5</v>
      </c>
      <c r="BB218">
        <v>7</v>
      </c>
      <c r="BC218">
        <v>1</v>
      </c>
      <c r="BD218">
        <f>BA218*BB218*1/7</f>
        <v>0.5</v>
      </c>
      <c r="BE218">
        <f>AM218+AU218+BD218</f>
        <v>1.5</v>
      </c>
      <c r="BF218" t="s">
        <v>204</v>
      </c>
      <c r="BG218">
        <v>0</v>
      </c>
      <c r="BH218">
        <v>7</v>
      </c>
      <c r="BI218">
        <v>1</v>
      </c>
      <c r="BJ218" t="s">
        <v>49</v>
      </c>
      <c r="BK218">
        <v>5</v>
      </c>
      <c r="BL218">
        <v>2</v>
      </c>
      <c r="BM218">
        <v>1</v>
      </c>
      <c r="BN218" t="s">
        <v>37</v>
      </c>
      <c r="BO218">
        <v>4</v>
      </c>
      <c r="BP218">
        <v>220</v>
      </c>
      <c r="BQ218">
        <v>0.05</v>
      </c>
      <c r="BR218">
        <v>4</v>
      </c>
      <c r="BS218">
        <v>0.2</v>
      </c>
      <c r="BT218">
        <f>BS218+BD218+AU218+AM218</f>
        <v>1.7</v>
      </c>
      <c r="BU218">
        <v>1</v>
      </c>
      <c r="BV218">
        <v>1</v>
      </c>
      <c r="BW218">
        <v>146.5</v>
      </c>
      <c r="BX218">
        <f>BW218/7</f>
        <v>20.928571428571427</v>
      </c>
      <c r="BY218">
        <f>0.00077*BX218</f>
        <v>1.6114999999999997E-2</v>
      </c>
      <c r="BZ218">
        <f t="shared" si="3"/>
        <v>1.7161150000000001</v>
      </c>
    </row>
    <row r="219" spans="1:78">
      <c r="A219" s="1">
        <v>45170.887350844903</v>
      </c>
      <c r="C219">
        <v>218</v>
      </c>
      <c r="D219" s="10">
        <v>34623</v>
      </c>
      <c r="E219">
        <v>28</v>
      </c>
      <c r="F219">
        <v>1</v>
      </c>
      <c r="G219">
        <v>4</v>
      </c>
      <c r="H219">
        <v>2</v>
      </c>
      <c r="I219" s="10">
        <v>45109</v>
      </c>
      <c r="J219">
        <v>2</v>
      </c>
      <c r="K219">
        <v>0</v>
      </c>
      <c r="L219">
        <v>1</v>
      </c>
      <c r="M219">
        <v>3220</v>
      </c>
      <c r="N219">
        <v>2</v>
      </c>
      <c r="O219" s="10">
        <v>44843</v>
      </c>
      <c r="P219">
        <v>0</v>
      </c>
      <c r="Q219">
        <v>38</v>
      </c>
      <c r="R219">
        <v>2</v>
      </c>
      <c r="S219">
        <v>63</v>
      </c>
      <c r="T219">
        <v>161</v>
      </c>
      <c r="U219">
        <v>73</v>
      </c>
      <c r="V219">
        <v>10</v>
      </c>
      <c r="W219">
        <v>1</v>
      </c>
      <c r="X219">
        <v>24.304617877396701</v>
      </c>
      <c r="Y219">
        <v>28.162493730951734</v>
      </c>
      <c r="Z219">
        <v>3.8578758535550328</v>
      </c>
      <c r="AA219">
        <v>2</v>
      </c>
      <c r="AB219">
        <v>3</v>
      </c>
      <c r="AC219" t="s">
        <v>33</v>
      </c>
      <c r="AD219">
        <v>3</v>
      </c>
      <c r="AE219">
        <v>0</v>
      </c>
      <c r="AG219">
        <v>5</v>
      </c>
      <c r="AH219">
        <v>1</v>
      </c>
      <c r="AI219">
        <v>7</v>
      </c>
      <c r="AJ219">
        <v>5</v>
      </c>
      <c r="AK219">
        <v>7</v>
      </c>
      <c r="AL219">
        <v>1</v>
      </c>
      <c r="AM219">
        <f>AJ219*AK219*AL219/7</f>
        <v>5</v>
      </c>
      <c r="AN219" t="s">
        <v>206</v>
      </c>
      <c r="AO219">
        <v>0</v>
      </c>
      <c r="AV219">
        <f>AU219+AM219</f>
        <v>5</v>
      </c>
      <c r="AW219" t="s">
        <v>207</v>
      </c>
      <c r="AX219">
        <v>1</v>
      </c>
      <c r="AY219" t="s">
        <v>207</v>
      </c>
      <c r="AZ219">
        <v>6</v>
      </c>
      <c r="BA219">
        <v>0.3</v>
      </c>
      <c r="BB219">
        <v>7</v>
      </c>
      <c r="BC219">
        <v>1</v>
      </c>
      <c r="BD219">
        <f>BA219*BB219*1/7</f>
        <v>0.3</v>
      </c>
      <c r="BE219">
        <f>AM219+AU219+BD219</f>
        <v>5.3</v>
      </c>
      <c r="BF219" t="s">
        <v>207</v>
      </c>
      <c r="BG219">
        <v>0</v>
      </c>
      <c r="BH219">
        <v>7</v>
      </c>
      <c r="BI219">
        <v>1</v>
      </c>
      <c r="BJ219" t="s">
        <v>49</v>
      </c>
      <c r="BK219">
        <v>5</v>
      </c>
      <c r="BL219">
        <v>1</v>
      </c>
      <c r="BM219">
        <v>1</v>
      </c>
      <c r="BN219" t="s">
        <v>55</v>
      </c>
      <c r="BO219">
        <v>2</v>
      </c>
      <c r="BP219">
        <v>201</v>
      </c>
      <c r="BQ219">
        <v>0.1</v>
      </c>
      <c r="BR219">
        <v>3</v>
      </c>
      <c r="BS219">
        <v>0.30000000000000004</v>
      </c>
      <c r="BT219">
        <f>BS219+BD219+AU219+AM219</f>
        <v>5.6</v>
      </c>
      <c r="BU219">
        <v>1</v>
      </c>
      <c r="BV219">
        <v>3</v>
      </c>
      <c r="BW219">
        <v>439.5</v>
      </c>
      <c r="BX219">
        <f>BW219/7</f>
        <v>62.785714285714285</v>
      </c>
      <c r="BY219">
        <f>0.00077*BX219</f>
        <v>4.8344999999999999E-2</v>
      </c>
      <c r="BZ219">
        <f t="shared" si="3"/>
        <v>5.6483449999999999</v>
      </c>
    </row>
    <row r="220" spans="1:78">
      <c r="A220" s="1">
        <v>45170.893454467594</v>
      </c>
      <c r="C220">
        <v>219</v>
      </c>
      <c r="D220" s="10">
        <v>32216</v>
      </c>
      <c r="E220">
        <v>35</v>
      </c>
      <c r="F220">
        <v>1</v>
      </c>
      <c r="G220">
        <v>1</v>
      </c>
      <c r="H220">
        <v>5</v>
      </c>
      <c r="I220" s="10">
        <v>44840</v>
      </c>
      <c r="J220">
        <v>1</v>
      </c>
      <c r="K220">
        <v>1</v>
      </c>
      <c r="L220">
        <v>2</v>
      </c>
      <c r="M220">
        <v>2870</v>
      </c>
      <c r="N220">
        <v>2</v>
      </c>
      <c r="O220" s="10">
        <v>44567</v>
      </c>
      <c r="P220">
        <v>0</v>
      </c>
      <c r="Q220">
        <v>39</v>
      </c>
      <c r="R220">
        <v>2</v>
      </c>
      <c r="S220">
        <v>66</v>
      </c>
      <c r="T220">
        <v>156</v>
      </c>
      <c r="U220">
        <v>70</v>
      </c>
      <c r="V220">
        <v>4</v>
      </c>
      <c r="W220">
        <v>1</v>
      </c>
      <c r="X220">
        <v>27.12031558185404</v>
      </c>
      <c r="Y220">
        <v>28.763971071663377</v>
      </c>
      <c r="Z220">
        <v>1.643655489809337</v>
      </c>
      <c r="AA220">
        <v>3</v>
      </c>
      <c r="AB220">
        <v>3</v>
      </c>
      <c r="AC220" t="s">
        <v>33</v>
      </c>
      <c r="AD220">
        <v>3</v>
      </c>
      <c r="AE220">
        <v>0</v>
      </c>
      <c r="AG220">
        <v>5</v>
      </c>
      <c r="AH220">
        <v>1</v>
      </c>
      <c r="AI220">
        <v>13</v>
      </c>
      <c r="AJ220">
        <v>1</v>
      </c>
      <c r="AK220">
        <v>7</v>
      </c>
      <c r="AL220">
        <v>1</v>
      </c>
      <c r="AM220">
        <f>AJ220*AK220*AL220/7</f>
        <v>1</v>
      </c>
      <c r="AN220" t="s">
        <v>79</v>
      </c>
      <c r="AO220">
        <v>0</v>
      </c>
      <c r="AV220">
        <f>AU220+AM220</f>
        <v>1</v>
      </c>
      <c r="AW220" t="s">
        <v>208</v>
      </c>
      <c r="AX220">
        <v>1</v>
      </c>
      <c r="AY220" t="s">
        <v>208</v>
      </c>
      <c r="AZ220">
        <v>10</v>
      </c>
      <c r="BA220">
        <v>0.5</v>
      </c>
      <c r="BB220">
        <v>7</v>
      </c>
      <c r="BC220">
        <v>1</v>
      </c>
      <c r="BD220">
        <f>BA220*BB220*1/7</f>
        <v>0.5</v>
      </c>
      <c r="BE220">
        <f>AM220+AU220+BD220</f>
        <v>1.5</v>
      </c>
      <c r="BF220" t="s">
        <v>208</v>
      </c>
      <c r="BG220">
        <v>0</v>
      </c>
      <c r="BH220">
        <v>7</v>
      </c>
      <c r="BI220">
        <v>1</v>
      </c>
      <c r="BJ220" t="s">
        <v>28</v>
      </c>
      <c r="BK220">
        <v>3</v>
      </c>
      <c r="BL220">
        <v>3</v>
      </c>
      <c r="BM220">
        <v>1</v>
      </c>
      <c r="BN220" t="s">
        <v>30</v>
      </c>
      <c r="BO220">
        <v>1</v>
      </c>
      <c r="BP220">
        <v>336</v>
      </c>
      <c r="BQ220">
        <v>0.13</v>
      </c>
      <c r="BR220">
        <v>4</v>
      </c>
      <c r="BS220">
        <v>0.52</v>
      </c>
      <c r="BT220">
        <f>BS220+BD220+AU220+AM220</f>
        <v>2.02</v>
      </c>
      <c r="BU220">
        <v>1</v>
      </c>
      <c r="BV220">
        <v>1</v>
      </c>
      <c r="BW220">
        <v>146.5</v>
      </c>
      <c r="BX220">
        <f>BW220/7</f>
        <v>20.928571428571427</v>
      </c>
      <c r="BY220">
        <f>0.00077*BX220</f>
        <v>1.6114999999999997E-2</v>
      </c>
      <c r="BZ220">
        <f t="shared" si="3"/>
        <v>2.0361150000000001</v>
      </c>
    </row>
    <row r="221" spans="1:78">
      <c r="A221" s="1">
        <v>45170.893878692128</v>
      </c>
      <c r="C221">
        <v>220</v>
      </c>
      <c r="D221" s="10">
        <v>33508</v>
      </c>
      <c r="E221">
        <v>31</v>
      </c>
      <c r="F221">
        <v>1</v>
      </c>
      <c r="G221">
        <v>9</v>
      </c>
      <c r="H221">
        <v>4</v>
      </c>
      <c r="I221" s="10">
        <v>44016</v>
      </c>
      <c r="J221">
        <v>1</v>
      </c>
      <c r="K221">
        <v>1</v>
      </c>
      <c r="L221">
        <v>2</v>
      </c>
      <c r="M221">
        <v>3005</v>
      </c>
      <c r="N221">
        <v>2</v>
      </c>
      <c r="O221" s="10">
        <v>43750</v>
      </c>
      <c r="P221">
        <v>0</v>
      </c>
      <c r="Q221">
        <v>38</v>
      </c>
      <c r="R221">
        <v>2</v>
      </c>
      <c r="S221">
        <v>57</v>
      </c>
      <c r="T221">
        <v>157</v>
      </c>
      <c r="U221">
        <v>67</v>
      </c>
      <c r="V221">
        <v>10</v>
      </c>
      <c r="W221">
        <v>1</v>
      </c>
      <c r="X221">
        <v>23.124670372023203</v>
      </c>
      <c r="Y221">
        <v>27.181630086413239</v>
      </c>
      <c r="Z221">
        <v>4.056959714390036</v>
      </c>
      <c r="AA221">
        <v>2</v>
      </c>
      <c r="AB221">
        <v>3</v>
      </c>
      <c r="AC221" t="s">
        <v>33</v>
      </c>
      <c r="AD221">
        <v>3</v>
      </c>
      <c r="AE221">
        <v>0</v>
      </c>
      <c r="AG221">
        <v>5</v>
      </c>
      <c r="AH221">
        <v>0</v>
      </c>
      <c r="AI221">
        <v>0</v>
      </c>
      <c r="AN221" t="s">
        <v>209</v>
      </c>
      <c r="AO221">
        <v>0</v>
      </c>
      <c r="AX221">
        <v>1</v>
      </c>
      <c r="AY221" t="s">
        <v>880</v>
      </c>
      <c r="AZ221">
        <v>4</v>
      </c>
      <c r="BA221">
        <v>0.2</v>
      </c>
      <c r="BB221">
        <v>7</v>
      </c>
      <c r="BC221">
        <v>1</v>
      </c>
      <c r="BD221">
        <f>BA221*BB221*1/7</f>
        <v>0.2</v>
      </c>
      <c r="BE221">
        <f>AM221+AU221+BD221</f>
        <v>0.2</v>
      </c>
      <c r="BF221" t="s">
        <v>880</v>
      </c>
      <c r="BG221">
        <v>0</v>
      </c>
      <c r="BH221">
        <v>7</v>
      </c>
      <c r="BI221">
        <v>1</v>
      </c>
      <c r="BJ221" t="s">
        <v>36</v>
      </c>
      <c r="BK221">
        <v>4</v>
      </c>
      <c r="BL221">
        <v>1</v>
      </c>
      <c r="BM221">
        <v>1</v>
      </c>
      <c r="BN221" t="s">
        <v>30</v>
      </c>
      <c r="BO221">
        <v>1</v>
      </c>
      <c r="BP221">
        <v>84</v>
      </c>
      <c r="BQ221">
        <v>0.13</v>
      </c>
      <c r="BR221">
        <v>1</v>
      </c>
      <c r="BS221">
        <v>0.13</v>
      </c>
      <c r="BT221">
        <f>BS221+BD221+AU221+AM221</f>
        <v>0.33</v>
      </c>
      <c r="BU221">
        <v>1</v>
      </c>
      <c r="BV221">
        <v>0.5</v>
      </c>
      <c r="BW221">
        <v>73.25</v>
      </c>
      <c r="BX221">
        <f>BW221/7</f>
        <v>10.464285714285714</v>
      </c>
      <c r="BY221">
        <f>0.00077*BX221</f>
        <v>8.0574999999999987E-3</v>
      </c>
      <c r="BZ221">
        <f t="shared" si="3"/>
        <v>0.33805750000000001</v>
      </c>
    </row>
    <row r="222" spans="1:78">
      <c r="A222" s="1">
        <v>45170.900291099533</v>
      </c>
      <c r="C222">
        <v>221</v>
      </c>
      <c r="D222" s="10">
        <v>32526</v>
      </c>
      <c r="E222">
        <v>34</v>
      </c>
      <c r="F222">
        <v>1</v>
      </c>
      <c r="G222">
        <v>1</v>
      </c>
      <c r="H222">
        <v>4</v>
      </c>
      <c r="I222" s="10">
        <v>44970</v>
      </c>
      <c r="J222">
        <v>1</v>
      </c>
      <c r="K222">
        <v>1</v>
      </c>
      <c r="L222">
        <v>2</v>
      </c>
      <c r="M222">
        <v>3720</v>
      </c>
      <c r="N222">
        <v>2</v>
      </c>
      <c r="O222" s="10">
        <v>44697</v>
      </c>
      <c r="P222">
        <v>0</v>
      </c>
      <c r="Q222">
        <v>39</v>
      </c>
      <c r="R222">
        <v>2</v>
      </c>
      <c r="S222">
        <v>78</v>
      </c>
      <c r="T222">
        <v>162</v>
      </c>
      <c r="U222">
        <v>85</v>
      </c>
      <c r="V222">
        <v>7</v>
      </c>
      <c r="W222">
        <v>2</v>
      </c>
      <c r="X222">
        <v>29.721079103795148</v>
      </c>
      <c r="Y222">
        <v>32.38835543362292</v>
      </c>
      <c r="Z222">
        <v>2.6672763298277715</v>
      </c>
      <c r="AA222">
        <v>3</v>
      </c>
      <c r="AB222">
        <v>4</v>
      </c>
      <c r="AC222" t="s">
        <v>44</v>
      </c>
      <c r="AD222">
        <v>1</v>
      </c>
      <c r="AE222">
        <v>0</v>
      </c>
      <c r="AG222">
        <v>5</v>
      </c>
      <c r="AH222">
        <v>1</v>
      </c>
      <c r="AI222">
        <v>11</v>
      </c>
      <c r="AJ222">
        <v>5</v>
      </c>
      <c r="AK222">
        <v>7</v>
      </c>
      <c r="AL222">
        <v>1</v>
      </c>
      <c r="AM222">
        <f>AJ222*AK222*AL222/7</f>
        <v>5</v>
      </c>
      <c r="AN222" t="s">
        <v>81</v>
      </c>
      <c r="AO222">
        <v>0</v>
      </c>
      <c r="AV222">
        <f>AU222+AM222</f>
        <v>5</v>
      </c>
      <c r="AW222" t="s">
        <v>96</v>
      </c>
      <c r="AX222">
        <v>1</v>
      </c>
      <c r="AY222" t="s">
        <v>96</v>
      </c>
      <c r="AZ222">
        <v>4</v>
      </c>
      <c r="BA222">
        <v>0.2</v>
      </c>
      <c r="BB222">
        <v>7</v>
      </c>
      <c r="BC222">
        <v>1</v>
      </c>
      <c r="BD222">
        <f>BA222*BB222*1/7</f>
        <v>0.2</v>
      </c>
      <c r="BE222">
        <f>AM222+AU222+BD222</f>
        <v>5.2</v>
      </c>
      <c r="BF222" t="s">
        <v>96</v>
      </c>
      <c r="BG222">
        <v>0</v>
      </c>
      <c r="BH222">
        <v>7</v>
      </c>
      <c r="BI222">
        <v>1</v>
      </c>
      <c r="BJ222" t="s">
        <v>28</v>
      </c>
      <c r="BK222">
        <v>3</v>
      </c>
      <c r="BL222">
        <v>3</v>
      </c>
      <c r="BM222">
        <v>1</v>
      </c>
      <c r="BN222" t="s">
        <v>211</v>
      </c>
      <c r="BO222">
        <v>3</v>
      </c>
      <c r="BP222">
        <v>90</v>
      </c>
      <c r="BQ222">
        <v>0.08</v>
      </c>
      <c r="BR222">
        <v>2</v>
      </c>
      <c r="BS222">
        <v>0.16</v>
      </c>
      <c r="BT222">
        <f>BS222+BD222+AU222+AM222</f>
        <v>5.36</v>
      </c>
      <c r="BU222">
        <v>1</v>
      </c>
      <c r="BV222">
        <v>2</v>
      </c>
      <c r="BW222">
        <v>293</v>
      </c>
      <c r="BX222">
        <f>BW222/7</f>
        <v>41.857142857142854</v>
      </c>
      <c r="BY222">
        <f>0.00077*BX222</f>
        <v>3.2229999999999995E-2</v>
      </c>
      <c r="BZ222">
        <f t="shared" si="3"/>
        <v>5.3922300000000005</v>
      </c>
    </row>
    <row r="223" spans="1:78">
      <c r="A223" s="1">
        <v>45170.905985069447</v>
      </c>
      <c r="C223">
        <v>222</v>
      </c>
      <c r="D223" s="10">
        <v>29753</v>
      </c>
      <c r="E223">
        <v>42</v>
      </c>
      <c r="F223">
        <v>1</v>
      </c>
      <c r="G223">
        <v>1</v>
      </c>
      <c r="H223">
        <v>5</v>
      </c>
      <c r="I223" s="10">
        <v>44897</v>
      </c>
      <c r="J223">
        <v>2</v>
      </c>
      <c r="K223">
        <v>0</v>
      </c>
      <c r="L223">
        <v>2</v>
      </c>
      <c r="M223">
        <v>3560</v>
      </c>
      <c r="N223">
        <v>2</v>
      </c>
      <c r="O223" s="10">
        <v>44624</v>
      </c>
      <c r="P223">
        <v>0</v>
      </c>
      <c r="Q223">
        <v>39</v>
      </c>
      <c r="R223">
        <v>2</v>
      </c>
      <c r="S223">
        <v>82</v>
      </c>
      <c r="T223">
        <v>159</v>
      </c>
      <c r="U223">
        <v>86</v>
      </c>
      <c r="V223">
        <v>4</v>
      </c>
      <c r="W223">
        <v>1</v>
      </c>
      <c r="X223">
        <v>32.435425813852298</v>
      </c>
      <c r="Y223">
        <v>34.017641707210949</v>
      </c>
      <c r="Z223">
        <v>1.5822158933586508</v>
      </c>
      <c r="AA223">
        <v>4</v>
      </c>
      <c r="AB223">
        <v>4</v>
      </c>
      <c r="AC223" t="s">
        <v>50</v>
      </c>
      <c r="AD223">
        <v>2</v>
      </c>
      <c r="AE223">
        <v>0</v>
      </c>
      <c r="AG223">
        <v>5</v>
      </c>
      <c r="AH223">
        <v>0</v>
      </c>
      <c r="AI223">
        <v>0</v>
      </c>
      <c r="AN223" t="s">
        <v>41</v>
      </c>
      <c r="AO223">
        <v>0</v>
      </c>
      <c r="AX223">
        <v>1</v>
      </c>
      <c r="AY223" t="s">
        <v>876</v>
      </c>
      <c r="AZ223">
        <v>1</v>
      </c>
      <c r="BA223">
        <v>0.8</v>
      </c>
      <c r="BB223">
        <v>7</v>
      </c>
      <c r="BC223">
        <v>1</v>
      </c>
      <c r="BD223">
        <f>BA223*BB223*1/7</f>
        <v>0.8</v>
      </c>
      <c r="BE223">
        <f>AM223+AU223+BD223</f>
        <v>0.8</v>
      </c>
      <c r="BF223" t="s">
        <v>876</v>
      </c>
      <c r="BG223">
        <v>0</v>
      </c>
      <c r="BH223">
        <v>7</v>
      </c>
      <c r="BI223">
        <v>1</v>
      </c>
      <c r="BJ223" t="s">
        <v>42</v>
      </c>
      <c r="BK223">
        <v>6</v>
      </c>
      <c r="BL223">
        <v>1</v>
      </c>
      <c r="BM223">
        <v>1</v>
      </c>
      <c r="BN223" t="s">
        <v>30</v>
      </c>
      <c r="BO223">
        <v>1</v>
      </c>
      <c r="BP223">
        <v>84</v>
      </c>
      <c r="BQ223">
        <v>0.13</v>
      </c>
      <c r="BR223">
        <v>1</v>
      </c>
      <c r="BS223">
        <v>0.13</v>
      </c>
      <c r="BT223">
        <f>BS223+BD223+AU223+AM223</f>
        <v>0.93</v>
      </c>
      <c r="BU223">
        <v>1</v>
      </c>
      <c r="BV223">
        <v>1</v>
      </c>
      <c r="BW223">
        <v>146.5</v>
      </c>
      <c r="BX223">
        <f>BW223/7</f>
        <v>20.928571428571427</v>
      </c>
      <c r="BY223">
        <f>0.00077*BX223</f>
        <v>1.6114999999999997E-2</v>
      </c>
      <c r="BZ223">
        <f t="shared" si="3"/>
        <v>0.94611500000000004</v>
      </c>
    </row>
    <row r="224" spans="1:78">
      <c r="A224" s="1">
        <v>45170.953327499999</v>
      </c>
      <c r="C224">
        <v>223</v>
      </c>
      <c r="D224" s="10">
        <v>34965</v>
      </c>
      <c r="E224">
        <v>27</v>
      </c>
      <c r="F224">
        <v>1</v>
      </c>
      <c r="G224">
        <v>10</v>
      </c>
      <c r="H224">
        <v>4</v>
      </c>
      <c r="I224" s="10">
        <v>45091</v>
      </c>
      <c r="J224">
        <v>1</v>
      </c>
      <c r="K224">
        <v>1</v>
      </c>
      <c r="L224">
        <v>2</v>
      </c>
      <c r="M224">
        <v>2670</v>
      </c>
      <c r="N224">
        <v>2</v>
      </c>
      <c r="O224" s="10">
        <v>44832</v>
      </c>
      <c r="P224">
        <v>0</v>
      </c>
      <c r="Q224">
        <v>37</v>
      </c>
      <c r="R224">
        <v>2</v>
      </c>
      <c r="S224">
        <v>68</v>
      </c>
      <c r="T224">
        <v>155</v>
      </c>
      <c r="U224">
        <v>75</v>
      </c>
      <c r="V224">
        <v>7</v>
      </c>
      <c r="W224">
        <v>2</v>
      </c>
      <c r="X224">
        <v>28.303850156087407</v>
      </c>
      <c r="Y224">
        <v>31.217481789802285</v>
      </c>
      <c r="Z224">
        <v>2.9136316337148784</v>
      </c>
      <c r="AA224">
        <v>3</v>
      </c>
      <c r="AB224">
        <v>4</v>
      </c>
      <c r="AC224" t="s">
        <v>50</v>
      </c>
      <c r="AD224">
        <v>2</v>
      </c>
      <c r="AE224">
        <v>1</v>
      </c>
      <c r="AF224" t="s">
        <v>212</v>
      </c>
      <c r="AG224" t="e">
        <v>#N/A</v>
      </c>
      <c r="AH224">
        <v>0</v>
      </c>
      <c r="AI224">
        <v>0</v>
      </c>
      <c r="AN224" t="s">
        <v>213</v>
      </c>
      <c r="AO224">
        <v>0</v>
      </c>
      <c r="AW224" t="s">
        <v>213</v>
      </c>
      <c r="AX224">
        <v>1</v>
      </c>
      <c r="AY224" t="s">
        <v>213</v>
      </c>
      <c r="AZ224">
        <v>5</v>
      </c>
      <c r="BA224">
        <v>0.4</v>
      </c>
      <c r="BB224">
        <v>7</v>
      </c>
      <c r="BC224">
        <v>1</v>
      </c>
      <c r="BD224">
        <f>BA224*BB224*1/7</f>
        <v>0.4</v>
      </c>
      <c r="BE224">
        <f>AM224+AU224+BD224</f>
        <v>0.4</v>
      </c>
      <c r="BF224" t="s">
        <v>213</v>
      </c>
      <c r="BG224">
        <v>0</v>
      </c>
      <c r="BH224">
        <v>7</v>
      </c>
      <c r="BI224">
        <v>1</v>
      </c>
      <c r="BJ224" t="s">
        <v>42</v>
      </c>
      <c r="BK224">
        <v>6</v>
      </c>
      <c r="BL224">
        <v>3</v>
      </c>
      <c r="BM224">
        <v>1</v>
      </c>
      <c r="BN224" t="s">
        <v>30</v>
      </c>
      <c r="BO224">
        <v>1</v>
      </c>
      <c r="BP224">
        <v>84</v>
      </c>
      <c r="BQ224">
        <v>0.13</v>
      </c>
      <c r="BR224">
        <v>1</v>
      </c>
      <c r="BS224">
        <v>0.13</v>
      </c>
      <c r="BT224">
        <f>BS224+BD224+AU224+AM224</f>
        <v>0.53</v>
      </c>
      <c r="BU224">
        <v>1</v>
      </c>
      <c r="BV224">
        <v>0.5</v>
      </c>
      <c r="BW224">
        <v>73.25</v>
      </c>
      <c r="BX224">
        <f>BW224/7</f>
        <v>10.464285714285714</v>
      </c>
      <c r="BY224">
        <f>0.00077*BX224</f>
        <v>8.0574999999999987E-3</v>
      </c>
      <c r="BZ224">
        <f t="shared" si="3"/>
        <v>0.53805750000000008</v>
      </c>
    </row>
    <row r="225" spans="1:78">
      <c r="A225" s="1">
        <v>45171.718439374999</v>
      </c>
      <c r="C225">
        <v>224</v>
      </c>
      <c r="D225" s="10">
        <v>32216</v>
      </c>
      <c r="E225">
        <v>35</v>
      </c>
      <c r="F225">
        <v>1</v>
      </c>
      <c r="G225">
        <v>4</v>
      </c>
      <c r="H225">
        <v>5</v>
      </c>
      <c r="I225" s="10">
        <v>44365</v>
      </c>
      <c r="J225">
        <v>1</v>
      </c>
      <c r="K225">
        <v>1</v>
      </c>
      <c r="L225">
        <v>2</v>
      </c>
      <c r="M225">
        <v>3165</v>
      </c>
      <c r="N225">
        <v>2</v>
      </c>
      <c r="O225" s="10">
        <v>44099</v>
      </c>
      <c r="P225">
        <v>1</v>
      </c>
      <c r="Q225">
        <v>38</v>
      </c>
      <c r="R225">
        <v>2</v>
      </c>
      <c r="S225">
        <v>67</v>
      </c>
      <c r="T225">
        <v>165</v>
      </c>
      <c r="U225">
        <v>78</v>
      </c>
      <c r="V225">
        <v>11</v>
      </c>
      <c r="W225">
        <v>1</v>
      </c>
      <c r="X225">
        <v>24.609733700642796</v>
      </c>
      <c r="Y225">
        <v>28.650137741046834</v>
      </c>
      <c r="Z225">
        <v>4.040404040404038</v>
      </c>
      <c r="AA225">
        <v>2</v>
      </c>
      <c r="AB225">
        <v>3</v>
      </c>
      <c r="AC225" t="s">
        <v>33</v>
      </c>
      <c r="AD225">
        <v>3</v>
      </c>
      <c r="AE225">
        <v>0</v>
      </c>
      <c r="AG225">
        <v>5</v>
      </c>
      <c r="AH225">
        <v>1</v>
      </c>
      <c r="AI225">
        <v>5</v>
      </c>
      <c r="AJ225">
        <v>5</v>
      </c>
      <c r="AK225">
        <v>7</v>
      </c>
      <c r="AL225">
        <v>1</v>
      </c>
      <c r="AM225">
        <f>AJ225*AK225*AL225/7</f>
        <v>5</v>
      </c>
      <c r="AN225" t="s">
        <v>27</v>
      </c>
      <c r="AO225">
        <v>0</v>
      </c>
      <c r="AV225">
        <f>AU225+AM225</f>
        <v>5</v>
      </c>
      <c r="AW225" t="s">
        <v>35</v>
      </c>
      <c r="AX225">
        <v>1</v>
      </c>
      <c r="AY225" t="s">
        <v>35</v>
      </c>
      <c r="AZ225">
        <v>12</v>
      </c>
      <c r="BA225">
        <v>0.4</v>
      </c>
      <c r="BB225">
        <v>7</v>
      </c>
      <c r="BC225">
        <v>1</v>
      </c>
      <c r="BD225">
        <f>BA225*BB225*1/7</f>
        <v>0.4</v>
      </c>
      <c r="BE225">
        <f>AM225+AU225+BD225</f>
        <v>5.4</v>
      </c>
      <c r="BF225" t="s">
        <v>35</v>
      </c>
      <c r="BG225">
        <v>0</v>
      </c>
      <c r="BH225">
        <v>7</v>
      </c>
      <c r="BI225">
        <v>1</v>
      </c>
      <c r="BJ225" t="s">
        <v>49</v>
      </c>
      <c r="BK225">
        <v>5</v>
      </c>
      <c r="BL225">
        <v>1</v>
      </c>
      <c r="BM225">
        <v>1</v>
      </c>
      <c r="BN225" t="s">
        <v>55</v>
      </c>
      <c r="BO225">
        <v>2</v>
      </c>
      <c r="BP225">
        <v>67</v>
      </c>
      <c r="BQ225">
        <v>0.1</v>
      </c>
      <c r="BR225">
        <v>1</v>
      </c>
      <c r="BS225">
        <v>0.1</v>
      </c>
      <c r="BT225">
        <f>BS225+BD225+AU225+AM225</f>
        <v>5.5</v>
      </c>
      <c r="BU225">
        <v>1</v>
      </c>
      <c r="BV225">
        <v>1</v>
      </c>
      <c r="BW225">
        <v>146.5</v>
      </c>
      <c r="BX225">
        <f>BW225/7</f>
        <v>20.928571428571427</v>
      </c>
      <c r="BY225">
        <f>0.00077*BX225</f>
        <v>1.6114999999999997E-2</v>
      </c>
      <c r="BZ225">
        <f t="shared" si="3"/>
        <v>5.5161150000000001</v>
      </c>
    </row>
    <row r="226" spans="1:78">
      <c r="A226" s="1">
        <v>45171.722022592592</v>
      </c>
      <c r="B226" s="9" t="s">
        <v>866</v>
      </c>
      <c r="C226">
        <v>225</v>
      </c>
      <c r="D226" s="10">
        <v>35159</v>
      </c>
      <c r="E226">
        <v>27</v>
      </c>
      <c r="F226">
        <v>1</v>
      </c>
      <c r="G226">
        <v>4</v>
      </c>
      <c r="H226">
        <v>4</v>
      </c>
      <c r="I226" s="10">
        <v>43419</v>
      </c>
      <c r="J226">
        <v>2</v>
      </c>
      <c r="K226">
        <v>0</v>
      </c>
      <c r="L226">
        <v>2</v>
      </c>
      <c r="M226">
        <v>4060</v>
      </c>
      <c r="N226">
        <v>3</v>
      </c>
      <c r="O226" s="10">
        <v>43132</v>
      </c>
      <c r="P226">
        <v>0</v>
      </c>
      <c r="Q226">
        <v>41</v>
      </c>
      <c r="R226">
        <v>2</v>
      </c>
      <c r="S226">
        <v>60</v>
      </c>
      <c r="T226">
        <v>162</v>
      </c>
      <c r="U226">
        <v>68</v>
      </c>
      <c r="V226">
        <v>8</v>
      </c>
      <c r="W226">
        <v>1</v>
      </c>
      <c r="X226">
        <v>22.862368541380881</v>
      </c>
      <c r="Y226">
        <v>25.910684346898332</v>
      </c>
      <c r="Z226">
        <v>3.0483158055174506</v>
      </c>
      <c r="AA226">
        <v>2</v>
      </c>
      <c r="AB226">
        <v>3</v>
      </c>
      <c r="AC226" t="s">
        <v>33</v>
      </c>
      <c r="AD226">
        <v>3</v>
      </c>
      <c r="AE226">
        <v>0</v>
      </c>
      <c r="AG226">
        <v>5</v>
      </c>
      <c r="AH226">
        <v>1</v>
      </c>
      <c r="AI226" t="s">
        <v>258</v>
      </c>
      <c r="AJ226" t="s">
        <v>258</v>
      </c>
      <c r="AK226">
        <v>1</v>
      </c>
      <c r="AL226">
        <v>1</v>
      </c>
      <c r="AM226" t="s">
        <v>258</v>
      </c>
      <c r="AN226" t="s">
        <v>505</v>
      </c>
      <c r="AO226">
        <v>0</v>
      </c>
      <c r="AX226">
        <v>0</v>
      </c>
      <c r="BE226" t="s">
        <v>258</v>
      </c>
      <c r="BG226">
        <v>0</v>
      </c>
      <c r="BJ226" t="s">
        <v>28</v>
      </c>
      <c r="BK226">
        <v>3</v>
      </c>
      <c r="BL226">
        <v>1</v>
      </c>
      <c r="BM226">
        <v>1</v>
      </c>
      <c r="BN226" t="s">
        <v>30</v>
      </c>
      <c r="BO226">
        <v>1</v>
      </c>
      <c r="BP226">
        <v>84</v>
      </c>
      <c r="BQ226">
        <v>0.13</v>
      </c>
      <c r="BR226">
        <v>1</v>
      </c>
      <c r="BS226">
        <v>0.13</v>
      </c>
      <c r="BT226" t="e">
        <f>BS226+BD226+AU226+AM226</f>
        <v>#VALUE!</v>
      </c>
      <c r="BU226">
        <v>1</v>
      </c>
      <c r="BV226">
        <v>1</v>
      </c>
      <c r="BW226">
        <v>146.5</v>
      </c>
      <c r="BX226">
        <f>BW226/7</f>
        <v>20.928571428571427</v>
      </c>
      <c r="BY226">
        <f>0.00077*BX226</f>
        <v>1.6114999999999997E-2</v>
      </c>
      <c r="BZ226" t="e">
        <f t="shared" si="3"/>
        <v>#VALUE!</v>
      </c>
    </row>
    <row r="227" spans="1:78">
      <c r="A227" s="1">
        <v>45174.015434085653</v>
      </c>
      <c r="C227">
        <v>226</v>
      </c>
      <c r="D227" s="10">
        <v>32659</v>
      </c>
      <c r="E227">
        <v>35</v>
      </c>
      <c r="F227">
        <v>1</v>
      </c>
      <c r="G227">
        <v>3</v>
      </c>
      <c r="H227">
        <v>4</v>
      </c>
      <c r="I227" s="10">
        <v>42846</v>
      </c>
      <c r="J227">
        <v>2</v>
      </c>
      <c r="K227">
        <v>0</v>
      </c>
      <c r="L227">
        <v>2</v>
      </c>
      <c r="M227">
        <v>3420</v>
      </c>
      <c r="N227">
        <v>2</v>
      </c>
      <c r="O227" s="10">
        <v>42576</v>
      </c>
      <c r="P227">
        <v>0</v>
      </c>
      <c r="Q227">
        <v>38.571428571428569</v>
      </c>
      <c r="R227">
        <v>2</v>
      </c>
      <c r="S227">
        <v>101</v>
      </c>
      <c r="T227">
        <v>158</v>
      </c>
      <c r="U227">
        <v>110</v>
      </c>
      <c r="V227">
        <v>9</v>
      </c>
      <c r="W227">
        <v>2</v>
      </c>
      <c r="X227">
        <v>40.458259894247711</v>
      </c>
      <c r="Y227">
        <v>44.063451369972753</v>
      </c>
      <c r="Z227">
        <v>3.6051914757250429</v>
      </c>
      <c r="AA227">
        <v>4</v>
      </c>
      <c r="AB227">
        <v>4</v>
      </c>
      <c r="AC227" t="s">
        <v>25</v>
      </c>
      <c r="AD227">
        <v>1</v>
      </c>
      <c r="AE227">
        <v>0</v>
      </c>
      <c r="AG227">
        <v>5</v>
      </c>
      <c r="AH227">
        <v>0</v>
      </c>
      <c r="AI227">
        <v>0</v>
      </c>
      <c r="AN227" t="s">
        <v>121</v>
      </c>
      <c r="AO227">
        <v>0</v>
      </c>
      <c r="AX227">
        <v>0</v>
      </c>
      <c r="BG227">
        <v>0</v>
      </c>
      <c r="BJ227" t="s">
        <v>51</v>
      </c>
      <c r="BK227">
        <v>1</v>
      </c>
      <c r="BL227">
        <v>1</v>
      </c>
      <c r="BM227">
        <v>1</v>
      </c>
      <c r="BN227" t="s">
        <v>55</v>
      </c>
      <c r="BO227">
        <v>2</v>
      </c>
      <c r="BP227">
        <v>201</v>
      </c>
      <c r="BQ227">
        <v>0.1</v>
      </c>
      <c r="BR227">
        <v>3</v>
      </c>
      <c r="BS227">
        <v>0.30000000000000004</v>
      </c>
      <c r="BT227">
        <f>BS227+BD227+AU227+AM227</f>
        <v>0.30000000000000004</v>
      </c>
      <c r="BU227">
        <v>1</v>
      </c>
      <c r="BV227">
        <v>3</v>
      </c>
      <c r="BW227">
        <v>439.5</v>
      </c>
      <c r="BX227">
        <f>BW227/7</f>
        <v>62.785714285714285</v>
      </c>
      <c r="BY227">
        <f>0.00077*BX227</f>
        <v>4.8344999999999999E-2</v>
      </c>
      <c r="BZ227">
        <f t="shared" si="3"/>
        <v>0.34834500000000002</v>
      </c>
    </row>
    <row r="228" spans="1:78">
      <c r="A228" s="1">
        <v>45174.637420405095</v>
      </c>
      <c r="C228">
        <v>227</v>
      </c>
      <c r="D228" s="10">
        <v>29850</v>
      </c>
      <c r="E228">
        <v>41</v>
      </c>
      <c r="F228">
        <v>1</v>
      </c>
      <c r="G228">
        <v>1</v>
      </c>
      <c r="H228">
        <v>4</v>
      </c>
      <c r="I228" s="10">
        <v>44718</v>
      </c>
      <c r="J228">
        <v>4</v>
      </c>
      <c r="K228">
        <v>0</v>
      </c>
      <c r="L228">
        <v>2</v>
      </c>
      <c r="M228">
        <v>3700</v>
      </c>
      <c r="N228">
        <v>2</v>
      </c>
      <c r="O228" s="10">
        <v>44431</v>
      </c>
      <c r="P228">
        <v>1</v>
      </c>
      <c r="Q228">
        <v>41</v>
      </c>
      <c r="R228">
        <v>2</v>
      </c>
      <c r="S228">
        <v>94</v>
      </c>
      <c r="T228">
        <v>169</v>
      </c>
      <c r="U228">
        <v>86</v>
      </c>
      <c r="V228">
        <v>-8</v>
      </c>
      <c r="W228">
        <v>1</v>
      </c>
      <c r="X228">
        <v>32.912012884702918</v>
      </c>
      <c r="Y228">
        <v>30.110990511536716</v>
      </c>
      <c r="Z228">
        <v>-2.8010223731662016</v>
      </c>
      <c r="AA228">
        <v>4</v>
      </c>
      <c r="AB228">
        <v>4</v>
      </c>
      <c r="AC228" t="s">
        <v>106</v>
      </c>
      <c r="AD228">
        <v>2</v>
      </c>
      <c r="AE228">
        <v>0</v>
      </c>
      <c r="AG228">
        <v>5</v>
      </c>
      <c r="AH228">
        <v>1</v>
      </c>
      <c r="AI228">
        <v>5</v>
      </c>
      <c r="AJ228">
        <v>5</v>
      </c>
      <c r="AK228">
        <v>7</v>
      </c>
      <c r="AL228">
        <v>1</v>
      </c>
      <c r="AM228">
        <f>AJ228*AK228*AL228/7</f>
        <v>5</v>
      </c>
      <c r="AN228" t="s">
        <v>27</v>
      </c>
      <c r="AO228">
        <v>0</v>
      </c>
      <c r="AV228">
        <f>AU228+AM228</f>
        <v>5</v>
      </c>
      <c r="AW228" t="s">
        <v>58</v>
      </c>
      <c r="AX228">
        <v>1</v>
      </c>
      <c r="AY228" t="s">
        <v>58</v>
      </c>
      <c r="AZ228">
        <v>1</v>
      </c>
      <c r="BA228">
        <v>0.8</v>
      </c>
      <c r="BB228">
        <v>7</v>
      </c>
      <c r="BC228">
        <v>1</v>
      </c>
      <c r="BD228">
        <f>BA228*BB228*1/7</f>
        <v>0.8</v>
      </c>
      <c r="BE228">
        <f>AM228+AU228+BD228</f>
        <v>5.8</v>
      </c>
      <c r="BF228" t="s">
        <v>58</v>
      </c>
      <c r="BG228">
        <v>0</v>
      </c>
      <c r="BH228">
        <v>7</v>
      </c>
      <c r="BI228">
        <v>1</v>
      </c>
      <c r="BJ228" t="s">
        <v>49</v>
      </c>
      <c r="BK228">
        <v>5</v>
      </c>
      <c r="BL228">
        <v>1</v>
      </c>
      <c r="BM228">
        <v>1</v>
      </c>
      <c r="BN228" t="s">
        <v>37</v>
      </c>
      <c r="BO228">
        <v>4</v>
      </c>
      <c r="BP228">
        <v>110</v>
      </c>
      <c r="BQ228">
        <v>0.05</v>
      </c>
      <c r="BR228">
        <v>2</v>
      </c>
      <c r="BS228">
        <v>0.1</v>
      </c>
      <c r="BT228">
        <f>BS228+BD228+AU228+AM228</f>
        <v>5.9</v>
      </c>
      <c r="BU228">
        <v>1</v>
      </c>
      <c r="BV228">
        <v>2</v>
      </c>
      <c r="BW228">
        <v>293</v>
      </c>
      <c r="BX228">
        <f>BW228/7</f>
        <v>41.857142857142854</v>
      </c>
      <c r="BY228">
        <f>0.00077*BX228</f>
        <v>3.2229999999999995E-2</v>
      </c>
      <c r="BZ228">
        <f t="shared" si="3"/>
        <v>5.9322300000000006</v>
      </c>
    </row>
    <row r="229" spans="1:78">
      <c r="A229" s="1">
        <v>45174.697748611114</v>
      </c>
      <c r="C229">
        <v>228</v>
      </c>
      <c r="D229" s="10">
        <v>30820</v>
      </c>
      <c r="E229">
        <v>39</v>
      </c>
      <c r="F229">
        <v>1</v>
      </c>
      <c r="G229">
        <v>1</v>
      </c>
      <c r="H229">
        <v>5</v>
      </c>
      <c r="I229" s="10">
        <v>43589</v>
      </c>
      <c r="J229">
        <v>2</v>
      </c>
      <c r="K229">
        <v>0</v>
      </c>
      <c r="L229">
        <v>1</v>
      </c>
      <c r="M229">
        <v>3551</v>
      </c>
      <c r="N229">
        <v>2</v>
      </c>
      <c r="O229" s="10">
        <v>43323</v>
      </c>
      <c r="P229">
        <v>0</v>
      </c>
      <c r="Q229">
        <v>38</v>
      </c>
      <c r="R229">
        <v>2</v>
      </c>
      <c r="S229">
        <v>58</v>
      </c>
      <c r="T229">
        <v>156</v>
      </c>
      <c r="U229">
        <v>65</v>
      </c>
      <c r="V229">
        <v>7</v>
      </c>
      <c r="W229">
        <v>1</v>
      </c>
      <c r="X229">
        <v>23.83300460223537</v>
      </c>
      <c r="Y229">
        <v>26.709401709401707</v>
      </c>
      <c r="Z229">
        <v>2.876397107166337</v>
      </c>
      <c r="AA229">
        <v>2</v>
      </c>
      <c r="AB229">
        <v>3</v>
      </c>
      <c r="AC229" t="s">
        <v>44</v>
      </c>
      <c r="AD229">
        <v>1</v>
      </c>
      <c r="AE229">
        <v>0</v>
      </c>
      <c r="AG229">
        <v>5</v>
      </c>
      <c r="AH229">
        <v>0</v>
      </c>
      <c r="AI229">
        <v>0</v>
      </c>
      <c r="AN229" t="s">
        <v>41</v>
      </c>
      <c r="AO229">
        <v>0</v>
      </c>
      <c r="AX229">
        <v>1</v>
      </c>
      <c r="AY229" t="s">
        <v>876</v>
      </c>
      <c r="AZ229">
        <v>1</v>
      </c>
      <c r="BA229">
        <v>0.8</v>
      </c>
      <c r="BB229">
        <v>7</v>
      </c>
      <c r="BC229">
        <v>1</v>
      </c>
      <c r="BD229">
        <f>BA229*BB229*1/7</f>
        <v>0.8</v>
      </c>
      <c r="BE229">
        <f>AM229+AU229+BD229</f>
        <v>0.8</v>
      </c>
      <c r="BF229" t="s">
        <v>876</v>
      </c>
      <c r="BG229">
        <v>0</v>
      </c>
      <c r="BH229">
        <v>7</v>
      </c>
      <c r="BI229">
        <v>1</v>
      </c>
      <c r="BJ229" t="s">
        <v>49</v>
      </c>
      <c r="BK229">
        <v>5</v>
      </c>
      <c r="BL229">
        <v>1</v>
      </c>
      <c r="BM229">
        <v>1</v>
      </c>
      <c r="BN229" t="s">
        <v>30</v>
      </c>
      <c r="BO229">
        <v>1</v>
      </c>
      <c r="BP229">
        <v>42</v>
      </c>
      <c r="BQ229">
        <v>0.13</v>
      </c>
      <c r="BR229">
        <v>0.5</v>
      </c>
      <c r="BS229">
        <v>6.5000000000000002E-2</v>
      </c>
      <c r="BT229">
        <f>BS229+BD229+AU229+AM229</f>
        <v>0.86499999999999999</v>
      </c>
      <c r="BU229">
        <v>1</v>
      </c>
      <c r="BV229">
        <v>1</v>
      </c>
      <c r="BW229">
        <v>146.5</v>
      </c>
      <c r="BX229">
        <f>BW229/7</f>
        <v>20.928571428571427</v>
      </c>
      <c r="BY229">
        <f>0.00077*BX229</f>
        <v>1.6114999999999997E-2</v>
      </c>
      <c r="BZ229">
        <f t="shared" si="3"/>
        <v>0.88111499999999998</v>
      </c>
    </row>
    <row r="230" spans="1:78">
      <c r="A230" s="1">
        <v>45176.880795590274</v>
      </c>
      <c r="C230">
        <v>229</v>
      </c>
      <c r="D230" s="10">
        <v>31379</v>
      </c>
      <c r="E230">
        <v>37</v>
      </c>
      <c r="F230">
        <v>1</v>
      </c>
      <c r="G230">
        <v>1</v>
      </c>
      <c r="H230">
        <v>5</v>
      </c>
      <c r="I230" s="10">
        <v>42857</v>
      </c>
      <c r="J230">
        <v>1</v>
      </c>
      <c r="K230">
        <v>1</v>
      </c>
      <c r="L230">
        <v>1</v>
      </c>
      <c r="M230">
        <v>2750</v>
      </c>
      <c r="N230">
        <v>2</v>
      </c>
      <c r="O230" s="10">
        <v>42591</v>
      </c>
      <c r="P230">
        <v>0</v>
      </c>
      <c r="Q230">
        <v>38</v>
      </c>
      <c r="R230">
        <v>2</v>
      </c>
      <c r="S230">
        <v>72</v>
      </c>
      <c r="T230">
        <v>165</v>
      </c>
      <c r="U230">
        <v>86</v>
      </c>
      <c r="V230">
        <v>14</v>
      </c>
      <c r="W230">
        <v>3</v>
      </c>
      <c r="X230">
        <v>26.446280991735541</v>
      </c>
      <c r="Y230">
        <v>31.588613406795229</v>
      </c>
      <c r="Z230">
        <v>5.1423324150596876</v>
      </c>
      <c r="AA230">
        <v>3</v>
      </c>
      <c r="AB230">
        <v>4</v>
      </c>
      <c r="AC230" t="s">
        <v>123</v>
      </c>
      <c r="AD230">
        <v>2</v>
      </c>
      <c r="AE230">
        <v>0</v>
      </c>
      <c r="AG230">
        <v>5</v>
      </c>
      <c r="AH230">
        <v>1</v>
      </c>
      <c r="AI230">
        <v>5</v>
      </c>
      <c r="AJ230">
        <v>5</v>
      </c>
      <c r="AK230">
        <v>7</v>
      </c>
      <c r="AL230">
        <v>1</v>
      </c>
      <c r="AM230">
        <f>AJ230*AK230*AL230/7</f>
        <v>5</v>
      </c>
      <c r="AN230" t="s">
        <v>27</v>
      </c>
      <c r="AO230">
        <v>0</v>
      </c>
      <c r="AV230">
        <f>AU230+AM230</f>
        <v>5</v>
      </c>
      <c r="AX230">
        <v>0</v>
      </c>
      <c r="BE230">
        <f>AM230+AU230+BD230</f>
        <v>5</v>
      </c>
      <c r="BG230">
        <v>0</v>
      </c>
      <c r="BJ230" t="s">
        <v>49</v>
      </c>
      <c r="BK230">
        <v>5</v>
      </c>
      <c r="BL230">
        <v>1</v>
      </c>
      <c r="BM230">
        <v>1</v>
      </c>
      <c r="BN230" t="s">
        <v>59</v>
      </c>
      <c r="BO230">
        <v>3</v>
      </c>
      <c r="BP230">
        <v>112</v>
      </c>
      <c r="BQ230">
        <v>0.08</v>
      </c>
      <c r="BR230">
        <v>2</v>
      </c>
      <c r="BS230">
        <v>0.16</v>
      </c>
      <c r="BT230">
        <f>BS230+BD230+AU230+AM230</f>
        <v>5.16</v>
      </c>
      <c r="BU230">
        <v>1</v>
      </c>
      <c r="BV230">
        <v>5</v>
      </c>
      <c r="BW230">
        <v>732.5</v>
      </c>
      <c r="BX230">
        <f>BW230/7</f>
        <v>104.64285714285714</v>
      </c>
      <c r="BY230">
        <f>0.00077*BX230</f>
        <v>8.0574999999999994E-2</v>
      </c>
      <c r="BZ230">
        <f t="shared" si="3"/>
        <v>5.2405749999999998</v>
      </c>
    </row>
    <row r="231" spans="1:78">
      <c r="A231" s="1">
        <v>45176.892015624995</v>
      </c>
      <c r="C231">
        <v>230</v>
      </c>
      <c r="D231" s="10">
        <v>32659</v>
      </c>
      <c r="E231">
        <v>34</v>
      </c>
      <c r="F231">
        <v>1</v>
      </c>
      <c r="G231">
        <v>4</v>
      </c>
      <c r="H231">
        <v>5</v>
      </c>
      <c r="I231" s="10">
        <v>45183</v>
      </c>
      <c r="J231">
        <v>1</v>
      </c>
      <c r="K231">
        <v>1</v>
      </c>
      <c r="L231">
        <v>1</v>
      </c>
      <c r="M231">
        <v>2710</v>
      </c>
      <c r="N231">
        <v>2</v>
      </c>
      <c r="O231" s="10">
        <v>44924</v>
      </c>
      <c r="P231">
        <v>0</v>
      </c>
      <c r="Q231">
        <v>37</v>
      </c>
      <c r="R231">
        <v>2</v>
      </c>
      <c r="S231">
        <v>61</v>
      </c>
      <c r="T231">
        <v>156</v>
      </c>
      <c r="U231">
        <v>73</v>
      </c>
      <c r="V231">
        <v>12</v>
      </c>
      <c r="W231">
        <v>3</v>
      </c>
      <c r="X231">
        <v>25.06574621959237</v>
      </c>
      <c r="Y231">
        <v>29.996712689020377</v>
      </c>
      <c r="Z231">
        <v>4.9309664694280073</v>
      </c>
      <c r="AA231">
        <v>3</v>
      </c>
      <c r="AB231">
        <v>3</v>
      </c>
      <c r="AC231" t="s">
        <v>33</v>
      </c>
      <c r="AD231">
        <v>3</v>
      </c>
      <c r="AE231">
        <v>0</v>
      </c>
      <c r="AG231">
        <v>5</v>
      </c>
      <c r="AH231">
        <v>1</v>
      </c>
      <c r="AI231">
        <v>1</v>
      </c>
      <c r="AJ231">
        <v>1</v>
      </c>
      <c r="AK231">
        <v>7</v>
      </c>
      <c r="AL231">
        <v>1</v>
      </c>
      <c r="AM231">
        <f>AJ231*AK231*AL231/7</f>
        <v>1</v>
      </c>
      <c r="AN231" t="s">
        <v>56</v>
      </c>
      <c r="AO231">
        <v>0</v>
      </c>
      <c r="AV231">
        <f>AU231+AM231</f>
        <v>1</v>
      </c>
      <c r="AW231" t="s">
        <v>128</v>
      </c>
      <c r="AX231">
        <v>1</v>
      </c>
      <c r="AY231" t="s">
        <v>128</v>
      </c>
      <c r="AZ231">
        <v>4</v>
      </c>
      <c r="BA231">
        <v>0.2</v>
      </c>
      <c r="BB231">
        <v>7</v>
      </c>
      <c r="BC231">
        <v>2</v>
      </c>
      <c r="BD231">
        <f>BA231*BB231*1/7</f>
        <v>0.2</v>
      </c>
      <c r="BE231">
        <f>AM231+AU231+BD231</f>
        <v>1.2</v>
      </c>
      <c r="BF231" t="s">
        <v>128</v>
      </c>
      <c r="BG231">
        <v>0</v>
      </c>
      <c r="BH231">
        <v>7</v>
      </c>
      <c r="BI231">
        <v>2</v>
      </c>
      <c r="BJ231" t="s">
        <v>36</v>
      </c>
      <c r="BK231">
        <v>4</v>
      </c>
      <c r="BL231">
        <v>1</v>
      </c>
      <c r="BM231">
        <v>1</v>
      </c>
      <c r="BN231" t="s">
        <v>30</v>
      </c>
      <c r="BO231">
        <v>1</v>
      </c>
      <c r="BP231">
        <v>168</v>
      </c>
      <c r="BQ231">
        <v>0.13</v>
      </c>
      <c r="BR231">
        <v>2</v>
      </c>
      <c r="BS231">
        <v>0.26</v>
      </c>
      <c r="BT231">
        <f>BS231+BD231+AU231+AM231</f>
        <v>1.46</v>
      </c>
      <c r="BU231">
        <v>1</v>
      </c>
      <c r="BV231">
        <v>1</v>
      </c>
      <c r="BW231">
        <v>146.5</v>
      </c>
      <c r="BX231">
        <f>BW231/7</f>
        <v>20.928571428571427</v>
      </c>
      <c r="BY231">
        <f>0.00077*BX231</f>
        <v>1.6114999999999997E-2</v>
      </c>
      <c r="BZ231">
        <f t="shared" si="3"/>
        <v>1.4761150000000001</v>
      </c>
    </row>
    <row r="232" spans="1:78">
      <c r="A232" s="1">
        <v>45176.892741631949</v>
      </c>
      <c r="C232">
        <v>231</v>
      </c>
      <c r="D232" s="10">
        <v>32617</v>
      </c>
      <c r="E232">
        <v>34</v>
      </c>
      <c r="F232">
        <v>1</v>
      </c>
      <c r="G232">
        <v>1</v>
      </c>
      <c r="H232">
        <v>2</v>
      </c>
      <c r="I232" s="10">
        <v>43345</v>
      </c>
      <c r="J232">
        <v>2</v>
      </c>
      <c r="K232">
        <v>0</v>
      </c>
      <c r="L232">
        <v>1</v>
      </c>
      <c r="M232">
        <v>2130</v>
      </c>
      <c r="N232">
        <v>1</v>
      </c>
      <c r="O232" s="10">
        <v>43114</v>
      </c>
      <c r="P232">
        <v>0</v>
      </c>
      <c r="Q232">
        <v>33</v>
      </c>
      <c r="R232">
        <v>3</v>
      </c>
      <c r="S232">
        <v>80</v>
      </c>
      <c r="T232">
        <v>152</v>
      </c>
      <c r="U232">
        <v>70</v>
      </c>
      <c r="V232">
        <v>-10</v>
      </c>
      <c r="W232">
        <v>1</v>
      </c>
      <c r="X232">
        <v>34.626038781163437</v>
      </c>
      <c r="Y232">
        <v>30.297783933518005</v>
      </c>
      <c r="Z232">
        <v>-4.3282548476454323</v>
      </c>
      <c r="AA232">
        <v>4</v>
      </c>
      <c r="AB232">
        <v>4</v>
      </c>
      <c r="AC232" t="s">
        <v>44</v>
      </c>
      <c r="AD232">
        <v>1</v>
      </c>
      <c r="AE232">
        <v>1</v>
      </c>
      <c r="AF232" t="s">
        <v>215</v>
      </c>
      <c r="AG232" t="e">
        <v>#N/A</v>
      </c>
      <c r="AH232">
        <v>0</v>
      </c>
      <c r="AI232">
        <v>0</v>
      </c>
      <c r="AO232">
        <v>0</v>
      </c>
      <c r="AX232">
        <v>0</v>
      </c>
      <c r="BG232">
        <v>0</v>
      </c>
      <c r="BJ232" t="s">
        <v>51</v>
      </c>
      <c r="BK232">
        <v>1</v>
      </c>
      <c r="BL232">
        <v>3</v>
      </c>
      <c r="BM232">
        <v>1</v>
      </c>
      <c r="BN232" t="s">
        <v>63</v>
      </c>
      <c r="BO232">
        <v>5</v>
      </c>
      <c r="BP232">
        <v>24</v>
      </c>
      <c r="BQ232">
        <v>0.06</v>
      </c>
      <c r="BR232">
        <v>0.5</v>
      </c>
      <c r="BS232">
        <v>0.03</v>
      </c>
      <c r="BT232">
        <f>BS232+BD232+AU232+AM232</f>
        <v>0.03</v>
      </c>
      <c r="BU232">
        <v>1</v>
      </c>
      <c r="BV232">
        <v>1</v>
      </c>
      <c r="BW232">
        <v>146.5</v>
      </c>
      <c r="BX232">
        <f>BW232/7</f>
        <v>20.928571428571427</v>
      </c>
      <c r="BY232">
        <f>0.00077*BX232</f>
        <v>1.6114999999999997E-2</v>
      </c>
      <c r="BZ232">
        <f t="shared" si="3"/>
        <v>4.6114999999999996E-2</v>
      </c>
    </row>
    <row r="233" spans="1:78">
      <c r="A233" s="1">
        <v>45176.893988564814</v>
      </c>
      <c r="C233">
        <v>232</v>
      </c>
      <c r="D233" s="10">
        <v>31115</v>
      </c>
      <c r="E233">
        <v>38</v>
      </c>
      <c r="F233">
        <v>1</v>
      </c>
      <c r="G233">
        <v>1</v>
      </c>
      <c r="H233">
        <v>4</v>
      </c>
      <c r="I233" s="10">
        <v>43181</v>
      </c>
      <c r="J233">
        <v>3</v>
      </c>
      <c r="K233">
        <v>0</v>
      </c>
      <c r="L233">
        <v>2</v>
      </c>
      <c r="M233">
        <v>2850</v>
      </c>
      <c r="N233">
        <v>2</v>
      </c>
      <c r="O233" s="10">
        <v>42915</v>
      </c>
      <c r="P233">
        <v>0</v>
      </c>
      <c r="Q233">
        <v>38</v>
      </c>
      <c r="R233">
        <v>2</v>
      </c>
      <c r="S233">
        <v>80</v>
      </c>
      <c r="T233">
        <v>163</v>
      </c>
      <c r="U233">
        <v>68</v>
      </c>
      <c r="V233">
        <v>-12</v>
      </c>
      <c r="W233">
        <v>1</v>
      </c>
      <c r="X233">
        <v>30.110278896458279</v>
      </c>
      <c r="Y233">
        <v>25.59373706198954</v>
      </c>
      <c r="Z233">
        <v>-4.5165418344687396</v>
      </c>
      <c r="AA233">
        <v>4</v>
      </c>
      <c r="AB233">
        <v>3</v>
      </c>
      <c r="AC233" t="s">
        <v>44</v>
      </c>
      <c r="AD233">
        <v>1</v>
      </c>
      <c r="AE233">
        <v>0</v>
      </c>
      <c r="AG233">
        <v>5</v>
      </c>
      <c r="AH233">
        <v>1</v>
      </c>
      <c r="AI233">
        <v>18</v>
      </c>
      <c r="AJ233">
        <v>2</v>
      </c>
      <c r="AK233">
        <v>7</v>
      </c>
      <c r="AL233">
        <v>1</v>
      </c>
      <c r="AM233">
        <f>AJ233*AK233*AL233/7</f>
        <v>2</v>
      </c>
      <c r="AN233" t="s">
        <v>217</v>
      </c>
      <c r="AO233">
        <v>0</v>
      </c>
      <c r="AV233">
        <f>AU233+AM233</f>
        <v>2</v>
      </c>
      <c r="AX233">
        <v>0</v>
      </c>
      <c r="BE233">
        <f>AM233+AU233+BD233</f>
        <v>2</v>
      </c>
      <c r="BG233">
        <v>0</v>
      </c>
      <c r="BJ233" t="s">
        <v>42</v>
      </c>
      <c r="BK233">
        <v>6</v>
      </c>
      <c r="BL233">
        <v>1</v>
      </c>
      <c r="BM233">
        <v>1</v>
      </c>
      <c r="BN233" t="s">
        <v>30</v>
      </c>
      <c r="BO233">
        <v>1</v>
      </c>
      <c r="BP233">
        <v>84</v>
      </c>
      <c r="BQ233">
        <v>0.13</v>
      </c>
      <c r="BR233">
        <v>1</v>
      </c>
      <c r="BS233">
        <v>0.13</v>
      </c>
      <c r="BT233">
        <f>BS233+BD233+AU233+AM233</f>
        <v>2.13</v>
      </c>
      <c r="BU233">
        <v>1</v>
      </c>
      <c r="BV233">
        <v>1</v>
      </c>
      <c r="BW233">
        <v>146.5</v>
      </c>
      <c r="BX233">
        <f>BW233/7</f>
        <v>20.928571428571427</v>
      </c>
      <c r="BY233">
        <f>0.00077*BX233</f>
        <v>1.6114999999999997E-2</v>
      </c>
      <c r="BZ233">
        <f t="shared" si="3"/>
        <v>2.146115</v>
      </c>
    </row>
    <row r="234" spans="1:78">
      <c r="A234" s="1">
        <v>45176.910870312495</v>
      </c>
      <c r="C234">
        <v>233</v>
      </c>
      <c r="D234" s="10">
        <v>29546</v>
      </c>
      <c r="E234">
        <v>42</v>
      </c>
      <c r="F234">
        <v>1</v>
      </c>
      <c r="G234">
        <v>1</v>
      </c>
      <c r="H234">
        <v>4</v>
      </c>
      <c r="I234" s="10">
        <v>44594</v>
      </c>
      <c r="J234">
        <v>3</v>
      </c>
      <c r="K234">
        <v>0</v>
      </c>
      <c r="L234">
        <v>2</v>
      </c>
      <c r="M234">
        <v>2795</v>
      </c>
      <c r="N234">
        <v>2</v>
      </c>
      <c r="O234" s="10">
        <v>44335</v>
      </c>
      <c r="P234">
        <v>1</v>
      </c>
      <c r="Q234">
        <v>37</v>
      </c>
      <c r="R234">
        <v>2</v>
      </c>
      <c r="S234">
        <v>53</v>
      </c>
      <c r="T234">
        <v>156</v>
      </c>
      <c r="U234">
        <v>62</v>
      </c>
      <c r="V234">
        <v>9</v>
      </c>
      <c r="W234">
        <v>1</v>
      </c>
      <c r="X234">
        <v>21.7784352399737</v>
      </c>
      <c r="Y234">
        <v>25.476660092044707</v>
      </c>
      <c r="Z234">
        <v>3.6982248520710073</v>
      </c>
      <c r="AA234">
        <v>2</v>
      </c>
      <c r="AB234">
        <v>3</v>
      </c>
      <c r="AC234" t="s">
        <v>44</v>
      </c>
      <c r="AD234">
        <v>1</v>
      </c>
      <c r="AE234">
        <v>0</v>
      </c>
      <c r="AG234">
        <v>5</v>
      </c>
      <c r="AH234">
        <v>1</v>
      </c>
      <c r="AI234">
        <v>2</v>
      </c>
      <c r="AJ234">
        <v>5</v>
      </c>
      <c r="AK234">
        <v>7</v>
      </c>
      <c r="AL234">
        <v>1</v>
      </c>
      <c r="AM234">
        <f>AJ234*AK234*AL234/7</f>
        <v>5</v>
      </c>
      <c r="AN234" t="s">
        <v>57</v>
      </c>
      <c r="AO234">
        <v>0</v>
      </c>
      <c r="AV234">
        <f>AU234+AM234</f>
        <v>5</v>
      </c>
      <c r="AX234">
        <v>0</v>
      </c>
      <c r="BE234">
        <f>AM234+AU234+BD234</f>
        <v>5</v>
      </c>
      <c r="BG234">
        <v>0</v>
      </c>
      <c r="BJ234" t="s">
        <v>49</v>
      </c>
      <c r="BK234">
        <v>5</v>
      </c>
      <c r="BL234">
        <v>3</v>
      </c>
      <c r="BM234">
        <v>1</v>
      </c>
      <c r="BN234" t="s">
        <v>30</v>
      </c>
      <c r="BO234">
        <v>1</v>
      </c>
      <c r="BP234">
        <v>168</v>
      </c>
      <c r="BQ234">
        <v>0.13</v>
      </c>
      <c r="BR234">
        <v>2</v>
      </c>
      <c r="BS234">
        <v>0.26</v>
      </c>
      <c r="BT234">
        <f>BS234+BD234+AU234+AM234</f>
        <v>5.26</v>
      </c>
      <c r="BU234">
        <v>1</v>
      </c>
      <c r="BV234">
        <v>3</v>
      </c>
      <c r="BW234">
        <v>439.5</v>
      </c>
      <c r="BX234">
        <f>BW234/7</f>
        <v>62.785714285714285</v>
      </c>
      <c r="BY234">
        <f>0.00077*BX234</f>
        <v>4.8344999999999999E-2</v>
      </c>
      <c r="BZ234">
        <f t="shared" si="3"/>
        <v>5.3083450000000001</v>
      </c>
    </row>
    <row r="235" spans="1:78">
      <c r="A235" s="1">
        <v>45176.91527986111</v>
      </c>
      <c r="C235">
        <v>234</v>
      </c>
      <c r="D235" s="10">
        <v>31455</v>
      </c>
      <c r="E235">
        <v>37</v>
      </c>
      <c r="F235">
        <v>1</v>
      </c>
      <c r="G235">
        <v>6</v>
      </c>
      <c r="H235">
        <v>4</v>
      </c>
      <c r="I235" s="10">
        <v>44099</v>
      </c>
      <c r="J235">
        <v>1</v>
      </c>
      <c r="K235">
        <v>1</v>
      </c>
      <c r="L235">
        <v>2</v>
      </c>
      <c r="M235">
        <v>2735</v>
      </c>
      <c r="N235">
        <v>2</v>
      </c>
      <c r="O235" s="10">
        <v>43861</v>
      </c>
      <c r="P235">
        <v>0</v>
      </c>
      <c r="Q235">
        <v>34</v>
      </c>
      <c r="R235">
        <v>3</v>
      </c>
      <c r="S235">
        <v>49</v>
      </c>
      <c r="T235">
        <v>152</v>
      </c>
      <c r="U235">
        <v>59</v>
      </c>
      <c r="V235">
        <v>10</v>
      </c>
      <c r="W235">
        <v>1</v>
      </c>
      <c r="X235">
        <v>21.208448753462605</v>
      </c>
      <c r="Y235">
        <v>25.536703601108034</v>
      </c>
      <c r="Z235">
        <v>4.3282548476454288</v>
      </c>
      <c r="AA235">
        <v>2</v>
      </c>
      <c r="AB235">
        <v>3</v>
      </c>
      <c r="AC235" t="s">
        <v>33</v>
      </c>
      <c r="AD235">
        <v>3</v>
      </c>
      <c r="AE235">
        <v>0</v>
      </c>
      <c r="AG235">
        <v>5</v>
      </c>
      <c r="AH235">
        <v>0</v>
      </c>
      <c r="AI235">
        <v>0</v>
      </c>
      <c r="AN235" t="s">
        <v>41</v>
      </c>
      <c r="AO235">
        <v>0</v>
      </c>
      <c r="AX235">
        <v>1</v>
      </c>
      <c r="AY235" t="s">
        <v>876</v>
      </c>
      <c r="AZ235">
        <v>1</v>
      </c>
      <c r="BA235">
        <v>0.8</v>
      </c>
      <c r="BB235">
        <v>7</v>
      </c>
      <c r="BC235">
        <v>1</v>
      </c>
      <c r="BD235">
        <f>BA235*BB235*1/7</f>
        <v>0.8</v>
      </c>
      <c r="BE235">
        <f>AM235+AU235+BD235</f>
        <v>0.8</v>
      </c>
      <c r="BF235" t="s">
        <v>876</v>
      </c>
      <c r="BG235">
        <v>0</v>
      </c>
      <c r="BH235">
        <v>7</v>
      </c>
      <c r="BI235">
        <v>1</v>
      </c>
      <c r="BJ235" t="s">
        <v>42</v>
      </c>
      <c r="BK235">
        <v>6</v>
      </c>
      <c r="BL235">
        <v>1</v>
      </c>
      <c r="BM235">
        <v>1</v>
      </c>
      <c r="BN235" t="s">
        <v>30</v>
      </c>
      <c r="BO235">
        <v>1</v>
      </c>
      <c r="BP235">
        <v>168</v>
      </c>
      <c r="BQ235">
        <v>0.13</v>
      </c>
      <c r="BR235">
        <v>2</v>
      </c>
      <c r="BS235">
        <v>0.26</v>
      </c>
      <c r="BT235">
        <f>BS235+BD235+AU235+AM235</f>
        <v>1.06</v>
      </c>
      <c r="BU235">
        <v>1</v>
      </c>
      <c r="BV235">
        <v>2</v>
      </c>
      <c r="BW235">
        <v>293</v>
      </c>
      <c r="BX235">
        <f>BW235/7</f>
        <v>41.857142857142854</v>
      </c>
      <c r="BY235">
        <f>0.00077*BX235</f>
        <v>3.2229999999999995E-2</v>
      </c>
      <c r="BZ235">
        <f t="shared" si="3"/>
        <v>1.09223</v>
      </c>
    </row>
    <row r="236" spans="1:78">
      <c r="A236" s="1">
        <v>45176.93141237268</v>
      </c>
      <c r="C236">
        <v>235</v>
      </c>
      <c r="D236" s="10">
        <v>35077</v>
      </c>
      <c r="E236">
        <v>27</v>
      </c>
      <c r="F236">
        <v>1</v>
      </c>
      <c r="G236">
        <v>4</v>
      </c>
      <c r="H236">
        <v>4</v>
      </c>
      <c r="I236" s="10">
        <v>44088</v>
      </c>
      <c r="J236">
        <v>1</v>
      </c>
      <c r="K236">
        <v>1</v>
      </c>
      <c r="L236">
        <v>2</v>
      </c>
      <c r="M236">
        <v>3360</v>
      </c>
      <c r="N236">
        <v>2</v>
      </c>
      <c r="O236" s="10">
        <v>43815</v>
      </c>
      <c r="P236">
        <v>0</v>
      </c>
      <c r="Q236">
        <v>39</v>
      </c>
      <c r="R236">
        <v>2</v>
      </c>
      <c r="S236">
        <v>75</v>
      </c>
      <c r="T236">
        <v>169</v>
      </c>
      <c r="U236">
        <v>83</v>
      </c>
      <c r="V236">
        <v>8</v>
      </c>
      <c r="W236">
        <v>2</v>
      </c>
      <c r="X236">
        <v>26.259584748433181</v>
      </c>
      <c r="Y236">
        <v>29.060607121599386</v>
      </c>
      <c r="Z236">
        <v>2.8010223731662052</v>
      </c>
      <c r="AA236">
        <v>3</v>
      </c>
      <c r="AB236">
        <v>3</v>
      </c>
      <c r="AC236" t="s">
        <v>33</v>
      </c>
      <c r="AD236">
        <v>3</v>
      </c>
      <c r="AE236">
        <v>0</v>
      </c>
      <c r="AG236">
        <v>5</v>
      </c>
      <c r="AH236">
        <v>1</v>
      </c>
      <c r="AI236">
        <v>13</v>
      </c>
      <c r="AJ236">
        <v>1</v>
      </c>
      <c r="AK236">
        <v>7</v>
      </c>
      <c r="AL236">
        <v>1</v>
      </c>
      <c r="AM236">
        <f>AJ236*AK236*AL236/7</f>
        <v>1</v>
      </c>
      <c r="AN236" t="s">
        <v>79</v>
      </c>
      <c r="AO236">
        <v>0</v>
      </c>
      <c r="AV236">
        <f>AU236+AM236</f>
        <v>1</v>
      </c>
      <c r="AX236">
        <v>0</v>
      </c>
      <c r="BE236">
        <f>AM236+AU236+BD236</f>
        <v>1</v>
      </c>
      <c r="BG236">
        <v>0</v>
      </c>
      <c r="BJ236" t="s">
        <v>49</v>
      </c>
      <c r="BK236">
        <v>5</v>
      </c>
      <c r="BL236">
        <v>1</v>
      </c>
      <c r="BM236">
        <v>1</v>
      </c>
      <c r="BN236" t="s">
        <v>30</v>
      </c>
      <c r="BO236">
        <v>1</v>
      </c>
      <c r="BP236">
        <v>168</v>
      </c>
      <c r="BQ236">
        <v>0.13</v>
      </c>
      <c r="BR236">
        <v>2</v>
      </c>
      <c r="BS236">
        <v>0.26</v>
      </c>
      <c r="BT236">
        <f>BS236+BD236+AU236+AM236</f>
        <v>1.26</v>
      </c>
      <c r="BU236">
        <v>1</v>
      </c>
      <c r="BV236">
        <v>1</v>
      </c>
      <c r="BW236">
        <v>146.5</v>
      </c>
      <c r="BX236">
        <f>BW236/7</f>
        <v>20.928571428571427</v>
      </c>
      <c r="BY236">
        <f>0.00077*BX236</f>
        <v>1.6114999999999997E-2</v>
      </c>
      <c r="BZ236">
        <f t="shared" si="3"/>
        <v>1.2761150000000001</v>
      </c>
    </row>
    <row r="237" spans="1:78">
      <c r="A237" s="1">
        <v>45176.961380729168</v>
      </c>
      <c r="B237" t="s">
        <v>865</v>
      </c>
      <c r="C237">
        <v>236</v>
      </c>
      <c r="D237" s="10">
        <v>31610</v>
      </c>
      <c r="E237">
        <v>37</v>
      </c>
      <c r="F237">
        <v>1</v>
      </c>
      <c r="G237">
        <v>1</v>
      </c>
      <c r="H237">
        <v>3</v>
      </c>
      <c r="I237" s="10">
        <v>45102</v>
      </c>
      <c r="J237">
        <v>2</v>
      </c>
      <c r="K237">
        <v>0</v>
      </c>
      <c r="L237">
        <v>2</v>
      </c>
      <c r="M237">
        <v>3030</v>
      </c>
      <c r="N237">
        <v>2</v>
      </c>
      <c r="O237" s="10">
        <v>44829</v>
      </c>
      <c r="P237">
        <v>0</v>
      </c>
      <c r="Q237">
        <v>39</v>
      </c>
      <c r="R237">
        <v>2</v>
      </c>
      <c r="S237">
        <v>85</v>
      </c>
      <c r="T237">
        <v>164</v>
      </c>
      <c r="U237">
        <v>85</v>
      </c>
      <c r="V237">
        <v>0</v>
      </c>
      <c r="W237">
        <v>1</v>
      </c>
      <c r="X237">
        <v>31.603212373587155</v>
      </c>
      <c r="Y237">
        <v>31.603212373587155</v>
      </c>
      <c r="Z237">
        <v>0</v>
      </c>
      <c r="AA237">
        <v>4</v>
      </c>
      <c r="AB237">
        <v>4</v>
      </c>
      <c r="AC237" t="s">
        <v>33</v>
      </c>
      <c r="AD237">
        <v>3</v>
      </c>
      <c r="AE237">
        <v>0</v>
      </c>
      <c r="AG237">
        <v>5</v>
      </c>
      <c r="AH237">
        <v>1</v>
      </c>
      <c r="AI237">
        <v>13</v>
      </c>
      <c r="AJ237">
        <v>1</v>
      </c>
      <c r="AK237">
        <v>7</v>
      </c>
      <c r="AL237">
        <v>1</v>
      </c>
      <c r="AM237">
        <f>AJ237*AK237*AL237/7</f>
        <v>1</v>
      </c>
      <c r="AN237" t="s">
        <v>79</v>
      </c>
      <c r="AO237">
        <v>0</v>
      </c>
      <c r="AV237">
        <f>AU237+AM237</f>
        <v>1</v>
      </c>
      <c r="AW237" t="s">
        <v>316</v>
      </c>
      <c r="AX237">
        <v>1</v>
      </c>
      <c r="AY237" t="s">
        <v>316</v>
      </c>
      <c r="AZ237">
        <v>16</v>
      </c>
      <c r="BA237" t="s">
        <v>258</v>
      </c>
      <c r="BB237">
        <v>7</v>
      </c>
      <c r="BC237">
        <v>1</v>
      </c>
      <c r="BE237">
        <f>AM237+AU237+BD237</f>
        <v>1</v>
      </c>
      <c r="BF237" t="s">
        <v>316</v>
      </c>
      <c r="BG237" t="s">
        <v>258</v>
      </c>
      <c r="BH237">
        <v>7</v>
      </c>
      <c r="BI237">
        <v>1</v>
      </c>
      <c r="BJ237" t="s">
        <v>49</v>
      </c>
      <c r="BK237">
        <v>5</v>
      </c>
      <c r="BL237">
        <v>1</v>
      </c>
      <c r="BM237">
        <v>1</v>
      </c>
      <c r="BN237" t="s">
        <v>55</v>
      </c>
      <c r="BO237">
        <v>2</v>
      </c>
      <c r="BP237">
        <v>134</v>
      </c>
      <c r="BQ237">
        <v>0.1</v>
      </c>
      <c r="BR237">
        <v>2</v>
      </c>
      <c r="BS237">
        <v>0.2</v>
      </c>
      <c r="BT237">
        <f>BS237+BD237+AU237+AM237</f>
        <v>1.2</v>
      </c>
      <c r="BU237">
        <v>1</v>
      </c>
      <c r="BV237">
        <v>2</v>
      </c>
      <c r="BW237">
        <v>293</v>
      </c>
      <c r="BX237">
        <f>BW237/7</f>
        <v>41.857142857142854</v>
      </c>
      <c r="BY237">
        <f>0.00077*BX237</f>
        <v>3.2229999999999995E-2</v>
      </c>
      <c r="BZ237">
        <f t="shared" si="3"/>
        <v>1.2322299999999999</v>
      </c>
    </row>
    <row r="238" spans="1:78">
      <c r="A238" s="1">
        <v>45177.125064895838</v>
      </c>
      <c r="C238">
        <v>237</v>
      </c>
      <c r="D238" s="10">
        <v>32665</v>
      </c>
      <c r="E238">
        <v>34</v>
      </c>
      <c r="F238">
        <v>1</v>
      </c>
      <c r="G238">
        <v>2</v>
      </c>
      <c r="H238">
        <v>4</v>
      </c>
      <c r="I238" s="10">
        <v>44474</v>
      </c>
      <c r="J238">
        <v>1</v>
      </c>
      <c r="K238">
        <v>1</v>
      </c>
      <c r="L238">
        <v>1</v>
      </c>
      <c r="M238">
        <v>3150</v>
      </c>
      <c r="N238">
        <v>2</v>
      </c>
      <c r="O238" s="10">
        <v>44194</v>
      </c>
      <c r="P238">
        <v>1</v>
      </c>
      <c r="Q238">
        <v>40</v>
      </c>
      <c r="R238">
        <v>2</v>
      </c>
      <c r="S238">
        <v>77</v>
      </c>
      <c r="T238">
        <v>164</v>
      </c>
      <c r="U238">
        <v>92</v>
      </c>
      <c r="V238">
        <v>15</v>
      </c>
      <c r="W238">
        <v>3</v>
      </c>
      <c r="X238">
        <v>28.628792385484836</v>
      </c>
      <c r="Y238">
        <v>34.205829863176689</v>
      </c>
      <c r="Z238">
        <v>5.577037477691853</v>
      </c>
      <c r="AA238">
        <v>3</v>
      </c>
      <c r="AB238">
        <v>4</v>
      </c>
      <c r="AC238" t="s">
        <v>33</v>
      </c>
      <c r="AD238">
        <v>3</v>
      </c>
      <c r="AE238">
        <v>0</v>
      </c>
      <c r="AG238">
        <v>5</v>
      </c>
      <c r="AH238">
        <v>1</v>
      </c>
      <c r="AI238">
        <v>5</v>
      </c>
      <c r="AJ238">
        <v>5</v>
      </c>
      <c r="AK238">
        <v>7</v>
      </c>
      <c r="AL238">
        <v>1</v>
      </c>
      <c r="AM238">
        <f>AJ238*AK238*AL238/7</f>
        <v>5</v>
      </c>
      <c r="AN238" t="s">
        <v>27</v>
      </c>
      <c r="AO238">
        <v>0</v>
      </c>
      <c r="AV238">
        <f>AU238+AM238</f>
        <v>5</v>
      </c>
      <c r="AW238" t="s">
        <v>61</v>
      </c>
      <c r="AX238">
        <v>1</v>
      </c>
      <c r="AY238" t="s">
        <v>61</v>
      </c>
      <c r="AZ238">
        <v>2</v>
      </c>
      <c r="BA238">
        <v>0.27</v>
      </c>
      <c r="BB238">
        <v>7</v>
      </c>
      <c r="BC238">
        <v>1</v>
      </c>
      <c r="BD238">
        <f>BA238*BB238*1/7</f>
        <v>0.27</v>
      </c>
      <c r="BE238">
        <f>AM238+AU238+BD238</f>
        <v>5.27</v>
      </c>
      <c r="BF238" t="s">
        <v>61</v>
      </c>
      <c r="BG238">
        <v>0</v>
      </c>
      <c r="BH238">
        <v>7</v>
      </c>
      <c r="BI238">
        <v>1</v>
      </c>
      <c r="BJ238" t="s">
        <v>28</v>
      </c>
      <c r="BK238">
        <v>3</v>
      </c>
      <c r="BL238">
        <v>1</v>
      </c>
      <c r="BM238">
        <v>1</v>
      </c>
      <c r="BN238" t="s">
        <v>111</v>
      </c>
      <c r="BO238">
        <v>7</v>
      </c>
      <c r="BP238">
        <v>300</v>
      </c>
      <c r="BQ238">
        <v>0.23</v>
      </c>
      <c r="BR238">
        <v>2</v>
      </c>
      <c r="BS238">
        <v>0.46</v>
      </c>
      <c r="BT238">
        <f>BS238+BD238+AU238+AM238</f>
        <v>5.73</v>
      </c>
      <c r="BU238">
        <v>1</v>
      </c>
      <c r="BV238">
        <v>2</v>
      </c>
      <c r="BW238">
        <v>293</v>
      </c>
      <c r="BX238">
        <f>BW238/7</f>
        <v>41.857142857142854</v>
      </c>
      <c r="BY238">
        <f>0.00077*BX238</f>
        <v>3.2229999999999995E-2</v>
      </c>
      <c r="BZ238">
        <f t="shared" si="3"/>
        <v>5.7622300000000006</v>
      </c>
    </row>
    <row r="239" spans="1:78">
      <c r="A239" s="1">
        <v>45177.273075821759</v>
      </c>
      <c r="C239">
        <v>238</v>
      </c>
      <c r="D239" s="10">
        <v>37253</v>
      </c>
      <c r="E239">
        <v>21</v>
      </c>
      <c r="F239">
        <v>1</v>
      </c>
      <c r="G239">
        <v>4</v>
      </c>
      <c r="H239">
        <v>2</v>
      </c>
      <c r="I239" s="10">
        <v>44473</v>
      </c>
      <c r="J239">
        <v>1</v>
      </c>
      <c r="K239">
        <v>1</v>
      </c>
      <c r="L239">
        <v>1</v>
      </c>
      <c r="M239">
        <v>2960</v>
      </c>
      <c r="N239">
        <v>2</v>
      </c>
      <c r="O239" s="10">
        <v>44191</v>
      </c>
      <c r="P239">
        <v>1</v>
      </c>
      <c r="Q239">
        <v>40.285714285714285</v>
      </c>
      <c r="R239">
        <v>2</v>
      </c>
      <c r="S239">
        <v>65</v>
      </c>
      <c r="T239">
        <v>150</v>
      </c>
      <c r="U239">
        <v>95</v>
      </c>
      <c r="V239">
        <v>30</v>
      </c>
      <c r="W239">
        <v>3</v>
      </c>
      <c r="X239">
        <v>28.888888888888889</v>
      </c>
      <c r="Y239">
        <v>42.222222222222221</v>
      </c>
      <c r="Z239">
        <v>13.333333333333332</v>
      </c>
      <c r="AA239">
        <v>3</v>
      </c>
      <c r="AB239">
        <v>4</v>
      </c>
      <c r="AC239" t="s">
        <v>33</v>
      </c>
      <c r="AD239">
        <v>3</v>
      </c>
      <c r="AE239">
        <v>0</v>
      </c>
      <c r="AG239">
        <v>5</v>
      </c>
      <c r="AH239">
        <v>1</v>
      </c>
      <c r="AI239">
        <v>13</v>
      </c>
      <c r="AJ239">
        <v>1</v>
      </c>
      <c r="AK239">
        <v>7</v>
      </c>
      <c r="AL239">
        <v>1</v>
      </c>
      <c r="AM239">
        <f>AJ239*AK239*AL239/7</f>
        <v>1</v>
      </c>
      <c r="AN239" t="s">
        <v>79</v>
      </c>
      <c r="AO239">
        <v>0</v>
      </c>
      <c r="AV239">
        <f>AU239+AM239</f>
        <v>1</v>
      </c>
      <c r="AX239">
        <v>0</v>
      </c>
      <c r="BE239">
        <f>AM239+AU239+BD239</f>
        <v>1</v>
      </c>
      <c r="BG239">
        <v>0</v>
      </c>
      <c r="BJ239" t="s">
        <v>51</v>
      </c>
      <c r="BK239">
        <v>1</v>
      </c>
      <c r="BL239">
        <v>1</v>
      </c>
      <c r="BM239">
        <v>1</v>
      </c>
      <c r="BN239" t="s">
        <v>30</v>
      </c>
      <c r="BO239">
        <v>1</v>
      </c>
      <c r="BP239">
        <v>168</v>
      </c>
      <c r="BQ239">
        <v>0.13</v>
      </c>
      <c r="BR239">
        <v>2</v>
      </c>
      <c r="BS239">
        <v>0.26</v>
      </c>
      <c r="BT239">
        <f>BS239+BD239+AU239+AM239</f>
        <v>1.26</v>
      </c>
      <c r="BU239">
        <v>1</v>
      </c>
      <c r="BV239">
        <v>2</v>
      </c>
      <c r="BW239">
        <v>293</v>
      </c>
      <c r="BX239">
        <f>BW239/7</f>
        <v>41.857142857142854</v>
      </c>
      <c r="BY239">
        <f>0.00077*BX239</f>
        <v>3.2229999999999995E-2</v>
      </c>
      <c r="BZ239">
        <f t="shared" si="3"/>
        <v>1.29223</v>
      </c>
    </row>
    <row r="240" spans="1:78">
      <c r="A240" s="1">
        <v>45177.355621249997</v>
      </c>
      <c r="C240">
        <v>239</v>
      </c>
      <c r="D240" s="10">
        <v>32108</v>
      </c>
      <c r="E240">
        <v>37</v>
      </c>
      <c r="F240">
        <v>1</v>
      </c>
      <c r="G240">
        <v>4</v>
      </c>
      <c r="H240">
        <v>2</v>
      </c>
      <c r="I240" s="10">
        <v>43453</v>
      </c>
      <c r="J240">
        <v>2</v>
      </c>
      <c r="K240">
        <v>0</v>
      </c>
      <c r="L240">
        <v>1</v>
      </c>
      <c r="M240">
        <v>2000</v>
      </c>
      <c r="N240">
        <v>1</v>
      </c>
      <c r="O240" s="10">
        <v>43187</v>
      </c>
      <c r="P240">
        <v>0</v>
      </c>
      <c r="Q240">
        <v>38</v>
      </c>
      <c r="R240">
        <v>2</v>
      </c>
      <c r="S240">
        <v>76</v>
      </c>
      <c r="T240">
        <v>165</v>
      </c>
      <c r="U240">
        <v>89</v>
      </c>
      <c r="V240">
        <v>13</v>
      </c>
      <c r="W240">
        <v>3</v>
      </c>
      <c r="X240">
        <v>27.915518824609737</v>
      </c>
      <c r="Y240">
        <v>32.690541781450875</v>
      </c>
      <c r="Z240">
        <v>4.7750229568411378</v>
      </c>
      <c r="AA240">
        <v>3</v>
      </c>
      <c r="AB240">
        <v>4</v>
      </c>
      <c r="AC240" t="s">
        <v>33</v>
      </c>
      <c r="AD240">
        <v>3</v>
      </c>
      <c r="AE240">
        <v>0</v>
      </c>
      <c r="AG240">
        <v>5</v>
      </c>
      <c r="AH240">
        <v>1</v>
      </c>
      <c r="AI240">
        <v>13</v>
      </c>
      <c r="AJ240">
        <v>1</v>
      </c>
      <c r="AK240">
        <v>7</v>
      </c>
      <c r="AL240">
        <v>1</v>
      </c>
      <c r="AM240">
        <f>AJ240*AK240*AL240/7</f>
        <v>1</v>
      </c>
      <c r="AN240" t="s">
        <v>79</v>
      </c>
      <c r="AO240">
        <v>0</v>
      </c>
      <c r="AV240">
        <f>AU240+AM240</f>
        <v>1</v>
      </c>
      <c r="AX240">
        <v>0</v>
      </c>
      <c r="BE240">
        <f>AM240+AU240+BD240</f>
        <v>1</v>
      </c>
      <c r="BG240">
        <v>0</v>
      </c>
      <c r="BJ240" t="s">
        <v>42</v>
      </c>
      <c r="BK240">
        <v>6</v>
      </c>
      <c r="BL240">
        <v>1</v>
      </c>
      <c r="BM240">
        <v>1</v>
      </c>
      <c r="BN240" t="s">
        <v>55</v>
      </c>
      <c r="BO240">
        <v>2</v>
      </c>
      <c r="BP240">
        <v>134</v>
      </c>
      <c r="BQ240">
        <v>0.1</v>
      </c>
      <c r="BR240">
        <v>2</v>
      </c>
      <c r="BS240">
        <v>0.2</v>
      </c>
      <c r="BT240">
        <f>BS240+BD240+AU240+AM240</f>
        <v>1.2</v>
      </c>
      <c r="BU240">
        <v>1</v>
      </c>
      <c r="BV240">
        <v>3</v>
      </c>
      <c r="BW240">
        <v>439.5</v>
      </c>
      <c r="BX240">
        <f>BW240/7</f>
        <v>62.785714285714285</v>
      </c>
      <c r="BY240">
        <f>0.00077*BX240</f>
        <v>4.8344999999999999E-2</v>
      </c>
      <c r="BZ240">
        <f t="shared" si="3"/>
        <v>1.248345</v>
      </c>
    </row>
    <row r="241" spans="1:78">
      <c r="A241" s="1">
        <v>45177.446426435185</v>
      </c>
      <c r="C241">
        <v>240</v>
      </c>
      <c r="D241" s="10">
        <v>29021</v>
      </c>
      <c r="E241">
        <v>44</v>
      </c>
      <c r="F241">
        <v>1</v>
      </c>
      <c r="G241">
        <v>4</v>
      </c>
      <c r="H241">
        <v>4</v>
      </c>
      <c r="I241" s="10">
        <v>43988</v>
      </c>
      <c r="J241">
        <v>1</v>
      </c>
      <c r="K241">
        <v>1</v>
      </c>
      <c r="L241">
        <v>2</v>
      </c>
      <c r="M241">
        <v>3470</v>
      </c>
      <c r="N241">
        <v>2</v>
      </c>
      <c r="O241" s="10">
        <v>43722</v>
      </c>
      <c r="P241">
        <v>0</v>
      </c>
      <c r="Q241">
        <v>38</v>
      </c>
      <c r="R241">
        <v>2</v>
      </c>
      <c r="S241">
        <v>73</v>
      </c>
      <c r="T241">
        <v>166</v>
      </c>
      <c r="U241">
        <v>86</v>
      </c>
      <c r="V241">
        <v>13</v>
      </c>
      <c r="W241">
        <v>3</v>
      </c>
      <c r="X241">
        <v>26.491508201480624</v>
      </c>
      <c r="Y241">
        <v>31.20917404557991</v>
      </c>
      <c r="Z241">
        <v>4.7176658440992867</v>
      </c>
      <c r="AA241">
        <v>3</v>
      </c>
      <c r="AB241">
        <v>4</v>
      </c>
      <c r="AC241" t="s">
        <v>44</v>
      </c>
      <c r="AD241">
        <v>1</v>
      </c>
      <c r="AE241">
        <v>0</v>
      </c>
      <c r="AG241">
        <v>5</v>
      </c>
      <c r="AH241">
        <v>0</v>
      </c>
      <c r="AI241">
        <v>0</v>
      </c>
      <c r="AN241" t="s">
        <v>41</v>
      </c>
      <c r="AO241">
        <v>0</v>
      </c>
      <c r="AW241" t="s">
        <v>58</v>
      </c>
      <c r="AX241">
        <v>1</v>
      </c>
      <c r="AY241" t="s">
        <v>58</v>
      </c>
      <c r="AZ241">
        <v>1</v>
      </c>
      <c r="BA241">
        <v>0.8</v>
      </c>
      <c r="BB241">
        <v>7</v>
      </c>
      <c r="BC241">
        <v>1</v>
      </c>
      <c r="BD241">
        <f>BA241*BB241*1/7</f>
        <v>0.8</v>
      </c>
      <c r="BE241">
        <f>AM241+AU241+BD241</f>
        <v>0.8</v>
      </c>
      <c r="BF241" t="s">
        <v>58</v>
      </c>
      <c r="BG241">
        <v>0</v>
      </c>
      <c r="BH241">
        <v>7</v>
      </c>
      <c r="BI241">
        <v>1</v>
      </c>
      <c r="BJ241" t="s">
        <v>42</v>
      </c>
      <c r="BK241">
        <v>6</v>
      </c>
      <c r="BL241">
        <v>1</v>
      </c>
      <c r="BM241">
        <v>1</v>
      </c>
      <c r="BN241" t="s">
        <v>30</v>
      </c>
      <c r="BO241">
        <v>1</v>
      </c>
      <c r="BP241">
        <v>168</v>
      </c>
      <c r="BQ241">
        <v>0.13</v>
      </c>
      <c r="BR241">
        <v>2</v>
      </c>
      <c r="BS241">
        <v>0.26</v>
      </c>
      <c r="BT241">
        <f>BS241+BD241+AU241+AM241</f>
        <v>1.06</v>
      </c>
      <c r="BU241">
        <v>1</v>
      </c>
      <c r="BV241">
        <v>1</v>
      </c>
      <c r="BW241">
        <v>146.5</v>
      </c>
      <c r="BX241">
        <f>BW241/7</f>
        <v>20.928571428571427</v>
      </c>
      <c r="BY241">
        <f>0.00077*BX241</f>
        <v>1.6114999999999997E-2</v>
      </c>
      <c r="BZ241">
        <f t="shared" si="3"/>
        <v>1.0761150000000002</v>
      </c>
    </row>
    <row r="242" spans="1:78">
      <c r="A242" s="1">
        <v>45177.598590983791</v>
      </c>
      <c r="C242">
        <v>241</v>
      </c>
      <c r="D242" s="10">
        <v>31484</v>
      </c>
      <c r="E242">
        <v>37</v>
      </c>
      <c r="F242">
        <v>1</v>
      </c>
      <c r="G242">
        <v>4</v>
      </c>
      <c r="H242">
        <v>4</v>
      </c>
      <c r="I242" s="10">
        <v>43741</v>
      </c>
      <c r="J242">
        <v>1</v>
      </c>
      <c r="K242">
        <v>1</v>
      </c>
      <c r="L242">
        <v>1</v>
      </c>
      <c r="M242">
        <v>3490</v>
      </c>
      <c r="N242">
        <v>2</v>
      </c>
      <c r="O242" s="10">
        <v>43489</v>
      </c>
      <c r="P242">
        <v>0</v>
      </c>
      <c r="Q242">
        <v>36</v>
      </c>
      <c r="R242">
        <v>3</v>
      </c>
      <c r="S242">
        <v>85</v>
      </c>
      <c r="T242">
        <v>167</v>
      </c>
      <c r="U242">
        <v>85</v>
      </c>
      <c r="V242">
        <v>0</v>
      </c>
      <c r="W242">
        <v>1</v>
      </c>
      <c r="X242">
        <v>30.477966223242138</v>
      </c>
      <c r="Y242">
        <v>30.477966223242138</v>
      </c>
      <c r="Z242">
        <v>0</v>
      </c>
      <c r="AA242">
        <v>4</v>
      </c>
      <c r="AB242">
        <v>4</v>
      </c>
      <c r="AC242" t="s">
        <v>33</v>
      </c>
      <c r="AD242">
        <v>3</v>
      </c>
      <c r="AE242">
        <v>0</v>
      </c>
      <c r="AG242">
        <v>5</v>
      </c>
      <c r="AH242">
        <v>1</v>
      </c>
      <c r="AI242">
        <v>4</v>
      </c>
      <c r="AJ242">
        <v>1</v>
      </c>
      <c r="AK242">
        <v>7</v>
      </c>
      <c r="AL242">
        <v>1</v>
      </c>
      <c r="AM242">
        <f>AJ242*AK242*AL242/7</f>
        <v>1</v>
      </c>
      <c r="AN242" t="s">
        <v>43</v>
      </c>
      <c r="AO242">
        <v>0</v>
      </c>
      <c r="AV242">
        <f>AU242+AM242</f>
        <v>1</v>
      </c>
      <c r="AW242" t="s">
        <v>219</v>
      </c>
      <c r="AX242">
        <v>1</v>
      </c>
      <c r="AY242" t="s">
        <v>219</v>
      </c>
      <c r="AZ242">
        <v>5</v>
      </c>
      <c r="BA242">
        <v>0.4</v>
      </c>
      <c r="BB242">
        <v>7</v>
      </c>
      <c r="BC242">
        <v>1</v>
      </c>
      <c r="BD242">
        <f>BA242*BB242*1/7</f>
        <v>0.4</v>
      </c>
      <c r="BE242">
        <f>AM242+AU242+BD242</f>
        <v>1.4</v>
      </c>
      <c r="BF242" t="s">
        <v>219</v>
      </c>
      <c r="BG242">
        <v>0</v>
      </c>
      <c r="BH242">
        <v>7</v>
      </c>
      <c r="BI242">
        <v>1</v>
      </c>
      <c r="BJ242" t="s">
        <v>36</v>
      </c>
      <c r="BK242">
        <v>4</v>
      </c>
      <c r="BL242">
        <v>3</v>
      </c>
      <c r="BM242">
        <v>1</v>
      </c>
      <c r="BN242" t="s">
        <v>30</v>
      </c>
      <c r="BO242">
        <v>1</v>
      </c>
      <c r="BP242">
        <v>168</v>
      </c>
      <c r="BQ242">
        <v>0.13</v>
      </c>
      <c r="BR242">
        <v>2</v>
      </c>
      <c r="BS242">
        <v>0.26</v>
      </c>
      <c r="BT242">
        <f>BS242+BD242+AU242+AM242</f>
        <v>1.6600000000000001</v>
      </c>
      <c r="BU242">
        <v>1</v>
      </c>
      <c r="BV242">
        <v>2</v>
      </c>
      <c r="BW242">
        <v>293</v>
      </c>
      <c r="BX242">
        <f>BW242/7</f>
        <v>41.857142857142854</v>
      </c>
      <c r="BY242">
        <f>0.00077*BX242</f>
        <v>3.2229999999999995E-2</v>
      </c>
      <c r="BZ242">
        <f t="shared" si="3"/>
        <v>1.6922300000000001</v>
      </c>
    </row>
    <row r="243" spans="1:78">
      <c r="A243" s="1">
        <v>45178.41558296296</v>
      </c>
      <c r="B243" s="8" t="s">
        <v>864</v>
      </c>
      <c r="C243">
        <v>242</v>
      </c>
      <c r="D243" s="10">
        <v>31651</v>
      </c>
      <c r="E243">
        <v>37</v>
      </c>
      <c r="F243">
        <v>2</v>
      </c>
      <c r="G243">
        <v>1</v>
      </c>
      <c r="H243">
        <v>4</v>
      </c>
      <c r="I243" s="10">
        <v>39311</v>
      </c>
      <c r="J243">
        <v>1</v>
      </c>
      <c r="K243">
        <v>1</v>
      </c>
      <c r="L243">
        <v>2</v>
      </c>
      <c r="M243">
        <v>3000</v>
      </c>
      <c r="N243">
        <v>2</v>
      </c>
      <c r="O243" s="10">
        <v>39045</v>
      </c>
      <c r="P243">
        <v>0</v>
      </c>
      <c r="Q243">
        <v>38</v>
      </c>
      <c r="R243">
        <v>2</v>
      </c>
      <c r="S243">
        <v>50</v>
      </c>
      <c r="T243">
        <v>172</v>
      </c>
      <c r="U243">
        <v>60</v>
      </c>
      <c r="V243">
        <v>10</v>
      </c>
      <c r="W243">
        <v>1</v>
      </c>
      <c r="X243">
        <v>16.901027582477017</v>
      </c>
      <c r="Y243">
        <v>20.281233098972418</v>
      </c>
      <c r="Z243">
        <v>3.3802055164954012</v>
      </c>
      <c r="AA243">
        <v>1</v>
      </c>
      <c r="AB243">
        <v>2</v>
      </c>
      <c r="AC243" t="s">
        <v>33</v>
      </c>
      <c r="AD243">
        <v>3</v>
      </c>
      <c r="AE243">
        <v>0</v>
      </c>
      <c r="AG243">
        <v>5</v>
      </c>
      <c r="AH243">
        <v>1</v>
      </c>
      <c r="AI243">
        <v>13</v>
      </c>
      <c r="AJ243">
        <v>1</v>
      </c>
      <c r="AK243">
        <v>7</v>
      </c>
      <c r="AL243">
        <v>1</v>
      </c>
      <c r="AM243">
        <f>AJ243*AK243*AL243/7</f>
        <v>1</v>
      </c>
      <c r="AN243" t="s">
        <v>79</v>
      </c>
      <c r="AO243">
        <v>0</v>
      </c>
      <c r="AV243">
        <f>AU243+AM243</f>
        <v>1</v>
      </c>
      <c r="AX243">
        <v>0</v>
      </c>
      <c r="BE243">
        <f>AM243+AU243+BD243</f>
        <v>1</v>
      </c>
      <c r="BG243">
        <v>0</v>
      </c>
      <c r="BJ243" t="s">
        <v>49</v>
      </c>
      <c r="BK243">
        <v>5</v>
      </c>
      <c r="BL243" t="e">
        <v>#N/A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f>BS243+BD243+AU243+AM243</f>
        <v>1</v>
      </c>
      <c r="BU243">
        <v>1</v>
      </c>
      <c r="BV243">
        <v>2</v>
      </c>
      <c r="BW243">
        <v>293</v>
      </c>
      <c r="BX243">
        <f>BW243/7</f>
        <v>41.857142857142854</v>
      </c>
      <c r="BY243">
        <f>0.00077*BX243</f>
        <v>3.2229999999999995E-2</v>
      </c>
      <c r="BZ243">
        <f t="shared" si="3"/>
        <v>1.03223</v>
      </c>
    </row>
    <row r="244" spans="1:78">
      <c r="A244" s="1">
        <v>45178.432067083333</v>
      </c>
      <c r="C244">
        <v>243</v>
      </c>
      <c r="D244" s="10">
        <v>34763</v>
      </c>
      <c r="E244">
        <v>28</v>
      </c>
      <c r="F244">
        <v>1</v>
      </c>
      <c r="G244">
        <v>1</v>
      </c>
      <c r="H244">
        <v>4</v>
      </c>
      <c r="I244" s="10">
        <v>43981</v>
      </c>
      <c r="J244">
        <v>1</v>
      </c>
      <c r="K244">
        <v>1</v>
      </c>
      <c r="L244">
        <v>2</v>
      </c>
      <c r="M244">
        <v>3220</v>
      </c>
      <c r="N244">
        <v>2</v>
      </c>
      <c r="O244" s="10">
        <v>43716</v>
      </c>
      <c r="P244">
        <v>0</v>
      </c>
      <c r="Q244">
        <v>37.857142857142854</v>
      </c>
      <c r="R244">
        <v>2</v>
      </c>
      <c r="S244">
        <v>58</v>
      </c>
      <c r="T244">
        <v>156</v>
      </c>
      <c r="U244">
        <v>80</v>
      </c>
      <c r="V244">
        <v>22</v>
      </c>
      <c r="W244">
        <v>3</v>
      </c>
      <c r="X244">
        <v>23.83300460223537</v>
      </c>
      <c r="Y244">
        <v>32.873109796186718</v>
      </c>
      <c r="Z244">
        <v>9.0401051939513479</v>
      </c>
      <c r="AA244">
        <v>2</v>
      </c>
      <c r="AB244">
        <v>4</v>
      </c>
      <c r="AC244" t="s">
        <v>33</v>
      </c>
      <c r="AD244">
        <v>3</v>
      </c>
      <c r="AE244">
        <v>0</v>
      </c>
      <c r="AG244">
        <v>5</v>
      </c>
      <c r="AH244">
        <v>1</v>
      </c>
      <c r="AI244">
        <v>2</v>
      </c>
      <c r="AJ244">
        <v>5</v>
      </c>
      <c r="AK244">
        <v>7</v>
      </c>
      <c r="AL244">
        <v>1</v>
      </c>
      <c r="AM244">
        <f>AJ244*AK244*AL244/7</f>
        <v>5</v>
      </c>
      <c r="AN244" t="s">
        <v>57</v>
      </c>
      <c r="AO244">
        <v>0</v>
      </c>
      <c r="AV244">
        <f>AU244+AM244</f>
        <v>5</v>
      </c>
      <c r="AW244" t="s">
        <v>58</v>
      </c>
      <c r="AX244">
        <v>1</v>
      </c>
      <c r="AY244" t="s">
        <v>58</v>
      </c>
      <c r="AZ244">
        <v>1</v>
      </c>
      <c r="BA244">
        <v>0.8</v>
      </c>
      <c r="BB244">
        <v>7</v>
      </c>
      <c r="BC244">
        <v>1</v>
      </c>
      <c r="BD244">
        <f>BA244*BB244*1/7</f>
        <v>0.8</v>
      </c>
      <c r="BE244">
        <f>AM244+AU244+BD244</f>
        <v>5.8</v>
      </c>
      <c r="BF244" t="s">
        <v>58</v>
      </c>
      <c r="BG244">
        <v>0</v>
      </c>
      <c r="BH244">
        <v>7</v>
      </c>
      <c r="BI244">
        <v>1</v>
      </c>
      <c r="BJ244" t="s">
        <v>49</v>
      </c>
      <c r="BK244">
        <v>5</v>
      </c>
      <c r="BL244">
        <v>3</v>
      </c>
      <c r="BM244">
        <v>1</v>
      </c>
      <c r="BN244" t="s">
        <v>59</v>
      </c>
      <c r="BO244">
        <v>3</v>
      </c>
      <c r="BP244">
        <v>168</v>
      </c>
      <c r="BQ244">
        <v>0.08</v>
      </c>
      <c r="BR244">
        <v>3</v>
      </c>
      <c r="BS244">
        <v>0.24</v>
      </c>
      <c r="BT244">
        <f>BS244+BD244+AU244+AM244</f>
        <v>6.04</v>
      </c>
      <c r="BU244">
        <v>1</v>
      </c>
      <c r="BV244">
        <v>2</v>
      </c>
      <c r="BW244">
        <v>293</v>
      </c>
      <c r="BX244">
        <f>BW244/7</f>
        <v>41.857142857142854</v>
      </c>
      <c r="BY244">
        <f>0.00077*BX244</f>
        <v>3.2229999999999995E-2</v>
      </c>
      <c r="BZ244">
        <f t="shared" si="3"/>
        <v>6.0722300000000002</v>
      </c>
    </row>
    <row r="245" spans="1:78">
      <c r="A245" s="1">
        <v>45178.433240312501</v>
      </c>
      <c r="C245">
        <v>244</v>
      </c>
      <c r="D245" s="10">
        <v>34056</v>
      </c>
      <c r="E245">
        <v>30</v>
      </c>
      <c r="F245">
        <v>1</v>
      </c>
      <c r="G245">
        <v>1</v>
      </c>
      <c r="H245">
        <v>5</v>
      </c>
      <c r="I245" s="10">
        <v>43323</v>
      </c>
      <c r="J245">
        <v>1</v>
      </c>
      <c r="K245">
        <v>1</v>
      </c>
      <c r="L245">
        <v>2</v>
      </c>
      <c r="M245">
        <v>2970</v>
      </c>
      <c r="N245">
        <v>2</v>
      </c>
      <c r="O245" s="10">
        <v>43057</v>
      </c>
      <c r="P245">
        <v>0</v>
      </c>
      <c r="Q245">
        <v>38</v>
      </c>
      <c r="R245">
        <v>2</v>
      </c>
      <c r="S245">
        <v>50</v>
      </c>
      <c r="T245">
        <v>160</v>
      </c>
      <c r="U245">
        <v>60</v>
      </c>
      <c r="V245">
        <v>10</v>
      </c>
      <c r="W245">
        <v>1</v>
      </c>
      <c r="X245">
        <v>19.531249999999996</v>
      </c>
      <c r="Y245">
        <v>23.437499999999996</v>
      </c>
      <c r="Z245">
        <v>3.90625</v>
      </c>
      <c r="AA245">
        <v>2</v>
      </c>
      <c r="AB245">
        <v>2</v>
      </c>
      <c r="AC245" t="s">
        <v>33</v>
      </c>
      <c r="AD245">
        <v>3</v>
      </c>
      <c r="AE245">
        <v>0</v>
      </c>
      <c r="AG245">
        <v>5</v>
      </c>
      <c r="AH245">
        <v>1</v>
      </c>
      <c r="AI245">
        <v>10</v>
      </c>
      <c r="AJ245">
        <v>1</v>
      </c>
      <c r="AK245">
        <v>7</v>
      </c>
      <c r="AL245">
        <v>1</v>
      </c>
      <c r="AM245">
        <f>AJ245*AK245*AL245/7</f>
        <v>1</v>
      </c>
      <c r="AN245" t="s">
        <v>166</v>
      </c>
      <c r="AO245">
        <v>0</v>
      </c>
      <c r="AV245">
        <f>AU245+AM245</f>
        <v>1</v>
      </c>
      <c r="AX245">
        <v>0</v>
      </c>
      <c r="BE245">
        <f>AM245+AU245+BD245</f>
        <v>1</v>
      </c>
      <c r="BG245">
        <v>0</v>
      </c>
      <c r="BJ245" t="s">
        <v>49</v>
      </c>
      <c r="BK245">
        <v>5</v>
      </c>
      <c r="BL245">
        <v>1</v>
      </c>
      <c r="BM245">
        <v>1</v>
      </c>
      <c r="BN245" t="s">
        <v>37</v>
      </c>
      <c r="BO245">
        <v>4</v>
      </c>
      <c r="BP245">
        <v>55</v>
      </c>
      <c r="BQ245">
        <v>0.05</v>
      </c>
      <c r="BR245">
        <v>1</v>
      </c>
      <c r="BS245">
        <v>0.05</v>
      </c>
      <c r="BT245">
        <f>BS245+BD245+AU245+AM245</f>
        <v>1.05</v>
      </c>
      <c r="BU245">
        <v>1</v>
      </c>
      <c r="BV245">
        <v>1</v>
      </c>
      <c r="BW245">
        <v>146.5</v>
      </c>
      <c r="BX245">
        <f>BW245/7</f>
        <v>20.928571428571427</v>
      </c>
      <c r="BY245">
        <f>0.00077*BX245</f>
        <v>1.6114999999999997E-2</v>
      </c>
      <c r="BZ245">
        <f t="shared" si="3"/>
        <v>1.0661150000000001</v>
      </c>
    </row>
    <row r="246" spans="1:78">
      <c r="A246" s="1">
        <v>45180.718202928241</v>
      </c>
      <c r="C246">
        <v>245</v>
      </c>
      <c r="D246" s="10">
        <v>31736</v>
      </c>
      <c r="E246">
        <v>36</v>
      </c>
      <c r="F246">
        <v>1</v>
      </c>
      <c r="G246">
        <v>9</v>
      </c>
      <c r="H246">
        <v>4</v>
      </c>
      <c r="I246" s="10">
        <v>43635</v>
      </c>
      <c r="J246">
        <v>1</v>
      </c>
      <c r="K246">
        <v>1</v>
      </c>
      <c r="L246">
        <v>2</v>
      </c>
      <c r="M246">
        <v>3060</v>
      </c>
      <c r="N246">
        <v>2</v>
      </c>
      <c r="O246" s="10">
        <v>43376</v>
      </c>
      <c r="P246">
        <v>0</v>
      </c>
      <c r="Q246">
        <v>37</v>
      </c>
      <c r="R246">
        <v>2</v>
      </c>
      <c r="S246">
        <v>63</v>
      </c>
      <c r="T246">
        <v>164</v>
      </c>
      <c r="U246">
        <v>78</v>
      </c>
      <c r="V246">
        <v>15</v>
      </c>
      <c r="W246">
        <v>2</v>
      </c>
      <c r="X246">
        <v>23.423557406305775</v>
      </c>
      <c r="Y246">
        <v>29.000594883997625</v>
      </c>
      <c r="Z246">
        <v>5.5770374776918494</v>
      </c>
      <c r="AA246">
        <v>2</v>
      </c>
      <c r="AB246">
        <v>3</v>
      </c>
      <c r="AC246" t="s">
        <v>33</v>
      </c>
      <c r="AD246">
        <v>3</v>
      </c>
      <c r="AE246">
        <v>0</v>
      </c>
      <c r="AG246">
        <v>5</v>
      </c>
      <c r="AH246">
        <v>1</v>
      </c>
      <c r="AI246">
        <v>1</v>
      </c>
      <c r="AJ246">
        <v>1</v>
      </c>
      <c r="AK246">
        <v>7</v>
      </c>
      <c r="AL246">
        <v>1</v>
      </c>
      <c r="AM246">
        <f>AJ246*AK246*AL246/7</f>
        <v>1</v>
      </c>
      <c r="AN246" t="s">
        <v>56</v>
      </c>
      <c r="AO246">
        <v>0</v>
      </c>
      <c r="AV246">
        <f>AU246+AM246</f>
        <v>1</v>
      </c>
      <c r="AX246">
        <v>0</v>
      </c>
      <c r="BE246">
        <f>AM246+AU246+BD246</f>
        <v>1</v>
      </c>
      <c r="BG246">
        <v>0</v>
      </c>
      <c r="BJ246" t="s">
        <v>49</v>
      </c>
      <c r="BK246">
        <v>5</v>
      </c>
      <c r="BL246">
        <v>1</v>
      </c>
      <c r="BM246">
        <v>1</v>
      </c>
      <c r="BN246" t="s">
        <v>55</v>
      </c>
      <c r="BO246">
        <v>2</v>
      </c>
      <c r="BP246">
        <v>33.5</v>
      </c>
      <c r="BQ246">
        <v>0.1</v>
      </c>
      <c r="BR246">
        <v>0.5</v>
      </c>
      <c r="BS246">
        <v>0.05</v>
      </c>
      <c r="BT246">
        <f>BS246+BD246+AU246+AM246</f>
        <v>1.05</v>
      </c>
      <c r="BU246">
        <v>1</v>
      </c>
      <c r="BV246">
        <v>2</v>
      </c>
      <c r="BW246">
        <v>293</v>
      </c>
      <c r="BX246">
        <f>BW246/7</f>
        <v>41.857142857142854</v>
      </c>
      <c r="BY246">
        <f>0.00077*BX246</f>
        <v>3.2229999999999995E-2</v>
      </c>
      <c r="BZ246">
        <f t="shared" si="3"/>
        <v>1.08223</v>
      </c>
    </row>
    <row r="247" spans="1:78">
      <c r="A247" s="1">
        <v>45180.826647835653</v>
      </c>
      <c r="B247" t="s">
        <v>870</v>
      </c>
      <c r="C247">
        <v>246</v>
      </c>
      <c r="D247" s="10">
        <v>33567</v>
      </c>
      <c r="E247">
        <v>31</v>
      </c>
      <c r="F247">
        <v>1</v>
      </c>
      <c r="G247">
        <v>9</v>
      </c>
      <c r="H247">
        <v>5</v>
      </c>
      <c r="I247" s="10">
        <v>44664</v>
      </c>
      <c r="J247">
        <v>1</v>
      </c>
      <c r="K247">
        <v>1</v>
      </c>
      <c r="L247">
        <v>2</v>
      </c>
      <c r="M247" t="s">
        <v>715</v>
      </c>
      <c r="N247">
        <v>3</v>
      </c>
      <c r="O247" s="10">
        <v>44426</v>
      </c>
      <c r="P247">
        <v>1</v>
      </c>
      <c r="Q247">
        <v>34</v>
      </c>
      <c r="R247">
        <v>3</v>
      </c>
      <c r="S247">
        <v>65</v>
      </c>
      <c r="T247">
        <v>173</v>
      </c>
      <c r="U247">
        <v>79</v>
      </c>
      <c r="V247">
        <v>14</v>
      </c>
      <c r="W247">
        <v>2</v>
      </c>
      <c r="X247">
        <v>21.718066089745729</v>
      </c>
      <c r="Y247">
        <v>26.395803401383272</v>
      </c>
      <c r="Z247">
        <v>4.6777373116375429</v>
      </c>
      <c r="AA247">
        <v>2</v>
      </c>
      <c r="AB247">
        <v>3</v>
      </c>
      <c r="AC247" t="s">
        <v>127</v>
      </c>
      <c r="AD247">
        <v>4</v>
      </c>
      <c r="AE247">
        <v>0</v>
      </c>
      <c r="AG247">
        <v>5</v>
      </c>
      <c r="AH247">
        <v>1</v>
      </c>
      <c r="AI247">
        <v>1</v>
      </c>
      <c r="AJ247">
        <v>1</v>
      </c>
      <c r="AK247">
        <v>7</v>
      </c>
      <c r="AL247">
        <v>1</v>
      </c>
      <c r="AM247">
        <f>AJ247*AK247*AL247/7</f>
        <v>1</v>
      </c>
      <c r="AN247" t="s">
        <v>56</v>
      </c>
      <c r="AO247">
        <v>0</v>
      </c>
      <c r="AV247">
        <f>AU247+AM247</f>
        <v>1</v>
      </c>
      <c r="AW247" t="s">
        <v>58</v>
      </c>
      <c r="AX247">
        <v>1</v>
      </c>
      <c r="AY247" t="s">
        <v>58</v>
      </c>
      <c r="AZ247">
        <v>1</v>
      </c>
      <c r="BA247">
        <v>0.8</v>
      </c>
      <c r="BB247">
        <v>1</v>
      </c>
      <c r="BC247">
        <v>1</v>
      </c>
      <c r="BD247">
        <f>BA247*BB247*1/7</f>
        <v>0.1142857142857143</v>
      </c>
      <c r="BE247">
        <f>AM247+AU247+BD247</f>
        <v>1.1142857142857143</v>
      </c>
      <c r="BF247" t="s">
        <v>58</v>
      </c>
      <c r="BG247">
        <v>0</v>
      </c>
      <c r="BH247">
        <v>1</v>
      </c>
      <c r="BI247">
        <v>1</v>
      </c>
      <c r="BJ247" t="s">
        <v>49</v>
      </c>
      <c r="BK247">
        <v>5</v>
      </c>
      <c r="BL247" t="e">
        <v>#N/A</v>
      </c>
      <c r="BM247">
        <v>1</v>
      </c>
      <c r="BN247" t="s">
        <v>30</v>
      </c>
      <c r="BO247">
        <v>1</v>
      </c>
      <c r="BP247">
        <v>84</v>
      </c>
      <c r="BQ247">
        <v>0.13</v>
      </c>
      <c r="BR247">
        <v>1</v>
      </c>
      <c r="BS247">
        <v>0.13</v>
      </c>
      <c r="BT247">
        <f>BS247+BD247+AU247+AM247</f>
        <v>1.2442857142857142</v>
      </c>
      <c r="BU247">
        <v>1</v>
      </c>
      <c r="BV247">
        <v>2</v>
      </c>
      <c r="BW247">
        <v>293</v>
      </c>
      <c r="BX247">
        <f>BW247/7</f>
        <v>41.857142857142854</v>
      </c>
      <c r="BY247">
        <f>0.00077*BX247</f>
        <v>3.2229999999999995E-2</v>
      </c>
      <c r="BZ247">
        <f t="shared" si="3"/>
        <v>1.2765157142857142</v>
      </c>
    </row>
    <row r="248" spans="1:78">
      <c r="A248" s="1">
        <v>45181.803241875001</v>
      </c>
      <c r="C248">
        <v>247</v>
      </c>
      <c r="D248" s="10">
        <v>32527</v>
      </c>
      <c r="E248">
        <v>34</v>
      </c>
      <c r="F248">
        <v>1</v>
      </c>
      <c r="G248">
        <v>13</v>
      </c>
      <c r="H248">
        <v>4</v>
      </c>
      <c r="I248" s="10">
        <v>43609</v>
      </c>
      <c r="J248">
        <v>1</v>
      </c>
      <c r="K248">
        <v>1</v>
      </c>
      <c r="L248">
        <v>1</v>
      </c>
      <c r="M248">
        <v>3450</v>
      </c>
      <c r="N248">
        <v>2</v>
      </c>
      <c r="O248" s="10">
        <v>43336</v>
      </c>
      <c r="P248">
        <v>0</v>
      </c>
      <c r="Q248">
        <v>39</v>
      </c>
      <c r="R248">
        <v>2</v>
      </c>
      <c r="S248">
        <v>49</v>
      </c>
      <c r="T248">
        <v>163</v>
      </c>
      <c r="U248">
        <v>57</v>
      </c>
      <c r="V248">
        <v>8</v>
      </c>
      <c r="W248">
        <v>1</v>
      </c>
      <c r="X248">
        <v>18.442545824080696</v>
      </c>
      <c r="Y248">
        <v>21.453573713726524</v>
      </c>
      <c r="Z248">
        <v>3.0110278896458276</v>
      </c>
      <c r="AA248">
        <v>1</v>
      </c>
      <c r="AB248">
        <v>2</v>
      </c>
      <c r="AC248" t="s">
        <v>123</v>
      </c>
      <c r="AD248">
        <v>2</v>
      </c>
      <c r="AE248">
        <v>0</v>
      </c>
      <c r="AG248">
        <v>5</v>
      </c>
      <c r="AH248">
        <v>1</v>
      </c>
      <c r="AI248">
        <v>13</v>
      </c>
      <c r="AJ248">
        <v>1</v>
      </c>
      <c r="AK248">
        <v>7</v>
      </c>
      <c r="AL248">
        <v>1</v>
      </c>
      <c r="AM248">
        <f>AJ248*AK248*AL248/7</f>
        <v>1</v>
      </c>
      <c r="AN248" t="s">
        <v>79</v>
      </c>
      <c r="AO248">
        <v>0</v>
      </c>
      <c r="AV248">
        <f>AU248+AM248</f>
        <v>1</v>
      </c>
      <c r="AW248" t="s">
        <v>220</v>
      </c>
      <c r="AX248">
        <v>1</v>
      </c>
      <c r="AY248" t="s">
        <v>220</v>
      </c>
      <c r="AZ248">
        <v>5</v>
      </c>
      <c r="BA248">
        <v>0.4</v>
      </c>
      <c r="BB248">
        <v>7</v>
      </c>
      <c r="BC248">
        <v>1</v>
      </c>
      <c r="BD248">
        <f>BA248*BB248*1/7</f>
        <v>0.4</v>
      </c>
      <c r="BE248">
        <f>AM248+AU248+BD248</f>
        <v>1.4</v>
      </c>
      <c r="BF248" t="s">
        <v>220</v>
      </c>
      <c r="BG248">
        <v>0</v>
      </c>
      <c r="BH248">
        <v>7</v>
      </c>
      <c r="BI248">
        <v>1</v>
      </c>
      <c r="BJ248" t="s">
        <v>49</v>
      </c>
      <c r="BK248">
        <v>5</v>
      </c>
      <c r="BL248">
        <v>1</v>
      </c>
      <c r="BM248">
        <v>1</v>
      </c>
      <c r="BN248" t="s">
        <v>30</v>
      </c>
      <c r="BO248">
        <v>1</v>
      </c>
      <c r="BP248">
        <v>84</v>
      </c>
      <c r="BQ248">
        <v>0.13</v>
      </c>
      <c r="BR248">
        <v>1</v>
      </c>
      <c r="BS248">
        <v>0.13</v>
      </c>
      <c r="BT248">
        <f>BS248+BD248+AU248+AM248</f>
        <v>1.53</v>
      </c>
      <c r="BU248">
        <v>1</v>
      </c>
      <c r="BV248">
        <v>0.5</v>
      </c>
      <c r="BW248">
        <v>73.25</v>
      </c>
      <c r="BX248">
        <f>BW248/7</f>
        <v>10.464285714285714</v>
      </c>
      <c r="BY248">
        <f>0.00077*BX248</f>
        <v>8.0574999999999987E-3</v>
      </c>
      <c r="BZ248">
        <f t="shared" si="3"/>
        <v>1.5380575000000001</v>
      </c>
    </row>
    <row r="249" spans="1:78">
      <c r="A249" s="1">
        <v>45181.892537789347</v>
      </c>
      <c r="C249">
        <v>248</v>
      </c>
      <c r="D249" s="10">
        <v>31082</v>
      </c>
      <c r="E249">
        <v>38</v>
      </c>
      <c r="F249">
        <v>1</v>
      </c>
      <c r="G249">
        <v>2</v>
      </c>
      <c r="H249">
        <v>5</v>
      </c>
      <c r="I249" s="10">
        <v>43573</v>
      </c>
      <c r="J249">
        <v>3</v>
      </c>
      <c r="K249">
        <v>0</v>
      </c>
      <c r="L249">
        <v>1</v>
      </c>
      <c r="M249">
        <v>3910</v>
      </c>
      <c r="N249">
        <v>2</v>
      </c>
      <c r="O249" s="10">
        <v>43300</v>
      </c>
      <c r="P249">
        <v>0</v>
      </c>
      <c r="Q249">
        <v>39</v>
      </c>
      <c r="R249">
        <v>2</v>
      </c>
      <c r="S249">
        <v>67</v>
      </c>
      <c r="T249">
        <v>168</v>
      </c>
      <c r="U249">
        <v>79</v>
      </c>
      <c r="V249">
        <v>12</v>
      </c>
      <c r="W249">
        <v>2</v>
      </c>
      <c r="X249">
        <v>23.738662131519277</v>
      </c>
      <c r="Y249">
        <v>27.990362811791389</v>
      </c>
      <c r="Z249">
        <v>4.251700680272112</v>
      </c>
      <c r="AA249">
        <v>2</v>
      </c>
      <c r="AB249">
        <v>3</v>
      </c>
      <c r="AC249" t="s">
        <v>33</v>
      </c>
      <c r="AD249">
        <v>3</v>
      </c>
      <c r="AE249">
        <v>0</v>
      </c>
      <c r="AG249">
        <v>5</v>
      </c>
      <c r="AH249">
        <v>0</v>
      </c>
      <c r="AI249">
        <v>0</v>
      </c>
      <c r="AN249" t="s">
        <v>41</v>
      </c>
      <c r="AO249">
        <v>0</v>
      </c>
      <c r="AW249" t="s">
        <v>58</v>
      </c>
      <c r="AX249">
        <v>1</v>
      </c>
      <c r="AY249" t="s">
        <v>58</v>
      </c>
      <c r="AZ249">
        <v>1</v>
      </c>
      <c r="BA249">
        <v>0.8</v>
      </c>
      <c r="BB249">
        <v>7</v>
      </c>
      <c r="BC249">
        <v>1</v>
      </c>
      <c r="BD249">
        <f>BA249*BB249*1/7</f>
        <v>0.8</v>
      </c>
      <c r="BE249">
        <f>AM249+AU249+BD249</f>
        <v>0.8</v>
      </c>
      <c r="BF249" t="s">
        <v>58</v>
      </c>
      <c r="BG249">
        <v>0</v>
      </c>
      <c r="BH249">
        <v>7</v>
      </c>
      <c r="BI249">
        <v>1</v>
      </c>
      <c r="BJ249" t="s">
        <v>42</v>
      </c>
      <c r="BK249">
        <v>6</v>
      </c>
      <c r="BL249">
        <v>1</v>
      </c>
      <c r="BM249">
        <v>1</v>
      </c>
      <c r="BN249" t="s">
        <v>55</v>
      </c>
      <c r="BO249">
        <v>2</v>
      </c>
      <c r="BP249">
        <v>134</v>
      </c>
      <c r="BQ249">
        <v>0.1</v>
      </c>
      <c r="BR249">
        <v>2</v>
      </c>
      <c r="BS249">
        <v>0.2</v>
      </c>
      <c r="BT249">
        <f>BS249+BD249+AU249+AM249</f>
        <v>1</v>
      </c>
      <c r="BU249">
        <v>1</v>
      </c>
      <c r="BV249">
        <v>1</v>
      </c>
      <c r="BW249">
        <v>146.5</v>
      </c>
      <c r="BX249">
        <f>BW249/7</f>
        <v>20.928571428571427</v>
      </c>
      <c r="BY249">
        <f>0.00077*BX249</f>
        <v>1.6114999999999997E-2</v>
      </c>
      <c r="BZ249">
        <f t="shared" si="3"/>
        <v>1.0161150000000001</v>
      </c>
    </row>
    <row r="250" spans="1:78">
      <c r="A250" s="1">
        <v>45195.586481122686</v>
      </c>
      <c r="C250">
        <v>249</v>
      </c>
      <c r="D250" s="10">
        <v>32870</v>
      </c>
      <c r="E250">
        <v>33</v>
      </c>
      <c r="F250">
        <v>1</v>
      </c>
      <c r="G250">
        <v>1</v>
      </c>
      <c r="H250">
        <v>5</v>
      </c>
      <c r="I250" s="10">
        <v>44644</v>
      </c>
      <c r="J250">
        <v>3</v>
      </c>
      <c r="K250">
        <v>0</v>
      </c>
      <c r="L250">
        <v>2</v>
      </c>
      <c r="M250">
        <v>3490</v>
      </c>
      <c r="N250">
        <v>2</v>
      </c>
      <c r="O250" s="10">
        <v>44364</v>
      </c>
      <c r="P250">
        <v>1</v>
      </c>
      <c r="Q250">
        <v>40</v>
      </c>
      <c r="R250">
        <v>2</v>
      </c>
      <c r="S250">
        <v>72</v>
      </c>
      <c r="T250">
        <v>174</v>
      </c>
      <c r="U250">
        <v>80</v>
      </c>
      <c r="V250">
        <v>8</v>
      </c>
      <c r="W250">
        <v>1</v>
      </c>
      <c r="X250">
        <v>23.781212841854934</v>
      </c>
      <c r="Y250">
        <v>26.423569824283259</v>
      </c>
      <c r="Z250">
        <v>2.6423569824283248</v>
      </c>
      <c r="AA250">
        <v>2</v>
      </c>
      <c r="AB250">
        <v>3</v>
      </c>
      <c r="AC250" t="s">
        <v>33</v>
      </c>
      <c r="AD250">
        <v>3</v>
      </c>
      <c r="AE250">
        <v>0</v>
      </c>
      <c r="AG250">
        <v>5</v>
      </c>
      <c r="AH250">
        <v>1</v>
      </c>
      <c r="AI250">
        <v>4</v>
      </c>
      <c r="AJ250">
        <v>1</v>
      </c>
      <c r="AK250">
        <v>7</v>
      </c>
      <c r="AL250">
        <v>1</v>
      </c>
      <c r="AM250">
        <f>AJ250*AK250*AL250/7</f>
        <v>1</v>
      </c>
      <c r="AN250" t="s">
        <v>43</v>
      </c>
      <c r="AO250">
        <v>0</v>
      </c>
      <c r="AV250">
        <f>AU250+AM250</f>
        <v>1</v>
      </c>
      <c r="AX250">
        <v>0</v>
      </c>
      <c r="BE250">
        <f>AM250+AU250+BD250</f>
        <v>1</v>
      </c>
      <c r="BG250">
        <v>0</v>
      </c>
      <c r="BJ250" t="s">
        <v>49</v>
      </c>
      <c r="BK250">
        <v>5</v>
      </c>
      <c r="BL250">
        <v>1</v>
      </c>
      <c r="BM250">
        <v>1</v>
      </c>
      <c r="BN250" t="s">
        <v>37</v>
      </c>
      <c r="BO250">
        <v>4</v>
      </c>
      <c r="BP250">
        <v>55</v>
      </c>
      <c r="BQ250">
        <v>0.05</v>
      </c>
      <c r="BR250">
        <v>1</v>
      </c>
      <c r="BS250">
        <v>0.05</v>
      </c>
      <c r="BT250">
        <f>BS250+BD250+AU250+AM250</f>
        <v>1.05</v>
      </c>
      <c r="BU250">
        <v>1</v>
      </c>
      <c r="BV250">
        <v>0.5</v>
      </c>
      <c r="BW250">
        <v>73.25</v>
      </c>
      <c r="BX250">
        <f>BW250/7</f>
        <v>10.464285714285714</v>
      </c>
      <c r="BY250">
        <f>0.00077*BX250</f>
        <v>8.0574999999999987E-3</v>
      </c>
      <c r="BZ250">
        <f t="shared" si="3"/>
        <v>1.0580575000000001</v>
      </c>
    </row>
    <row r="251" spans="1:78">
      <c r="A251" s="1">
        <v>45196.532796400468</v>
      </c>
      <c r="C251">
        <v>250</v>
      </c>
      <c r="D251" s="10">
        <v>33859</v>
      </c>
      <c r="E251">
        <v>31</v>
      </c>
      <c r="F251">
        <v>1</v>
      </c>
      <c r="G251">
        <v>1</v>
      </c>
      <c r="H251">
        <v>5</v>
      </c>
      <c r="I251" s="10">
        <v>43939</v>
      </c>
      <c r="J251">
        <v>1</v>
      </c>
      <c r="K251">
        <v>1</v>
      </c>
      <c r="L251">
        <v>1</v>
      </c>
      <c r="M251">
        <v>3871</v>
      </c>
      <c r="N251">
        <v>2</v>
      </c>
      <c r="O251" s="10">
        <v>43661</v>
      </c>
      <c r="P251">
        <v>0</v>
      </c>
      <c r="Q251">
        <v>39.714285714285715</v>
      </c>
      <c r="R251">
        <v>2</v>
      </c>
      <c r="S251">
        <v>86</v>
      </c>
      <c r="T251">
        <v>165</v>
      </c>
      <c r="U251">
        <v>102</v>
      </c>
      <c r="V251">
        <v>16</v>
      </c>
      <c r="W251">
        <v>3</v>
      </c>
      <c r="X251">
        <v>31.588613406795229</v>
      </c>
      <c r="Y251">
        <v>37.465564738292017</v>
      </c>
      <c r="Z251">
        <v>5.8769513314967874</v>
      </c>
      <c r="AA251">
        <v>4</v>
      </c>
      <c r="AB251">
        <v>4</v>
      </c>
      <c r="AC251" t="s">
        <v>50</v>
      </c>
      <c r="AD251">
        <v>2</v>
      </c>
      <c r="AE251">
        <v>0</v>
      </c>
      <c r="AG251">
        <v>5</v>
      </c>
      <c r="AH251">
        <v>1</v>
      </c>
      <c r="AI251">
        <v>13</v>
      </c>
      <c r="AJ251">
        <v>1</v>
      </c>
      <c r="AK251">
        <v>6</v>
      </c>
      <c r="AL251">
        <v>1</v>
      </c>
      <c r="AM251">
        <f>AJ251*AK251*AL251/7</f>
        <v>0.8571428571428571</v>
      </c>
      <c r="AN251" t="s">
        <v>79</v>
      </c>
      <c r="AO251">
        <v>0</v>
      </c>
      <c r="AV251">
        <f>AU251+AM251</f>
        <v>0.8571428571428571</v>
      </c>
      <c r="AX251">
        <v>0</v>
      </c>
      <c r="BE251">
        <f>AM251+AU251+BD251</f>
        <v>0.8571428571428571</v>
      </c>
      <c r="BG251">
        <v>0</v>
      </c>
      <c r="BJ251" t="s">
        <v>49</v>
      </c>
      <c r="BK251">
        <v>5</v>
      </c>
      <c r="BL251">
        <v>1</v>
      </c>
      <c r="BM251">
        <v>1</v>
      </c>
      <c r="BN251" t="s">
        <v>55</v>
      </c>
      <c r="BO251">
        <v>2</v>
      </c>
      <c r="BP251">
        <v>67</v>
      </c>
      <c r="BQ251">
        <v>0.1</v>
      </c>
      <c r="BR251">
        <v>1</v>
      </c>
      <c r="BS251">
        <v>0.1</v>
      </c>
      <c r="BT251">
        <f>BS251+BD251+AU251+AM251</f>
        <v>0.95714285714285707</v>
      </c>
      <c r="BU251">
        <v>1</v>
      </c>
      <c r="BV251">
        <v>3</v>
      </c>
      <c r="BW251">
        <v>439.5</v>
      </c>
      <c r="BX251">
        <f>BW251/7</f>
        <v>62.785714285714285</v>
      </c>
      <c r="BY251">
        <f>0.00077*BX251</f>
        <v>4.8344999999999999E-2</v>
      </c>
      <c r="BZ251">
        <f t="shared" si="3"/>
        <v>1.0054878571428572</v>
      </c>
    </row>
    <row r="252" spans="1:78">
      <c r="A252" s="1">
        <v>45196.677561296296</v>
      </c>
      <c r="C252">
        <v>251</v>
      </c>
      <c r="D252" s="10">
        <v>32856</v>
      </c>
      <c r="E252">
        <v>33</v>
      </c>
      <c r="F252">
        <v>1</v>
      </c>
      <c r="G252">
        <v>1</v>
      </c>
      <c r="H252">
        <v>5</v>
      </c>
      <c r="I252" s="10">
        <v>44868</v>
      </c>
      <c r="J252">
        <v>2</v>
      </c>
      <c r="K252">
        <v>0</v>
      </c>
      <c r="L252">
        <v>1</v>
      </c>
      <c r="M252">
        <v>3550</v>
      </c>
      <c r="N252">
        <v>2</v>
      </c>
      <c r="O252" s="10">
        <v>44583</v>
      </c>
      <c r="P252">
        <v>0</v>
      </c>
      <c r="Q252">
        <v>40.714285714285715</v>
      </c>
      <c r="R252">
        <v>2</v>
      </c>
      <c r="S252">
        <v>63</v>
      </c>
      <c r="T252">
        <v>163</v>
      </c>
      <c r="U252">
        <v>60</v>
      </c>
      <c r="V252">
        <v>-3</v>
      </c>
      <c r="W252">
        <v>1</v>
      </c>
      <c r="X252">
        <v>23.711844630960897</v>
      </c>
      <c r="Y252">
        <v>22.582709172343712</v>
      </c>
      <c r="Z252">
        <v>-1.1291354586171849</v>
      </c>
      <c r="AA252">
        <v>2</v>
      </c>
      <c r="AB252">
        <v>2</v>
      </c>
      <c r="AC252" t="s">
        <v>123</v>
      </c>
      <c r="AD252">
        <v>2</v>
      </c>
      <c r="AE252">
        <v>0</v>
      </c>
      <c r="AG252">
        <v>5</v>
      </c>
      <c r="AH252">
        <v>1</v>
      </c>
      <c r="AI252">
        <v>13</v>
      </c>
      <c r="AJ252">
        <v>1</v>
      </c>
      <c r="AK252">
        <v>7</v>
      </c>
      <c r="AL252">
        <v>1</v>
      </c>
      <c r="AM252">
        <f>AJ252*AK252*AL252/7</f>
        <v>1</v>
      </c>
      <c r="AN252" t="s">
        <v>79</v>
      </c>
      <c r="AO252">
        <v>0</v>
      </c>
      <c r="AV252">
        <f>AU252+AM252</f>
        <v>1</v>
      </c>
      <c r="AW252" t="s">
        <v>221</v>
      </c>
      <c r="AX252">
        <v>1</v>
      </c>
      <c r="AY252" t="s">
        <v>221</v>
      </c>
      <c r="AZ252">
        <v>4</v>
      </c>
      <c r="BA252">
        <v>0.2</v>
      </c>
      <c r="BB252">
        <v>7</v>
      </c>
      <c r="BC252">
        <v>1</v>
      </c>
      <c r="BD252">
        <f>BA252*BB252*1/7</f>
        <v>0.2</v>
      </c>
      <c r="BE252">
        <f>AM252+AU252+BD252</f>
        <v>1.2</v>
      </c>
      <c r="BF252" t="s">
        <v>221</v>
      </c>
      <c r="BG252">
        <v>0</v>
      </c>
      <c r="BH252">
        <v>7</v>
      </c>
      <c r="BI252">
        <v>1</v>
      </c>
      <c r="BJ252" t="s">
        <v>49</v>
      </c>
      <c r="BK252">
        <v>5</v>
      </c>
      <c r="BL252">
        <v>1</v>
      </c>
      <c r="BM252">
        <v>1</v>
      </c>
      <c r="BN252" t="s">
        <v>30</v>
      </c>
      <c r="BO252">
        <v>1</v>
      </c>
      <c r="BP252">
        <v>168</v>
      </c>
      <c r="BQ252">
        <v>0.13</v>
      </c>
      <c r="BR252">
        <v>2</v>
      </c>
      <c r="BS252">
        <v>0.26</v>
      </c>
      <c r="BT252">
        <f>BS252+BD252+AU252+AM252</f>
        <v>1.46</v>
      </c>
      <c r="BU252">
        <v>1</v>
      </c>
      <c r="BV252">
        <v>3</v>
      </c>
      <c r="BW252">
        <v>439.5</v>
      </c>
      <c r="BX252">
        <f>BW252/7</f>
        <v>62.785714285714285</v>
      </c>
      <c r="BY252">
        <f>0.00077*BX252</f>
        <v>4.8344999999999999E-2</v>
      </c>
      <c r="BZ252">
        <f t="shared" si="3"/>
        <v>1.508345</v>
      </c>
    </row>
    <row r="253" spans="1:78">
      <c r="A253" s="1">
        <v>45197.643410671299</v>
      </c>
      <c r="C253">
        <v>252</v>
      </c>
      <c r="D253" s="10">
        <v>33620</v>
      </c>
      <c r="E253">
        <v>31</v>
      </c>
      <c r="F253">
        <v>1</v>
      </c>
      <c r="G253">
        <v>2</v>
      </c>
      <c r="H253">
        <v>4</v>
      </c>
      <c r="I253" s="10">
        <v>45083</v>
      </c>
      <c r="J253">
        <v>2</v>
      </c>
      <c r="K253">
        <v>0</v>
      </c>
      <c r="L253">
        <v>1</v>
      </c>
      <c r="M253">
        <v>3755</v>
      </c>
      <c r="N253">
        <v>2</v>
      </c>
      <c r="O253" s="10">
        <v>44810</v>
      </c>
      <c r="P253">
        <v>0</v>
      </c>
      <c r="Q253">
        <v>39</v>
      </c>
      <c r="R253">
        <v>2</v>
      </c>
      <c r="S253">
        <v>59</v>
      </c>
      <c r="T253">
        <v>159</v>
      </c>
      <c r="U253">
        <v>65</v>
      </c>
      <c r="V253">
        <v>6</v>
      </c>
      <c r="W253">
        <v>1</v>
      </c>
      <c r="X253">
        <v>23.337684427040067</v>
      </c>
      <c r="Y253">
        <v>25.711008267078039</v>
      </c>
      <c r="Z253">
        <v>2.3733238400379726</v>
      </c>
      <c r="AA253">
        <v>2</v>
      </c>
      <c r="AB253">
        <v>3</v>
      </c>
      <c r="AC253" t="s">
        <v>33</v>
      </c>
      <c r="AD253">
        <v>3</v>
      </c>
      <c r="AE253">
        <v>0</v>
      </c>
      <c r="AG253">
        <v>5</v>
      </c>
      <c r="AH253">
        <v>1</v>
      </c>
      <c r="AI253">
        <v>13</v>
      </c>
      <c r="AJ253">
        <v>1</v>
      </c>
      <c r="AK253">
        <v>7</v>
      </c>
      <c r="AL253">
        <v>1</v>
      </c>
      <c r="AM253">
        <f>AJ253*AK253*AL253/7</f>
        <v>1</v>
      </c>
      <c r="AN253" t="s">
        <v>79</v>
      </c>
      <c r="AO253">
        <v>0</v>
      </c>
      <c r="AV253">
        <f>AU253+AM253</f>
        <v>1</v>
      </c>
      <c r="AX253">
        <v>0</v>
      </c>
      <c r="BE253">
        <f>AM253+AU253+BD253</f>
        <v>1</v>
      </c>
      <c r="BG253">
        <v>0</v>
      </c>
      <c r="BJ253" t="s">
        <v>49</v>
      </c>
      <c r="BK253">
        <v>5</v>
      </c>
      <c r="BL253">
        <v>1</v>
      </c>
      <c r="BM253">
        <v>1</v>
      </c>
      <c r="BN253" t="s">
        <v>55</v>
      </c>
      <c r="BO253">
        <v>2</v>
      </c>
      <c r="BP253">
        <v>134</v>
      </c>
      <c r="BQ253">
        <v>0.1</v>
      </c>
      <c r="BR253">
        <v>2</v>
      </c>
      <c r="BS253">
        <v>0.2</v>
      </c>
      <c r="BT253">
        <f>BS253+BD253+AU253+AM253</f>
        <v>1.2</v>
      </c>
      <c r="BU253">
        <v>1</v>
      </c>
      <c r="BV253">
        <v>1</v>
      </c>
      <c r="BW253">
        <v>146.5</v>
      </c>
      <c r="BX253">
        <f>BW253/7</f>
        <v>20.928571428571427</v>
      </c>
      <c r="BY253">
        <f>0.00077*BX253</f>
        <v>1.6114999999999997E-2</v>
      </c>
      <c r="BZ253">
        <f t="shared" si="3"/>
        <v>1.2161150000000001</v>
      </c>
    </row>
    <row r="254" spans="1:78">
      <c r="A254" s="1">
        <v>45197.655889224538</v>
      </c>
      <c r="C254">
        <v>253</v>
      </c>
      <c r="D254" s="10">
        <v>35230</v>
      </c>
      <c r="E254">
        <v>27</v>
      </c>
      <c r="F254">
        <v>1</v>
      </c>
      <c r="G254">
        <v>2</v>
      </c>
      <c r="H254">
        <v>5</v>
      </c>
      <c r="I254" s="10">
        <v>44952</v>
      </c>
      <c r="J254">
        <v>2</v>
      </c>
      <c r="K254">
        <v>0</v>
      </c>
      <c r="L254">
        <v>1</v>
      </c>
      <c r="M254">
        <v>3340</v>
      </c>
      <c r="N254">
        <v>2</v>
      </c>
      <c r="O254" s="10">
        <v>44693</v>
      </c>
      <c r="P254">
        <v>0</v>
      </c>
      <c r="Q254">
        <v>37</v>
      </c>
      <c r="R254">
        <v>2</v>
      </c>
      <c r="S254">
        <v>68</v>
      </c>
      <c r="T254">
        <v>160</v>
      </c>
      <c r="U254">
        <v>72</v>
      </c>
      <c r="V254">
        <v>4</v>
      </c>
      <c r="W254">
        <v>1</v>
      </c>
      <c r="X254">
        <v>26.562499999999996</v>
      </c>
      <c r="Y254">
        <v>28.124999999999993</v>
      </c>
      <c r="Z254">
        <v>1.5624999999999964</v>
      </c>
      <c r="AA254">
        <v>3</v>
      </c>
      <c r="AB254">
        <v>3</v>
      </c>
      <c r="AC254" t="s">
        <v>44</v>
      </c>
      <c r="AD254">
        <v>1</v>
      </c>
      <c r="AE254">
        <v>0</v>
      </c>
      <c r="AG254">
        <v>5</v>
      </c>
      <c r="AH254">
        <v>1</v>
      </c>
      <c r="AI254">
        <v>13</v>
      </c>
      <c r="AJ254">
        <v>1</v>
      </c>
      <c r="AK254">
        <v>7</v>
      </c>
      <c r="AL254">
        <v>1</v>
      </c>
      <c r="AM254">
        <f>AJ254*AK254*AL254/7</f>
        <v>1</v>
      </c>
      <c r="AN254" t="s">
        <v>79</v>
      </c>
      <c r="AO254">
        <v>0</v>
      </c>
      <c r="AV254">
        <f>AU254+AM254</f>
        <v>1</v>
      </c>
      <c r="AW254" t="s">
        <v>170</v>
      </c>
      <c r="AX254">
        <v>0</v>
      </c>
      <c r="BE254">
        <f>AM254+AU254+BD254</f>
        <v>1</v>
      </c>
      <c r="BF254" t="s">
        <v>170</v>
      </c>
      <c r="BG254">
        <v>1</v>
      </c>
      <c r="BH254">
        <v>7</v>
      </c>
      <c r="BI254">
        <v>1</v>
      </c>
      <c r="BJ254" t="s">
        <v>49</v>
      </c>
      <c r="BK254">
        <v>5</v>
      </c>
      <c r="BL254">
        <v>3</v>
      </c>
      <c r="BM254">
        <v>1</v>
      </c>
      <c r="BN254" t="s">
        <v>30</v>
      </c>
      <c r="BO254">
        <v>1</v>
      </c>
      <c r="BP254">
        <v>168</v>
      </c>
      <c r="BQ254">
        <v>0.13</v>
      </c>
      <c r="BR254">
        <v>2</v>
      </c>
      <c r="BS254">
        <v>0.26</v>
      </c>
      <c r="BT254">
        <f>BS254+BD254+AU254+AM254</f>
        <v>1.26</v>
      </c>
      <c r="BU254">
        <v>1</v>
      </c>
      <c r="BV254">
        <v>1</v>
      </c>
      <c r="BW254">
        <v>146.5</v>
      </c>
      <c r="BX254">
        <f>BW254/7</f>
        <v>20.928571428571427</v>
      </c>
      <c r="BY254">
        <f>0.00077*BX254</f>
        <v>1.6114999999999997E-2</v>
      </c>
      <c r="BZ254">
        <f t="shared" si="3"/>
        <v>1.2761150000000001</v>
      </c>
    </row>
    <row r="255" spans="1:78">
      <c r="A255" s="1">
        <v>45197.668869849542</v>
      </c>
      <c r="B255" t="s">
        <v>865</v>
      </c>
      <c r="C255">
        <v>254</v>
      </c>
      <c r="D255" s="10">
        <v>34228</v>
      </c>
      <c r="E255">
        <v>30</v>
      </c>
      <c r="F255">
        <v>1</v>
      </c>
      <c r="G255">
        <v>6</v>
      </c>
      <c r="H255">
        <v>4</v>
      </c>
      <c r="I255" s="10">
        <v>44469</v>
      </c>
      <c r="J255">
        <v>1</v>
      </c>
      <c r="K255">
        <v>1</v>
      </c>
      <c r="L255">
        <v>2</v>
      </c>
      <c r="M255">
        <v>3470</v>
      </c>
      <c r="N255">
        <v>2</v>
      </c>
      <c r="O255" s="10">
        <v>44189</v>
      </c>
      <c r="P255">
        <v>1</v>
      </c>
      <c r="Q255">
        <v>40</v>
      </c>
      <c r="R255">
        <v>2</v>
      </c>
      <c r="S255">
        <v>56</v>
      </c>
      <c r="T255">
        <v>166</v>
      </c>
      <c r="U255">
        <v>66</v>
      </c>
      <c r="V255">
        <v>10</v>
      </c>
      <c r="W255">
        <v>1</v>
      </c>
      <c r="X255">
        <v>20.322252866889244</v>
      </c>
      <c r="Y255">
        <v>23.951226593119468</v>
      </c>
      <c r="Z255">
        <v>3.6289737262302246</v>
      </c>
      <c r="AA255">
        <v>2</v>
      </c>
      <c r="AB255">
        <v>2</v>
      </c>
      <c r="AC255" t="s">
        <v>106</v>
      </c>
      <c r="AD255">
        <v>2</v>
      </c>
      <c r="AE255">
        <v>0</v>
      </c>
      <c r="AG255">
        <v>5</v>
      </c>
      <c r="AH255">
        <v>1</v>
      </c>
      <c r="AI255">
        <v>2</v>
      </c>
      <c r="AJ255">
        <v>5</v>
      </c>
      <c r="AK255">
        <v>7</v>
      </c>
      <c r="AL255">
        <v>1</v>
      </c>
      <c r="AM255">
        <f>AJ255*AK255*AL255/7</f>
        <v>5</v>
      </c>
      <c r="AN255" t="s">
        <v>57</v>
      </c>
      <c r="AO255">
        <v>0</v>
      </c>
      <c r="AV255">
        <f>AU255+AM255</f>
        <v>5</v>
      </c>
      <c r="AW255" t="s">
        <v>720</v>
      </c>
      <c r="AX255">
        <v>0</v>
      </c>
      <c r="BE255">
        <f>AM255+AU255+BD255</f>
        <v>5</v>
      </c>
      <c r="BF255" t="s">
        <v>720</v>
      </c>
      <c r="BG255">
        <v>1</v>
      </c>
      <c r="BH255">
        <v>5</v>
      </c>
      <c r="BI255">
        <v>1</v>
      </c>
      <c r="BJ255" t="s">
        <v>49</v>
      </c>
      <c r="BK255">
        <v>5</v>
      </c>
      <c r="BL255">
        <v>3</v>
      </c>
      <c r="BM255">
        <v>1</v>
      </c>
      <c r="BN255" t="s">
        <v>593</v>
      </c>
      <c r="BO255">
        <v>4</v>
      </c>
      <c r="BP255">
        <v>220</v>
      </c>
      <c r="BQ255">
        <v>0.05</v>
      </c>
      <c r="BR255">
        <v>4</v>
      </c>
      <c r="BS255">
        <v>0.2</v>
      </c>
      <c r="BT255">
        <f>BS255+BD255+AU255+AM255</f>
        <v>5.2</v>
      </c>
      <c r="BU255">
        <v>1</v>
      </c>
      <c r="BV255">
        <v>2</v>
      </c>
      <c r="BW255">
        <v>293</v>
      </c>
      <c r="BX255">
        <f>BW255/7</f>
        <v>41.857142857142854</v>
      </c>
      <c r="BY255">
        <f>0.00077*BX255</f>
        <v>3.2229999999999995E-2</v>
      </c>
      <c r="BZ255">
        <f t="shared" si="3"/>
        <v>5.2322300000000004</v>
      </c>
    </row>
    <row r="256" spans="1:78">
      <c r="A256" s="1">
        <v>45197.672173680556</v>
      </c>
      <c r="C256">
        <v>255</v>
      </c>
      <c r="D256" s="10">
        <v>44685</v>
      </c>
      <c r="E256">
        <v>35</v>
      </c>
      <c r="F256">
        <v>1</v>
      </c>
      <c r="G256">
        <v>12</v>
      </c>
      <c r="H256">
        <v>4</v>
      </c>
      <c r="I256" s="10">
        <v>44420</v>
      </c>
      <c r="J256">
        <v>1</v>
      </c>
      <c r="K256">
        <v>1</v>
      </c>
      <c r="L256">
        <v>1</v>
      </c>
      <c r="M256">
        <v>3750</v>
      </c>
      <c r="N256">
        <v>2</v>
      </c>
      <c r="O256" s="10">
        <v>44133</v>
      </c>
      <c r="P256">
        <v>1</v>
      </c>
      <c r="Q256">
        <v>41</v>
      </c>
      <c r="R256">
        <v>2</v>
      </c>
      <c r="S256">
        <v>65</v>
      </c>
      <c r="T256">
        <v>160</v>
      </c>
      <c r="U256">
        <v>82</v>
      </c>
      <c r="V256">
        <v>17</v>
      </c>
      <c r="W256">
        <v>3</v>
      </c>
      <c r="X256">
        <v>25.390624999999996</v>
      </c>
      <c r="Y256">
        <v>32.031249999999993</v>
      </c>
      <c r="Z256">
        <v>6.6406249999999964</v>
      </c>
      <c r="AA256">
        <v>3</v>
      </c>
      <c r="AB256">
        <v>4</v>
      </c>
      <c r="AC256" t="s">
        <v>44</v>
      </c>
      <c r="AD256">
        <v>1</v>
      </c>
      <c r="AE256">
        <v>0</v>
      </c>
      <c r="AG256">
        <v>5</v>
      </c>
      <c r="AH256">
        <v>1</v>
      </c>
      <c r="AI256">
        <v>13</v>
      </c>
      <c r="AJ256">
        <v>1</v>
      </c>
      <c r="AK256">
        <v>7</v>
      </c>
      <c r="AL256">
        <v>1</v>
      </c>
      <c r="AM256">
        <f>AJ256*AK256*AL256/7</f>
        <v>1</v>
      </c>
      <c r="AN256" t="s">
        <v>79</v>
      </c>
      <c r="AO256">
        <v>0</v>
      </c>
      <c r="AV256">
        <f>AU256+AM256</f>
        <v>1</v>
      </c>
      <c r="AX256">
        <v>0</v>
      </c>
      <c r="BE256">
        <f>AM256+AU256+BD256</f>
        <v>1</v>
      </c>
      <c r="BG256">
        <v>0</v>
      </c>
      <c r="BJ256" t="s">
        <v>28</v>
      </c>
      <c r="BK256">
        <v>3</v>
      </c>
      <c r="BL256">
        <v>1</v>
      </c>
      <c r="BM256">
        <v>1</v>
      </c>
      <c r="BN256" t="s">
        <v>30</v>
      </c>
      <c r="BO256">
        <v>1</v>
      </c>
      <c r="BP256">
        <v>168</v>
      </c>
      <c r="BQ256">
        <v>0.13</v>
      </c>
      <c r="BR256">
        <v>2</v>
      </c>
      <c r="BS256">
        <v>0.26</v>
      </c>
      <c r="BT256">
        <f>BS256+BD256+AU256+AM256</f>
        <v>1.26</v>
      </c>
      <c r="BU256">
        <v>1</v>
      </c>
      <c r="BV256">
        <v>1</v>
      </c>
      <c r="BW256">
        <v>146.5</v>
      </c>
      <c r="BX256">
        <f>BW256/7</f>
        <v>20.928571428571427</v>
      </c>
      <c r="BY256">
        <f>0.00077*BX256</f>
        <v>1.6114999999999997E-2</v>
      </c>
      <c r="BZ256">
        <f t="shared" si="3"/>
        <v>1.2761150000000001</v>
      </c>
    </row>
    <row r="257" spans="1:78">
      <c r="A257" s="1">
        <v>45197.77133418982</v>
      </c>
      <c r="C257">
        <v>256</v>
      </c>
      <c r="D257" s="10">
        <v>35804</v>
      </c>
      <c r="E257">
        <v>25</v>
      </c>
      <c r="F257">
        <v>1</v>
      </c>
      <c r="G257">
        <v>2</v>
      </c>
      <c r="H257">
        <v>3</v>
      </c>
      <c r="I257" s="10">
        <v>43936</v>
      </c>
      <c r="J257">
        <v>1</v>
      </c>
      <c r="K257">
        <v>1</v>
      </c>
      <c r="L257">
        <v>1</v>
      </c>
      <c r="M257">
        <v>1690</v>
      </c>
      <c r="N257">
        <v>1</v>
      </c>
      <c r="O257" s="10">
        <v>43691</v>
      </c>
      <c r="P257">
        <v>0</v>
      </c>
      <c r="Q257">
        <v>35</v>
      </c>
      <c r="R257">
        <v>3</v>
      </c>
      <c r="S257">
        <v>52</v>
      </c>
      <c r="T257">
        <v>155</v>
      </c>
      <c r="U257">
        <v>78</v>
      </c>
      <c r="V257">
        <v>26</v>
      </c>
      <c r="W257">
        <v>3</v>
      </c>
      <c r="X257">
        <v>21.644120707596251</v>
      </c>
      <c r="Y257">
        <v>32.46618106139438</v>
      </c>
      <c r="Z257">
        <v>10.822060353798129</v>
      </c>
      <c r="AA257">
        <v>2</v>
      </c>
      <c r="AB257">
        <v>4</v>
      </c>
      <c r="AC257" t="s">
        <v>50</v>
      </c>
      <c r="AD257">
        <v>2</v>
      </c>
      <c r="AE257">
        <v>1</v>
      </c>
      <c r="AF257" t="s">
        <v>223</v>
      </c>
      <c r="AG257">
        <v>2</v>
      </c>
      <c r="AH257">
        <v>0</v>
      </c>
      <c r="AI257">
        <v>0</v>
      </c>
      <c r="AN257" t="s">
        <v>41</v>
      </c>
      <c r="AO257">
        <v>0</v>
      </c>
      <c r="AW257" t="s">
        <v>58</v>
      </c>
      <c r="AX257">
        <v>1</v>
      </c>
      <c r="AY257" t="s">
        <v>58</v>
      </c>
      <c r="AZ257">
        <v>1</v>
      </c>
      <c r="BA257">
        <v>0.8</v>
      </c>
      <c r="BB257">
        <v>7</v>
      </c>
      <c r="BC257">
        <v>1</v>
      </c>
      <c r="BD257">
        <f>BA257*BB257*1/7</f>
        <v>0.8</v>
      </c>
      <c r="BE257">
        <f>AM257+AU257+BD257</f>
        <v>0.8</v>
      </c>
      <c r="BF257" t="s">
        <v>58</v>
      </c>
      <c r="BG257">
        <v>0</v>
      </c>
      <c r="BH257">
        <v>7</v>
      </c>
      <c r="BI257">
        <v>1</v>
      </c>
      <c r="BJ257" t="s">
        <v>42</v>
      </c>
      <c r="BK257">
        <v>6</v>
      </c>
      <c r="BL257">
        <v>3</v>
      </c>
      <c r="BM257">
        <v>1</v>
      </c>
      <c r="BN257" t="s">
        <v>55</v>
      </c>
      <c r="BO257">
        <v>2</v>
      </c>
      <c r="BP257">
        <v>67</v>
      </c>
      <c r="BQ257">
        <v>0.1</v>
      </c>
      <c r="BR257">
        <v>1</v>
      </c>
      <c r="BS257">
        <v>0.1</v>
      </c>
      <c r="BT257">
        <f>BS257+BD257+AU257+AM257</f>
        <v>0.9</v>
      </c>
      <c r="BU257">
        <v>1</v>
      </c>
      <c r="BV257">
        <v>1</v>
      </c>
      <c r="BW257">
        <v>146.5</v>
      </c>
      <c r="BX257">
        <f>BW257/7</f>
        <v>20.928571428571427</v>
      </c>
      <c r="BY257">
        <f>0.00077*BX257</f>
        <v>1.6114999999999997E-2</v>
      </c>
      <c r="BZ257">
        <f t="shared" si="3"/>
        <v>0.91611500000000001</v>
      </c>
    </row>
    <row r="258" spans="1:78">
      <c r="A258" s="1">
        <v>45197.790734803246</v>
      </c>
      <c r="B258" s="9" t="s">
        <v>866</v>
      </c>
      <c r="C258">
        <v>257</v>
      </c>
      <c r="D258" s="10">
        <v>33675</v>
      </c>
      <c r="E258">
        <v>31</v>
      </c>
      <c r="F258">
        <v>1</v>
      </c>
      <c r="G258">
        <v>2</v>
      </c>
      <c r="H258">
        <v>4</v>
      </c>
      <c r="I258" s="10">
        <v>45038</v>
      </c>
      <c r="J258">
        <v>1</v>
      </c>
      <c r="K258">
        <v>1</v>
      </c>
      <c r="L258">
        <v>2</v>
      </c>
      <c r="M258">
        <v>3870</v>
      </c>
      <c r="N258">
        <v>2</v>
      </c>
      <c r="O258" s="10">
        <v>44758</v>
      </c>
      <c r="P258">
        <v>0</v>
      </c>
      <c r="Q258">
        <v>40</v>
      </c>
      <c r="R258">
        <v>2</v>
      </c>
      <c r="S258">
        <v>59</v>
      </c>
      <c r="T258">
        <v>162</v>
      </c>
      <c r="U258">
        <v>65</v>
      </c>
      <c r="V258">
        <v>6</v>
      </c>
      <c r="W258">
        <v>1</v>
      </c>
      <c r="X258">
        <v>22.481329065691202</v>
      </c>
      <c r="Y258">
        <v>24.767565919829291</v>
      </c>
      <c r="Z258">
        <v>2.2862368541380889</v>
      </c>
      <c r="AA258">
        <v>2</v>
      </c>
      <c r="AB258">
        <v>2</v>
      </c>
      <c r="AC258" t="s">
        <v>89</v>
      </c>
      <c r="AD258">
        <v>2</v>
      </c>
      <c r="AE258">
        <v>0</v>
      </c>
      <c r="AG258">
        <v>5</v>
      </c>
      <c r="AH258">
        <v>1</v>
      </c>
      <c r="AI258" t="s">
        <v>258</v>
      </c>
      <c r="AJ258" t="s">
        <v>258</v>
      </c>
      <c r="AK258">
        <v>7</v>
      </c>
      <c r="AL258">
        <v>1</v>
      </c>
      <c r="AM258" t="s">
        <v>258</v>
      </c>
      <c r="AN258" t="s">
        <v>721</v>
      </c>
      <c r="AO258">
        <v>0</v>
      </c>
      <c r="AX258">
        <v>0</v>
      </c>
      <c r="BE258" t="s">
        <v>258</v>
      </c>
      <c r="BG258">
        <v>0</v>
      </c>
      <c r="BJ258" t="s">
        <v>36</v>
      </c>
      <c r="BK258">
        <v>4</v>
      </c>
      <c r="BL258">
        <v>1</v>
      </c>
      <c r="BM258">
        <v>1</v>
      </c>
      <c r="BN258" t="s">
        <v>37</v>
      </c>
      <c r="BO258">
        <v>4</v>
      </c>
      <c r="BP258">
        <v>55</v>
      </c>
      <c r="BQ258">
        <v>0.05</v>
      </c>
      <c r="BR258">
        <v>1</v>
      </c>
      <c r="BS258">
        <v>0.05</v>
      </c>
      <c r="BT258" t="e">
        <f>BS258+BD258+AU258+AM258</f>
        <v>#VALUE!</v>
      </c>
      <c r="BU258">
        <v>1</v>
      </c>
      <c r="BV258">
        <v>1</v>
      </c>
      <c r="BW258">
        <v>146.5</v>
      </c>
      <c r="BX258">
        <f>BW258/7</f>
        <v>20.928571428571427</v>
      </c>
      <c r="BY258">
        <f>0.00077*BX258</f>
        <v>1.6114999999999997E-2</v>
      </c>
      <c r="BZ258" t="e">
        <f t="shared" si="3"/>
        <v>#VALUE!</v>
      </c>
    </row>
    <row r="259" spans="1:78">
      <c r="A259" s="1">
        <v>45197.878748148149</v>
      </c>
      <c r="C259">
        <v>258</v>
      </c>
      <c r="D259" s="10">
        <v>33322</v>
      </c>
      <c r="E259">
        <v>32</v>
      </c>
      <c r="F259">
        <v>1</v>
      </c>
      <c r="G259">
        <v>12</v>
      </c>
      <c r="H259">
        <v>4</v>
      </c>
      <c r="I259" s="10">
        <v>44006</v>
      </c>
      <c r="J259">
        <v>2</v>
      </c>
      <c r="K259">
        <v>0</v>
      </c>
      <c r="L259">
        <v>1</v>
      </c>
      <c r="M259">
        <v>3430</v>
      </c>
      <c r="N259">
        <v>2</v>
      </c>
      <c r="O259" s="10">
        <v>43740</v>
      </c>
      <c r="P259">
        <v>0</v>
      </c>
      <c r="Q259">
        <v>38</v>
      </c>
      <c r="R259">
        <v>2</v>
      </c>
      <c r="S259">
        <v>53</v>
      </c>
      <c r="T259">
        <v>160</v>
      </c>
      <c r="U259">
        <v>62</v>
      </c>
      <c r="V259">
        <v>9</v>
      </c>
      <c r="W259">
        <v>1</v>
      </c>
      <c r="X259">
        <v>20.703124999999996</v>
      </c>
      <c r="Y259">
        <v>24.218749999999996</v>
      </c>
      <c r="Z259">
        <v>3.515625</v>
      </c>
      <c r="AA259">
        <v>2</v>
      </c>
      <c r="AB259">
        <v>2</v>
      </c>
      <c r="AC259" t="s">
        <v>33</v>
      </c>
      <c r="AD259">
        <v>3</v>
      </c>
      <c r="AE259">
        <v>0</v>
      </c>
      <c r="AG259">
        <v>5</v>
      </c>
      <c r="AH259">
        <v>1</v>
      </c>
      <c r="AI259">
        <v>4</v>
      </c>
      <c r="AJ259">
        <v>1</v>
      </c>
      <c r="AK259">
        <v>7</v>
      </c>
      <c r="AL259">
        <v>1</v>
      </c>
      <c r="AM259">
        <f>AJ259*AK259*AL259/7</f>
        <v>1</v>
      </c>
      <c r="AN259" t="s">
        <v>43</v>
      </c>
      <c r="AO259">
        <v>0</v>
      </c>
      <c r="AV259">
        <f>AU259+AM259</f>
        <v>1</v>
      </c>
      <c r="AX259">
        <v>0</v>
      </c>
      <c r="BE259">
        <f>AM259+AU259+BD259</f>
        <v>1</v>
      </c>
      <c r="BG259">
        <v>0</v>
      </c>
      <c r="BJ259" t="s">
        <v>49</v>
      </c>
      <c r="BK259">
        <v>5</v>
      </c>
      <c r="BL259">
        <v>1</v>
      </c>
      <c r="BM259">
        <v>1</v>
      </c>
      <c r="BN259" t="s">
        <v>55</v>
      </c>
      <c r="BO259">
        <v>2</v>
      </c>
      <c r="BP259">
        <v>134</v>
      </c>
      <c r="BQ259">
        <v>0.1</v>
      </c>
      <c r="BR259">
        <v>2</v>
      </c>
      <c r="BS259">
        <v>0.2</v>
      </c>
      <c r="BT259">
        <f>BS259+BD259+AU259+AM259</f>
        <v>1.2</v>
      </c>
      <c r="BU259">
        <v>1</v>
      </c>
      <c r="BV259" t="s">
        <v>124</v>
      </c>
      <c r="BZ259">
        <f t="shared" si="3"/>
        <v>1.2</v>
      </c>
    </row>
    <row r="260" spans="1:78">
      <c r="A260" s="1">
        <v>45197.92657841435</v>
      </c>
      <c r="C260">
        <v>259</v>
      </c>
      <c r="D260" s="10">
        <v>31442</v>
      </c>
      <c r="E260">
        <v>37</v>
      </c>
      <c r="F260">
        <v>1</v>
      </c>
      <c r="G260">
        <v>1</v>
      </c>
      <c r="H260">
        <v>5</v>
      </c>
      <c r="I260" s="10">
        <v>44181</v>
      </c>
      <c r="J260">
        <v>1</v>
      </c>
      <c r="K260">
        <v>1</v>
      </c>
      <c r="L260">
        <v>1</v>
      </c>
      <c r="M260">
        <v>2330</v>
      </c>
      <c r="N260">
        <v>1</v>
      </c>
      <c r="O260" s="10">
        <v>43922</v>
      </c>
      <c r="P260">
        <v>1</v>
      </c>
      <c r="Q260">
        <v>37</v>
      </c>
      <c r="R260">
        <v>2</v>
      </c>
      <c r="S260">
        <v>53</v>
      </c>
      <c r="T260">
        <v>158</v>
      </c>
      <c r="U260">
        <v>63</v>
      </c>
      <c r="V260">
        <v>10</v>
      </c>
      <c r="W260">
        <v>1</v>
      </c>
      <c r="X260">
        <v>21.230572023714146</v>
      </c>
      <c r="Y260">
        <v>25.236340330075304</v>
      </c>
      <c r="Z260">
        <v>4.0057683063611584</v>
      </c>
      <c r="AA260">
        <v>2</v>
      </c>
      <c r="AB260">
        <v>3</v>
      </c>
      <c r="AC260" t="s">
        <v>33</v>
      </c>
      <c r="AD260">
        <v>3</v>
      </c>
      <c r="AE260">
        <v>0</v>
      </c>
      <c r="AG260">
        <v>5</v>
      </c>
      <c r="AH260">
        <v>1</v>
      </c>
      <c r="AI260">
        <v>5</v>
      </c>
      <c r="AJ260">
        <v>5</v>
      </c>
      <c r="AK260">
        <v>7</v>
      </c>
      <c r="AL260">
        <v>1</v>
      </c>
      <c r="AM260">
        <f>AJ260*AK260*AL260/7</f>
        <v>5</v>
      </c>
      <c r="AN260" t="s">
        <v>27</v>
      </c>
      <c r="AO260">
        <v>0</v>
      </c>
      <c r="AV260">
        <f>AU260+AM260</f>
        <v>5</v>
      </c>
      <c r="AX260">
        <v>0</v>
      </c>
      <c r="BE260">
        <f>AM260+AU260+BD260</f>
        <v>5</v>
      </c>
      <c r="BG260">
        <v>0</v>
      </c>
      <c r="BJ260" t="s">
        <v>49</v>
      </c>
      <c r="BK260">
        <v>5</v>
      </c>
      <c r="BL260">
        <v>1</v>
      </c>
      <c r="BM260">
        <v>1</v>
      </c>
      <c r="BN260" t="s">
        <v>37</v>
      </c>
      <c r="BO260">
        <v>4</v>
      </c>
      <c r="BP260">
        <v>27.5</v>
      </c>
      <c r="BQ260">
        <v>0.05</v>
      </c>
      <c r="BR260">
        <v>0.5</v>
      </c>
      <c r="BS260">
        <v>2.5000000000000001E-2</v>
      </c>
      <c r="BT260">
        <f>BS260+BD260+AU260+AM260</f>
        <v>5.0250000000000004</v>
      </c>
      <c r="BU260">
        <v>1</v>
      </c>
      <c r="BV260">
        <v>1</v>
      </c>
      <c r="BW260">
        <v>146.5</v>
      </c>
      <c r="BX260">
        <f>BW260/7</f>
        <v>20.928571428571427</v>
      </c>
      <c r="BY260">
        <f>0.77*BX260</f>
        <v>16.114999999999998</v>
      </c>
      <c r="BZ260">
        <f t="shared" ref="BZ260:BZ323" si="4">BS260+BD260+AU260+AM260+BY260</f>
        <v>21.14</v>
      </c>
    </row>
    <row r="261" spans="1:78">
      <c r="A261" s="1">
        <v>45197.976399641208</v>
      </c>
      <c r="C261">
        <v>260</v>
      </c>
      <c r="D261" s="10">
        <v>30911</v>
      </c>
      <c r="E261">
        <v>39</v>
      </c>
      <c r="F261">
        <v>1</v>
      </c>
      <c r="G261">
        <v>1</v>
      </c>
      <c r="H261">
        <v>4</v>
      </c>
      <c r="I261" s="10">
        <v>44301</v>
      </c>
      <c r="J261">
        <v>3</v>
      </c>
      <c r="K261">
        <v>0</v>
      </c>
      <c r="L261">
        <v>1</v>
      </c>
      <c r="M261">
        <v>3505</v>
      </c>
      <c r="N261">
        <v>2</v>
      </c>
      <c r="O261" s="10">
        <v>44027</v>
      </c>
      <c r="P261">
        <v>1</v>
      </c>
      <c r="Q261">
        <v>39.142857142857146</v>
      </c>
      <c r="R261">
        <v>2</v>
      </c>
      <c r="S261">
        <v>80</v>
      </c>
      <c r="T261">
        <v>163</v>
      </c>
      <c r="U261">
        <v>85</v>
      </c>
      <c r="V261">
        <v>5</v>
      </c>
      <c r="W261">
        <v>1</v>
      </c>
      <c r="X261">
        <v>30.110278896458279</v>
      </c>
      <c r="Y261">
        <v>31.992171327486922</v>
      </c>
      <c r="Z261">
        <v>1.8818924310286427</v>
      </c>
      <c r="AA261">
        <v>4</v>
      </c>
      <c r="AB261">
        <v>4</v>
      </c>
      <c r="AC261" t="s">
        <v>44</v>
      </c>
      <c r="AD261">
        <v>1</v>
      </c>
      <c r="AE261">
        <v>0</v>
      </c>
      <c r="AG261">
        <v>5</v>
      </c>
      <c r="AH261">
        <v>0</v>
      </c>
      <c r="AI261">
        <v>0</v>
      </c>
      <c r="AN261" t="s">
        <v>41</v>
      </c>
      <c r="AO261">
        <v>0</v>
      </c>
      <c r="AW261" t="s">
        <v>224</v>
      </c>
      <c r="AX261">
        <v>1</v>
      </c>
      <c r="AY261" t="s">
        <v>58</v>
      </c>
      <c r="AZ261">
        <v>1</v>
      </c>
      <c r="BA261">
        <v>0.8</v>
      </c>
      <c r="BB261">
        <v>7</v>
      </c>
      <c r="BC261">
        <v>1</v>
      </c>
      <c r="BD261">
        <f>BA261*BB261*1/7</f>
        <v>0.8</v>
      </c>
      <c r="BE261">
        <f>AM261+AU261+BD261</f>
        <v>0.8</v>
      </c>
      <c r="BF261" t="s">
        <v>58</v>
      </c>
      <c r="BG261">
        <v>0</v>
      </c>
      <c r="BH261">
        <v>7</v>
      </c>
      <c r="BI261">
        <v>1</v>
      </c>
      <c r="BJ261" t="s">
        <v>54</v>
      </c>
      <c r="BK261">
        <v>2</v>
      </c>
      <c r="BL261">
        <v>4</v>
      </c>
      <c r="BM261">
        <v>1</v>
      </c>
      <c r="BN261" t="s">
        <v>30</v>
      </c>
      <c r="BO261">
        <v>1</v>
      </c>
      <c r="BP261">
        <v>84</v>
      </c>
      <c r="BQ261">
        <v>0.13</v>
      </c>
      <c r="BR261">
        <v>1</v>
      </c>
      <c r="BS261">
        <v>0.13</v>
      </c>
      <c r="BT261">
        <f>BS261+BD261+AU261+AM261</f>
        <v>0.93</v>
      </c>
      <c r="BU261">
        <v>1</v>
      </c>
      <c r="BV261">
        <v>0.5</v>
      </c>
      <c r="BW261">
        <v>73.25</v>
      </c>
      <c r="BX261">
        <f>BW261/7</f>
        <v>10.464285714285714</v>
      </c>
      <c r="BY261">
        <f>0.77*BX261</f>
        <v>8.0574999999999992</v>
      </c>
      <c r="BZ261">
        <f t="shared" si="4"/>
        <v>8.9874999999999989</v>
      </c>
    </row>
    <row r="262" spans="1:78">
      <c r="A262" s="1">
        <v>45198.333338206023</v>
      </c>
      <c r="C262">
        <v>261</v>
      </c>
      <c r="D262" s="10">
        <v>31853</v>
      </c>
      <c r="E262">
        <v>36</v>
      </c>
      <c r="F262">
        <v>1</v>
      </c>
      <c r="G262">
        <v>1</v>
      </c>
      <c r="H262">
        <v>5</v>
      </c>
      <c r="I262" s="10">
        <v>44280</v>
      </c>
      <c r="J262">
        <v>1</v>
      </c>
      <c r="K262">
        <v>1</v>
      </c>
      <c r="L262">
        <v>2</v>
      </c>
      <c r="M262">
        <v>3200</v>
      </c>
      <c r="N262">
        <v>2</v>
      </c>
      <c r="O262" s="10">
        <v>43995</v>
      </c>
      <c r="P262">
        <v>1</v>
      </c>
      <c r="Q262">
        <v>40.714285714285715</v>
      </c>
      <c r="R262">
        <v>2</v>
      </c>
      <c r="S262">
        <v>61</v>
      </c>
      <c r="T262">
        <v>161</v>
      </c>
      <c r="U262">
        <v>73</v>
      </c>
      <c r="V262">
        <v>12</v>
      </c>
      <c r="W262">
        <v>2</v>
      </c>
      <c r="X262">
        <v>23.533042706685695</v>
      </c>
      <c r="Y262">
        <v>28.162493730951734</v>
      </c>
      <c r="Z262">
        <v>4.6294510242660394</v>
      </c>
      <c r="AA262">
        <v>2</v>
      </c>
      <c r="AB262">
        <v>3</v>
      </c>
      <c r="AC262" t="s">
        <v>33</v>
      </c>
      <c r="AD262">
        <v>3</v>
      </c>
      <c r="AE262">
        <v>0</v>
      </c>
      <c r="AG262">
        <v>5</v>
      </c>
      <c r="AH262">
        <v>1</v>
      </c>
      <c r="AI262">
        <v>4</v>
      </c>
      <c r="AJ262">
        <v>1</v>
      </c>
      <c r="AK262">
        <v>7</v>
      </c>
      <c r="AL262">
        <v>1</v>
      </c>
      <c r="AM262">
        <f>AJ262*AK262*AL262/7</f>
        <v>1</v>
      </c>
      <c r="AN262" t="s">
        <v>43</v>
      </c>
      <c r="AO262">
        <v>0</v>
      </c>
      <c r="AV262">
        <f>AU262+AM262</f>
        <v>1</v>
      </c>
      <c r="AW262" t="s">
        <v>147</v>
      </c>
      <c r="AX262">
        <v>1</v>
      </c>
      <c r="AY262" t="s">
        <v>147</v>
      </c>
      <c r="AZ262">
        <v>1</v>
      </c>
      <c r="BA262">
        <v>0.53500000000000003</v>
      </c>
      <c r="BB262">
        <v>7</v>
      </c>
      <c r="BC262">
        <v>2</v>
      </c>
      <c r="BD262">
        <f>BA262*BB262*1/7</f>
        <v>0.53500000000000003</v>
      </c>
      <c r="BE262">
        <f>AM262+AU262+BD262</f>
        <v>1.5350000000000001</v>
      </c>
      <c r="BF262" t="s">
        <v>147</v>
      </c>
      <c r="BG262">
        <v>0</v>
      </c>
      <c r="BH262">
        <v>7</v>
      </c>
      <c r="BI262">
        <v>2</v>
      </c>
      <c r="BJ262" t="s">
        <v>49</v>
      </c>
      <c r="BK262">
        <v>5</v>
      </c>
      <c r="BL262">
        <v>1</v>
      </c>
      <c r="BM262">
        <v>1</v>
      </c>
      <c r="BN262" t="s">
        <v>37</v>
      </c>
      <c r="BO262">
        <v>4</v>
      </c>
      <c r="BP262">
        <v>55</v>
      </c>
      <c r="BQ262">
        <v>0.05</v>
      </c>
      <c r="BR262">
        <v>1</v>
      </c>
      <c r="BS262">
        <v>0.05</v>
      </c>
      <c r="BT262">
        <f>BS262+BD262+AU262+AM262</f>
        <v>1.585</v>
      </c>
      <c r="BU262">
        <v>1</v>
      </c>
      <c r="BV262">
        <v>1</v>
      </c>
      <c r="BW262">
        <v>146.5</v>
      </c>
      <c r="BX262">
        <f>BW262/7</f>
        <v>20.928571428571427</v>
      </c>
      <c r="BY262">
        <f>0.77*BX262</f>
        <v>16.114999999999998</v>
      </c>
      <c r="BZ262">
        <f t="shared" si="4"/>
        <v>17.7</v>
      </c>
    </row>
    <row r="263" spans="1:78">
      <c r="A263" s="1">
        <v>45198.408878726856</v>
      </c>
      <c r="C263">
        <v>262</v>
      </c>
      <c r="D263" s="10">
        <v>31760</v>
      </c>
      <c r="E263">
        <v>36</v>
      </c>
      <c r="F263">
        <v>1</v>
      </c>
      <c r="G263">
        <v>1</v>
      </c>
      <c r="H263">
        <v>5</v>
      </c>
      <c r="I263" s="10">
        <v>44792</v>
      </c>
      <c r="J263">
        <v>1</v>
      </c>
      <c r="K263">
        <v>1</v>
      </c>
      <c r="L263">
        <v>1</v>
      </c>
      <c r="M263">
        <v>3355</v>
      </c>
      <c r="N263">
        <v>2</v>
      </c>
      <c r="O263" s="10">
        <v>44521</v>
      </c>
      <c r="P263">
        <v>0</v>
      </c>
      <c r="Q263">
        <v>38.714285714285715</v>
      </c>
      <c r="R263">
        <v>2</v>
      </c>
      <c r="S263">
        <v>62</v>
      </c>
      <c r="T263">
        <v>167</v>
      </c>
      <c r="U263">
        <v>73</v>
      </c>
      <c r="V263">
        <v>11</v>
      </c>
      <c r="W263">
        <v>1</v>
      </c>
      <c r="X263">
        <v>22.230987127541326</v>
      </c>
      <c r="Y263">
        <v>26.175194521137367</v>
      </c>
      <c r="Z263">
        <v>3.9442073935960416</v>
      </c>
      <c r="AA263">
        <v>2</v>
      </c>
      <c r="AB263">
        <v>3</v>
      </c>
      <c r="AC263" t="s">
        <v>33</v>
      </c>
      <c r="AD263">
        <v>3</v>
      </c>
      <c r="AE263">
        <v>0</v>
      </c>
      <c r="AG263">
        <v>5</v>
      </c>
      <c r="AH263">
        <v>1</v>
      </c>
      <c r="AI263">
        <v>5</v>
      </c>
      <c r="AJ263">
        <v>5</v>
      </c>
      <c r="AK263">
        <v>7</v>
      </c>
      <c r="AL263">
        <v>1</v>
      </c>
      <c r="AM263">
        <f>AJ263*AK263*AL263/7</f>
        <v>5</v>
      </c>
      <c r="AN263" t="s">
        <v>27</v>
      </c>
      <c r="AO263">
        <v>0</v>
      </c>
      <c r="AV263">
        <f>AU263+AM263</f>
        <v>5</v>
      </c>
      <c r="AW263" t="s">
        <v>58</v>
      </c>
      <c r="AX263">
        <v>1</v>
      </c>
      <c r="AY263" t="s">
        <v>58</v>
      </c>
      <c r="AZ263">
        <v>1</v>
      </c>
      <c r="BA263">
        <v>0.8</v>
      </c>
      <c r="BB263">
        <v>7</v>
      </c>
      <c r="BC263">
        <v>2</v>
      </c>
      <c r="BD263">
        <f>BA263*BB263*1/7</f>
        <v>0.8</v>
      </c>
      <c r="BE263">
        <f>AM263+AU263+BD263</f>
        <v>5.8</v>
      </c>
      <c r="BF263" t="s">
        <v>58</v>
      </c>
      <c r="BG263">
        <v>0</v>
      </c>
      <c r="BH263">
        <v>7</v>
      </c>
      <c r="BI263">
        <v>2</v>
      </c>
      <c r="BJ263" t="s">
        <v>36</v>
      </c>
      <c r="BK263">
        <v>4</v>
      </c>
      <c r="BL263">
        <v>1</v>
      </c>
      <c r="BM263">
        <v>1</v>
      </c>
      <c r="BN263" t="s">
        <v>59</v>
      </c>
      <c r="BO263">
        <v>3</v>
      </c>
      <c r="BP263">
        <v>112</v>
      </c>
      <c r="BQ263">
        <v>0.08</v>
      </c>
      <c r="BR263">
        <v>2</v>
      </c>
      <c r="BS263">
        <v>0.16</v>
      </c>
      <c r="BT263">
        <f>BS263+BD263+AU263+AM263</f>
        <v>5.96</v>
      </c>
      <c r="BU263">
        <v>1</v>
      </c>
      <c r="BV263">
        <v>2</v>
      </c>
      <c r="BW263">
        <v>293</v>
      </c>
      <c r="BX263">
        <f>BW263/7</f>
        <v>41.857142857142854</v>
      </c>
      <c r="BY263">
        <f>0.77*BX263</f>
        <v>32.229999999999997</v>
      </c>
      <c r="BZ263">
        <f t="shared" si="4"/>
        <v>38.19</v>
      </c>
    </row>
    <row r="264" spans="1:78">
      <c r="A264" s="1">
        <v>45198.503830173606</v>
      </c>
      <c r="C264">
        <v>263</v>
      </c>
      <c r="D264" s="10">
        <v>34163</v>
      </c>
      <c r="E264">
        <v>30</v>
      </c>
      <c r="F264">
        <v>1</v>
      </c>
      <c r="G264">
        <v>1</v>
      </c>
      <c r="H264">
        <v>4</v>
      </c>
      <c r="I264" s="10">
        <v>43584</v>
      </c>
      <c r="J264">
        <v>1</v>
      </c>
      <c r="K264">
        <v>1</v>
      </c>
      <c r="L264">
        <v>2</v>
      </c>
      <c r="M264">
        <v>3650</v>
      </c>
      <c r="N264">
        <v>2</v>
      </c>
      <c r="O264" s="10">
        <v>43304</v>
      </c>
      <c r="P264">
        <v>0</v>
      </c>
      <c r="Q264">
        <v>40</v>
      </c>
      <c r="R264">
        <v>2</v>
      </c>
      <c r="S264">
        <v>73</v>
      </c>
      <c r="T264">
        <v>163</v>
      </c>
      <c r="U264">
        <v>83</v>
      </c>
      <c r="V264">
        <v>10</v>
      </c>
      <c r="W264">
        <v>2</v>
      </c>
      <c r="X264">
        <v>27.475629493018182</v>
      </c>
      <c r="Y264">
        <v>31.239414355075468</v>
      </c>
      <c r="Z264">
        <v>3.7637848620572854</v>
      </c>
      <c r="AA264">
        <v>3</v>
      </c>
      <c r="AB264">
        <v>4</v>
      </c>
      <c r="AC264" t="s">
        <v>33</v>
      </c>
      <c r="AD264">
        <v>3</v>
      </c>
      <c r="AE264">
        <v>0</v>
      </c>
      <c r="AG264">
        <v>5</v>
      </c>
      <c r="AH264">
        <v>1</v>
      </c>
      <c r="AI264">
        <v>5</v>
      </c>
      <c r="AJ264">
        <v>5</v>
      </c>
      <c r="AK264">
        <v>7</v>
      </c>
      <c r="AL264">
        <v>1</v>
      </c>
      <c r="AM264">
        <f>AJ264*AK264*AL264/7</f>
        <v>5</v>
      </c>
      <c r="AN264" t="s">
        <v>27</v>
      </c>
      <c r="AO264">
        <v>0</v>
      </c>
      <c r="AV264">
        <f>AU264+AM264</f>
        <v>5</v>
      </c>
      <c r="AX264">
        <v>0</v>
      </c>
      <c r="BE264">
        <f>AM264+AU264+BD264</f>
        <v>5</v>
      </c>
      <c r="BG264">
        <v>0</v>
      </c>
      <c r="BJ264" t="s">
        <v>49</v>
      </c>
      <c r="BK264">
        <v>5</v>
      </c>
      <c r="BL264">
        <v>1</v>
      </c>
      <c r="BM264">
        <v>1</v>
      </c>
      <c r="BN264" t="s">
        <v>30</v>
      </c>
      <c r="BO264">
        <v>1</v>
      </c>
      <c r="BP264">
        <v>336</v>
      </c>
      <c r="BQ264">
        <v>0.13</v>
      </c>
      <c r="BR264">
        <v>4</v>
      </c>
      <c r="BS264">
        <v>0.52</v>
      </c>
      <c r="BT264">
        <f>BS264+BD264+AU264+AM264</f>
        <v>5.52</v>
      </c>
      <c r="BU264">
        <v>1</v>
      </c>
      <c r="BV264">
        <v>1</v>
      </c>
      <c r="BW264">
        <v>146.5</v>
      </c>
      <c r="BX264">
        <f>BW264/7</f>
        <v>20.928571428571427</v>
      </c>
      <c r="BY264">
        <f>0.77*BX264</f>
        <v>16.114999999999998</v>
      </c>
      <c r="BZ264">
        <f t="shared" si="4"/>
        <v>21.634999999999998</v>
      </c>
    </row>
    <row r="265" spans="1:78">
      <c r="A265" s="1">
        <v>45198.51691766204</v>
      </c>
      <c r="C265">
        <v>264</v>
      </c>
      <c r="D265" s="10">
        <v>32106</v>
      </c>
      <c r="E265">
        <v>35</v>
      </c>
      <c r="F265">
        <v>1</v>
      </c>
      <c r="G265">
        <v>1</v>
      </c>
      <c r="H265">
        <v>4</v>
      </c>
      <c r="I265" s="10">
        <v>44896</v>
      </c>
      <c r="J265">
        <v>1</v>
      </c>
      <c r="K265">
        <v>1</v>
      </c>
      <c r="L265">
        <v>2</v>
      </c>
      <c r="M265">
        <v>2834</v>
      </c>
      <c r="N265">
        <v>2</v>
      </c>
      <c r="O265" s="10">
        <v>44624</v>
      </c>
      <c r="P265">
        <v>0</v>
      </c>
      <c r="Q265">
        <v>38.857142857142854</v>
      </c>
      <c r="R265">
        <v>2</v>
      </c>
      <c r="S265">
        <v>45</v>
      </c>
      <c r="T265">
        <v>150</v>
      </c>
      <c r="U265">
        <v>54</v>
      </c>
      <c r="V265">
        <v>9</v>
      </c>
      <c r="W265">
        <v>1</v>
      </c>
      <c r="X265">
        <v>20</v>
      </c>
      <c r="Y265">
        <v>24</v>
      </c>
      <c r="Z265">
        <v>4</v>
      </c>
      <c r="AA265">
        <v>2</v>
      </c>
      <c r="AB265">
        <v>2</v>
      </c>
      <c r="AC265" t="s">
        <v>33</v>
      </c>
      <c r="AD265">
        <v>3</v>
      </c>
      <c r="AE265">
        <v>0</v>
      </c>
      <c r="AG265">
        <v>5</v>
      </c>
      <c r="AH265">
        <v>1</v>
      </c>
      <c r="AI265">
        <v>4</v>
      </c>
      <c r="AJ265">
        <v>1</v>
      </c>
      <c r="AK265">
        <v>7</v>
      </c>
      <c r="AL265">
        <v>1</v>
      </c>
      <c r="AM265">
        <f>AJ265*AK265*AL265/7</f>
        <v>1</v>
      </c>
      <c r="AN265" t="s">
        <v>43</v>
      </c>
      <c r="AO265">
        <v>0</v>
      </c>
      <c r="AV265">
        <f>AU265+AM265</f>
        <v>1</v>
      </c>
      <c r="AW265" t="s">
        <v>227</v>
      </c>
      <c r="AX265">
        <v>1</v>
      </c>
      <c r="AY265" t="s">
        <v>227</v>
      </c>
      <c r="AZ265">
        <v>11</v>
      </c>
      <c r="BA265">
        <v>0.2</v>
      </c>
      <c r="BB265">
        <v>7</v>
      </c>
      <c r="BC265">
        <v>1</v>
      </c>
      <c r="BD265">
        <f>BA265*BB265*1/7</f>
        <v>0.2</v>
      </c>
      <c r="BE265">
        <f>AM265+AU265+BD265</f>
        <v>1.2</v>
      </c>
      <c r="BF265" t="s">
        <v>227</v>
      </c>
      <c r="BG265">
        <v>0</v>
      </c>
      <c r="BH265">
        <v>7</v>
      </c>
      <c r="BI265">
        <v>1</v>
      </c>
      <c r="BJ265" t="s">
        <v>228</v>
      </c>
      <c r="BK265">
        <v>4</v>
      </c>
      <c r="BL265">
        <v>1</v>
      </c>
      <c r="BM265">
        <v>1</v>
      </c>
      <c r="BN265" t="s">
        <v>59</v>
      </c>
      <c r="BO265">
        <v>3</v>
      </c>
      <c r="BP265">
        <v>112</v>
      </c>
      <c r="BQ265">
        <v>0.08</v>
      </c>
      <c r="BR265">
        <v>2</v>
      </c>
      <c r="BS265">
        <v>0.16</v>
      </c>
      <c r="BT265">
        <f>BS265+BD265+AU265+AM265</f>
        <v>1.3599999999999999</v>
      </c>
      <c r="BU265">
        <v>1</v>
      </c>
      <c r="BV265">
        <v>2</v>
      </c>
      <c r="BW265">
        <v>293</v>
      </c>
      <c r="BX265">
        <f>BW265/7</f>
        <v>41.857142857142854</v>
      </c>
      <c r="BY265">
        <f>0.77*BX265</f>
        <v>32.229999999999997</v>
      </c>
      <c r="BZ265">
        <f t="shared" si="4"/>
        <v>33.589999999999996</v>
      </c>
    </row>
    <row r="266" spans="1:78">
      <c r="A266" s="1">
        <v>45204.706955462963</v>
      </c>
      <c r="C266">
        <v>265</v>
      </c>
      <c r="D266" s="10">
        <v>31492</v>
      </c>
      <c r="E266">
        <v>37</v>
      </c>
      <c r="F266">
        <v>1</v>
      </c>
      <c r="G266">
        <v>1</v>
      </c>
      <c r="H266">
        <v>5</v>
      </c>
      <c r="I266" s="10">
        <v>43747</v>
      </c>
      <c r="J266">
        <v>1</v>
      </c>
      <c r="K266">
        <v>1</v>
      </c>
      <c r="L266">
        <v>2</v>
      </c>
      <c r="M266">
        <v>2600</v>
      </c>
      <c r="N266">
        <v>2</v>
      </c>
      <c r="O266" s="10">
        <v>43474</v>
      </c>
      <c r="P266">
        <v>0</v>
      </c>
      <c r="Q266">
        <v>39</v>
      </c>
      <c r="R266">
        <v>2</v>
      </c>
      <c r="S266">
        <v>48</v>
      </c>
      <c r="T266">
        <v>157</v>
      </c>
      <c r="U266">
        <v>55</v>
      </c>
      <c r="V266">
        <v>7</v>
      </c>
      <c r="W266">
        <v>1</v>
      </c>
      <c r="X266">
        <v>19.473406629072173</v>
      </c>
      <c r="Y266">
        <v>22.313278429145196</v>
      </c>
      <c r="Z266">
        <v>2.8398718000730234</v>
      </c>
      <c r="AA266">
        <v>2</v>
      </c>
      <c r="AB266">
        <v>2</v>
      </c>
      <c r="AC266" t="s">
        <v>33</v>
      </c>
      <c r="AD266">
        <v>3</v>
      </c>
      <c r="AE266">
        <v>0</v>
      </c>
      <c r="AG266">
        <v>5</v>
      </c>
      <c r="AH266">
        <v>1</v>
      </c>
      <c r="AI266">
        <v>13</v>
      </c>
      <c r="AJ266">
        <v>1</v>
      </c>
      <c r="AK266">
        <v>7</v>
      </c>
      <c r="AL266">
        <v>1</v>
      </c>
      <c r="AM266">
        <f>AJ266*AK266*AL266/7</f>
        <v>1</v>
      </c>
      <c r="AN266" t="s">
        <v>79</v>
      </c>
      <c r="AO266">
        <v>0</v>
      </c>
      <c r="AV266">
        <f>AU266+AM266</f>
        <v>1</v>
      </c>
      <c r="AW266" t="s">
        <v>58</v>
      </c>
      <c r="AX266">
        <v>1</v>
      </c>
      <c r="AY266" t="s">
        <v>58</v>
      </c>
      <c r="AZ266">
        <v>1</v>
      </c>
      <c r="BA266">
        <v>0.8</v>
      </c>
      <c r="BB266">
        <v>7</v>
      </c>
      <c r="BC266">
        <v>1</v>
      </c>
      <c r="BD266">
        <f>BA266*BB266*1/7</f>
        <v>0.8</v>
      </c>
      <c r="BE266">
        <f>AM266+AU266+BD266</f>
        <v>1.8</v>
      </c>
      <c r="BF266" t="s">
        <v>58</v>
      </c>
      <c r="BG266">
        <v>0</v>
      </c>
      <c r="BH266">
        <v>7</v>
      </c>
      <c r="BI266">
        <v>1</v>
      </c>
      <c r="BJ266" t="s">
        <v>49</v>
      </c>
      <c r="BK266">
        <v>5</v>
      </c>
      <c r="BL266">
        <v>3</v>
      </c>
      <c r="BM266">
        <v>1</v>
      </c>
      <c r="BN266" t="s">
        <v>30</v>
      </c>
      <c r="BO266">
        <v>1</v>
      </c>
      <c r="BP266">
        <v>168</v>
      </c>
      <c r="BQ266">
        <v>0.13</v>
      </c>
      <c r="BR266">
        <v>2</v>
      </c>
      <c r="BS266">
        <v>0.26</v>
      </c>
      <c r="BT266">
        <f>BS266+BD266+AU266+AM266</f>
        <v>2.06</v>
      </c>
      <c r="BU266">
        <v>1</v>
      </c>
      <c r="BV266">
        <v>2</v>
      </c>
      <c r="BW266">
        <v>293</v>
      </c>
      <c r="BX266">
        <f>BW266/7</f>
        <v>41.857142857142854</v>
      </c>
      <c r="BY266">
        <f>0.77*BX266</f>
        <v>32.229999999999997</v>
      </c>
      <c r="BZ266">
        <f t="shared" si="4"/>
        <v>34.29</v>
      </c>
    </row>
    <row r="267" spans="1:78">
      <c r="A267" s="1">
        <v>45205.418606932872</v>
      </c>
      <c r="C267">
        <v>266</v>
      </c>
      <c r="D267" s="10">
        <v>30683</v>
      </c>
      <c r="E267">
        <v>39</v>
      </c>
      <c r="F267">
        <v>1</v>
      </c>
      <c r="G267">
        <v>1</v>
      </c>
      <c r="H267">
        <v>4</v>
      </c>
      <c r="I267" s="10">
        <v>44207</v>
      </c>
      <c r="J267">
        <v>3</v>
      </c>
      <c r="K267">
        <v>0</v>
      </c>
      <c r="L267">
        <v>2</v>
      </c>
      <c r="M267">
        <v>3250</v>
      </c>
      <c r="N267">
        <v>2</v>
      </c>
      <c r="O267" s="10">
        <v>43948</v>
      </c>
      <c r="P267">
        <v>1</v>
      </c>
      <c r="Q267">
        <v>37</v>
      </c>
      <c r="R267">
        <v>2</v>
      </c>
      <c r="S267">
        <v>63</v>
      </c>
      <c r="T267">
        <v>166</v>
      </c>
      <c r="U267">
        <v>69</v>
      </c>
      <c r="V267">
        <v>6</v>
      </c>
      <c r="W267">
        <v>1</v>
      </c>
      <c r="X267">
        <v>22.862534475250399</v>
      </c>
      <c r="Y267">
        <v>25.039918710988534</v>
      </c>
      <c r="Z267">
        <v>2.1773842357381348</v>
      </c>
      <c r="AA267">
        <v>2</v>
      </c>
      <c r="AB267">
        <v>3</v>
      </c>
      <c r="AC267" t="s">
        <v>33</v>
      </c>
      <c r="AD267">
        <v>3</v>
      </c>
      <c r="AE267">
        <v>0</v>
      </c>
      <c r="AG267">
        <v>5</v>
      </c>
      <c r="AH267">
        <v>1</v>
      </c>
      <c r="AI267">
        <v>2</v>
      </c>
      <c r="AJ267">
        <v>5</v>
      </c>
      <c r="AK267">
        <v>7</v>
      </c>
      <c r="AL267">
        <v>1</v>
      </c>
      <c r="AM267">
        <f>AJ267*AK267*AL267/7</f>
        <v>5</v>
      </c>
      <c r="AN267" t="s">
        <v>57</v>
      </c>
      <c r="AO267">
        <v>0</v>
      </c>
      <c r="AV267">
        <f>AU267+AM267</f>
        <v>5</v>
      </c>
      <c r="AX267">
        <v>0</v>
      </c>
      <c r="BE267">
        <f>AM267+AU267+BD267</f>
        <v>5</v>
      </c>
      <c r="BG267">
        <v>0</v>
      </c>
      <c r="BJ267" t="s">
        <v>28</v>
      </c>
      <c r="BK267">
        <v>3</v>
      </c>
      <c r="BL267">
        <v>2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f>BS267+BD267+AU267+AM267</f>
        <v>5</v>
      </c>
      <c r="BU267">
        <v>0</v>
      </c>
      <c r="BW267">
        <v>0</v>
      </c>
      <c r="BX267">
        <f>BW267/7</f>
        <v>0</v>
      </c>
      <c r="BY267">
        <f>0.77*BX267</f>
        <v>0</v>
      </c>
      <c r="BZ267">
        <f t="shared" si="4"/>
        <v>5</v>
      </c>
    </row>
    <row r="268" spans="1:78">
      <c r="A268" s="1">
        <v>45205.419359733802</v>
      </c>
      <c r="C268">
        <v>267</v>
      </c>
      <c r="D268" s="10">
        <v>35732</v>
      </c>
      <c r="E268">
        <v>25</v>
      </c>
      <c r="F268">
        <v>1</v>
      </c>
      <c r="G268">
        <v>11</v>
      </c>
      <c r="H268">
        <v>3</v>
      </c>
      <c r="I268" s="10">
        <v>44733</v>
      </c>
      <c r="J268">
        <v>1</v>
      </c>
      <c r="K268">
        <v>1</v>
      </c>
      <c r="L268">
        <v>1</v>
      </c>
      <c r="M268">
        <v>3530</v>
      </c>
      <c r="N268">
        <v>2</v>
      </c>
      <c r="O268" s="10">
        <v>44460</v>
      </c>
      <c r="P268">
        <v>1</v>
      </c>
      <c r="Q268">
        <v>39</v>
      </c>
      <c r="R268">
        <v>2</v>
      </c>
      <c r="S268">
        <v>62</v>
      </c>
      <c r="T268">
        <v>153</v>
      </c>
      <c r="U268">
        <v>74</v>
      </c>
      <c r="V268">
        <v>12</v>
      </c>
      <c r="W268">
        <v>3</v>
      </c>
      <c r="X268">
        <v>26.485539749668931</v>
      </c>
      <c r="Y268">
        <v>31.611773249604852</v>
      </c>
      <c r="Z268">
        <v>5.1262334999359211</v>
      </c>
      <c r="AA268">
        <v>3</v>
      </c>
      <c r="AB268">
        <v>4</v>
      </c>
      <c r="AC268" t="s">
        <v>33</v>
      </c>
      <c r="AD268">
        <v>3</v>
      </c>
      <c r="AE268">
        <v>0</v>
      </c>
      <c r="AG268">
        <v>5</v>
      </c>
      <c r="AH268">
        <v>1</v>
      </c>
      <c r="AI268">
        <v>4</v>
      </c>
      <c r="AJ268">
        <v>1</v>
      </c>
      <c r="AK268">
        <v>7</v>
      </c>
      <c r="AL268">
        <v>1</v>
      </c>
      <c r="AM268">
        <f>AJ268*AK268*AL268/7</f>
        <v>1</v>
      </c>
      <c r="AN268" t="s">
        <v>43</v>
      </c>
      <c r="AO268">
        <v>0</v>
      </c>
      <c r="AV268">
        <f>AU268+AM268</f>
        <v>1</v>
      </c>
      <c r="AX268">
        <v>0</v>
      </c>
      <c r="BE268">
        <f>AM268+AU268+BD268</f>
        <v>1</v>
      </c>
      <c r="BG268">
        <v>0</v>
      </c>
      <c r="BJ268" t="s">
        <v>49</v>
      </c>
      <c r="BK268">
        <v>5</v>
      </c>
      <c r="BL268">
        <v>1</v>
      </c>
      <c r="BM268">
        <v>1</v>
      </c>
      <c r="BN268" t="s">
        <v>59</v>
      </c>
      <c r="BO268">
        <v>3</v>
      </c>
      <c r="BP268">
        <v>224</v>
      </c>
      <c r="BQ268">
        <v>0.08</v>
      </c>
      <c r="BR268">
        <v>4</v>
      </c>
      <c r="BS268">
        <v>0.32</v>
      </c>
      <c r="BT268">
        <f>BS268+BD268+AU268+AM268</f>
        <v>1.32</v>
      </c>
      <c r="BU268">
        <v>1</v>
      </c>
      <c r="BV268">
        <v>4</v>
      </c>
      <c r="BW268">
        <v>586</v>
      </c>
      <c r="BX268">
        <f>BW268/7</f>
        <v>83.714285714285708</v>
      </c>
      <c r="BY268">
        <f>0.77*BX268</f>
        <v>64.459999999999994</v>
      </c>
      <c r="BZ268">
        <f t="shared" si="4"/>
        <v>65.779999999999987</v>
      </c>
    </row>
    <row r="269" spans="1:78">
      <c r="A269" s="1">
        <v>45205.431239756945</v>
      </c>
      <c r="C269">
        <v>268</v>
      </c>
      <c r="D269" s="10">
        <v>32089</v>
      </c>
      <c r="E269">
        <v>35</v>
      </c>
      <c r="F269">
        <v>1</v>
      </c>
      <c r="G269">
        <v>13</v>
      </c>
      <c r="H269">
        <v>4</v>
      </c>
      <c r="I269" s="10">
        <v>43655</v>
      </c>
      <c r="J269">
        <v>1</v>
      </c>
      <c r="K269">
        <v>1</v>
      </c>
      <c r="L269">
        <v>2</v>
      </c>
      <c r="M269">
        <v>2990</v>
      </c>
      <c r="N269">
        <v>2</v>
      </c>
      <c r="O269" s="10">
        <v>43360</v>
      </c>
      <c r="P269">
        <v>0</v>
      </c>
      <c r="Q269">
        <v>42.142857142857146</v>
      </c>
      <c r="R269">
        <v>1</v>
      </c>
      <c r="S269">
        <v>58</v>
      </c>
      <c r="T269">
        <v>155</v>
      </c>
      <c r="U269">
        <v>62</v>
      </c>
      <c r="V269">
        <v>4</v>
      </c>
      <c r="W269">
        <v>1</v>
      </c>
      <c r="X269">
        <v>24.141519250780433</v>
      </c>
      <c r="Y269">
        <v>25.806451612903224</v>
      </c>
      <c r="Z269">
        <v>1.6649323621227907</v>
      </c>
      <c r="AA269">
        <v>2</v>
      </c>
      <c r="AB269">
        <v>3</v>
      </c>
      <c r="AC269" t="s">
        <v>33</v>
      </c>
      <c r="AD269">
        <v>3</v>
      </c>
      <c r="AE269">
        <v>0</v>
      </c>
      <c r="AG269">
        <v>5</v>
      </c>
      <c r="AH269">
        <v>1</v>
      </c>
      <c r="AI269">
        <v>2</v>
      </c>
      <c r="AJ269">
        <v>5</v>
      </c>
      <c r="AK269">
        <v>7</v>
      </c>
      <c r="AL269">
        <v>1</v>
      </c>
      <c r="AM269">
        <f>AJ269*AK269*AL269/7</f>
        <v>5</v>
      </c>
      <c r="AN269" t="s">
        <v>57</v>
      </c>
      <c r="AO269">
        <v>0</v>
      </c>
      <c r="AV269">
        <f>AU269+AM269</f>
        <v>5</v>
      </c>
      <c r="AX269">
        <v>0</v>
      </c>
      <c r="BE269">
        <f>AM269+AU269+BD269</f>
        <v>5</v>
      </c>
      <c r="BG269">
        <v>0</v>
      </c>
      <c r="BJ269" t="s">
        <v>49</v>
      </c>
      <c r="BK269">
        <v>5</v>
      </c>
      <c r="BL269">
        <v>1</v>
      </c>
      <c r="BM269">
        <v>1</v>
      </c>
      <c r="BN269" t="s">
        <v>55</v>
      </c>
      <c r="BO269">
        <v>2</v>
      </c>
      <c r="BP269">
        <v>134</v>
      </c>
      <c r="BQ269">
        <v>0.1</v>
      </c>
      <c r="BR269">
        <v>2</v>
      </c>
      <c r="BS269">
        <v>0.2</v>
      </c>
      <c r="BT269">
        <f>BS269+BD269+AU269+AM269</f>
        <v>5.2</v>
      </c>
      <c r="BU269">
        <v>1</v>
      </c>
      <c r="BV269">
        <v>3</v>
      </c>
      <c r="BW269">
        <v>439.5</v>
      </c>
      <c r="BX269">
        <f>BW269/7</f>
        <v>62.785714285714285</v>
      </c>
      <c r="BY269">
        <f>0.77*BX269</f>
        <v>48.344999999999999</v>
      </c>
      <c r="BZ269">
        <f t="shared" si="4"/>
        <v>53.545000000000002</v>
      </c>
    </row>
    <row r="270" spans="1:78">
      <c r="A270" s="1">
        <v>45206.515573287033</v>
      </c>
      <c r="C270">
        <v>269</v>
      </c>
      <c r="D270" s="10">
        <v>28544</v>
      </c>
      <c r="E270">
        <v>45</v>
      </c>
      <c r="F270">
        <v>1</v>
      </c>
      <c r="G270">
        <v>11</v>
      </c>
      <c r="H270">
        <v>4</v>
      </c>
      <c r="I270" s="10">
        <v>43433</v>
      </c>
      <c r="J270">
        <v>1</v>
      </c>
      <c r="K270">
        <v>1</v>
      </c>
      <c r="L270">
        <v>1</v>
      </c>
      <c r="M270">
        <v>3400</v>
      </c>
      <c r="N270">
        <v>2</v>
      </c>
      <c r="O270" s="10">
        <v>43160</v>
      </c>
      <c r="P270">
        <v>0</v>
      </c>
      <c r="Q270">
        <v>39</v>
      </c>
      <c r="R270">
        <v>2</v>
      </c>
      <c r="S270">
        <v>53</v>
      </c>
      <c r="T270">
        <v>148</v>
      </c>
      <c r="U270">
        <v>60</v>
      </c>
      <c r="V270">
        <v>7</v>
      </c>
      <c r="W270">
        <v>1</v>
      </c>
      <c r="X270">
        <v>24.196493791088386</v>
      </c>
      <c r="Y270">
        <v>27.392257121986852</v>
      </c>
      <c r="Z270">
        <v>3.1957633308984654</v>
      </c>
      <c r="AA270">
        <v>2</v>
      </c>
      <c r="AB270">
        <v>3</v>
      </c>
      <c r="AC270" t="s">
        <v>44</v>
      </c>
      <c r="AD270">
        <v>1</v>
      </c>
      <c r="AE270">
        <v>0</v>
      </c>
      <c r="AG270">
        <v>5</v>
      </c>
      <c r="AH270">
        <v>1</v>
      </c>
      <c r="AI270">
        <v>4</v>
      </c>
      <c r="AJ270">
        <v>1</v>
      </c>
      <c r="AK270">
        <v>7</v>
      </c>
      <c r="AL270">
        <v>1</v>
      </c>
      <c r="AM270">
        <f>AJ270*AK270*AL270/7</f>
        <v>1</v>
      </c>
      <c r="AN270" t="s">
        <v>43</v>
      </c>
      <c r="AO270">
        <v>0</v>
      </c>
      <c r="AV270">
        <f>AU270+AM270</f>
        <v>1</v>
      </c>
      <c r="AW270" t="s">
        <v>231</v>
      </c>
      <c r="AX270">
        <v>1</v>
      </c>
      <c r="AY270" t="s">
        <v>231</v>
      </c>
      <c r="AZ270">
        <v>12</v>
      </c>
      <c r="BA270">
        <v>0.4</v>
      </c>
      <c r="BB270">
        <v>7</v>
      </c>
      <c r="BC270">
        <v>1</v>
      </c>
      <c r="BD270">
        <f>BA270*BB270*1/7</f>
        <v>0.4</v>
      </c>
      <c r="BE270">
        <f>AM270+AU270+BD270</f>
        <v>1.4</v>
      </c>
      <c r="BF270" t="s">
        <v>231</v>
      </c>
      <c r="BG270">
        <v>0</v>
      </c>
      <c r="BH270">
        <v>7</v>
      </c>
      <c r="BI270">
        <v>1</v>
      </c>
      <c r="BJ270" t="s">
        <v>36</v>
      </c>
      <c r="BK270">
        <v>4</v>
      </c>
      <c r="BL270">
        <v>1</v>
      </c>
      <c r="BM270">
        <v>1</v>
      </c>
      <c r="BN270" t="s">
        <v>30</v>
      </c>
      <c r="BO270">
        <v>1</v>
      </c>
      <c r="BP270">
        <v>84</v>
      </c>
      <c r="BQ270">
        <v>0.13</v>
      </c>
      <c r="BR270">
        <v>1</v>
      </c>
      <c r="BS270">
        <v>0.13</v>
      </c>
      <c r="BT270">
        <f>BS270+BD270+AU270+AM270</f>
        <v>1.53</v>
      </c>
      <c r="BU270">
        <v>1</v>
      </c>
      <c r="BV270">
        <v>1</v>
      </c>
      <c r="BW270">
        <v>146.5</v>
      </c>
      <c r="BX270">
        <f>BW270/7</f>
        <v>20.928571428571427</v>
      </c>
      <c r="BY270">
        <f>0.77*BX270</f>
        <v>16.114999999999998</v>
      </c>
      <c r="BZ270">
        <f t="shared" si="4"/>
        <v>17.645</v>
      </c>
    </row>
    <row r="271" spans="1:78">
      <c r="A271" s="1">
        <v>45206.561868159726</v>
      </c>
      <c r="C271">
        <v>270</v>
      </c>
      <c r="D271" s="10">
        <v>35741</v>
      </c>
      <c r="E271">
        <v>25</v>
      </c>
      <c r="F271">
        <v>1</v>
      </c>
      <c r="G271">
        <v>9</v>
      </c>
      <c r="H271">
        <v>5</v>
      </c>
      <c r="I271" s="10">
        <v>44966</v>
      </c>
      <c r="J271">
        <v>1</v>
      </c>
      <c r="K271">
        <v>1</v>
      </c>
      <c r="L271">
        <v>1</v>
      </c>
      <c r="M271">
        <v>3820</v>
      </c>
      <c r="N271">
        <v>2</v>
      </c>
      <c r="O271" s="10">
        <v>44742</v>
      </c>
      <c r="P271">
        <v>0</v>
      </c>
      <c r="Q271">
        <v>32</v>
      </c>
      <c r="R271">
        <v>3</v>
      </c>
      <c r="S271">
        <v>73</v>
      </c>
      <c r="T271">
        <v>160</v>
      </c>
      <c r="U271">
        <v>75</v>
      </c>
      <c r="V271">
        <v>2</v>
      </c>
      <c r="W271">
        <v>1</v>
      </c>
      <c r="X271">
        <v>28.515624999999993</v>
      </c>
      <c r="Y271">
        <v>29.296874999999993</v>
      </c>
      <c r="Z271">
        <v>0.78125</v>
      </c>
      <c r="AA271">
        <v>3</v>
      </c>
      <c r="AB271">
        <v>3</v>
      </c>
      <c r="AC271" t="s">
        <v>25</v>
      </c>
      <c r="AD271">
        <v>1</v>
      </c>
      <c r="AE271">
        <v>1</v>
      </c>
      <c r="AF271" t="s">
        <v>232</v>
      </c>
      <c r="AG271">
        <v>1</v>
      </c>
      <c r="AH271">
        <v>1</v>
      </c>
      <c r="AI271">
        <v>4</v>
      </c>
      <c r="AJ271">
        <v>1</v>
      </c>
      <c r="AK271">
        <v>7</v>
      </c>
      <c r="AL271">
        <v>1</v>
      </c>
      <c r="AM271">
        <f>AJ271*AK271*AL271/7</f>
        <v>1</v>
      </c>
      <c r="AN271" t="s">
        <v>43</v>
      </c>
      <c r="AO271">
        <v>0</v>
      </c>
      <c r="AV271">
        <f>AU271+AM271</f>
        <v>1</v>
      </c>
      <c r="AW271" t="s">
        <v>58</v>
      </c>
      <c r="AX271">
        <v>1</v>
      </c>
      <c r="AY271" t="s">
        <v>58</v>
      </c>
      <c r="AZ271">
        <v>1</v>
      </c>
      <c r="BA271">
        <v>0.8</v>
      </c>
      <c r="BB271">
        <v>7</v>
      </c>
      <c r="BC271">
        <v>1</v>
      </c>
      <c r="BD271">
        <f>BA271*BB271*1/7</f>
        <v>0.8</v>
      </c>
      <c r="BE271">
        <f>AM271+AU271+BD271</f>
        <v>1.8</v>
      </c>
      <c r="BF271" t="s">
        <v>58</v>
      </c>
      <c r="BG271">
        <v>0</v>
      </c>
      <c r="BH271">
        <v>7</v>
      </c>
      <c r="BI271">
        <v>1</v>
      </c>
      <c r="BJ271" t="s">
        <v>49</v>
      </c>
      <c r="BK271">
        <v>5</v>
      </c>
      <c r="BL271">
        <v>3</v>
      </c>
      <c r="BM271">
        <v>1</v>
      </c>
      <c r="BN271" t="s">
        <v>55</v>
      </c>
      <c r="BO271">
        <v>2</v>
      </c>
      <c r="BP271">
        <v>134</v>
      </c>
      <c r="BQ271">
        <v>0.1</v>
      </c>
      <c r="BR271">
        <v>2</v>
      </c>
      <c r="BS271">
        <v>0.2</v>
      </c>
      <c r="BT271">
        <f>BS271+BD271+AU271+AM271</f>
        <v>2</v>
      </c>
      <c r="BU271">
        <v>1</v>
      </c>
      <c r="BV271">
        <v>1</v>
      </c>
      <c r="BW271">
        <v>146.5</v>
      </c>
      <c r="BX271">
        <f>BW271/7</f>
        <v>20.928571428571427</v>
      </c>
      <c r="BY271">
        <f>0.77*BX271</f>
        <v>16.114999999999998</v>
      </c>
      <c r="BZ271">
        <f t="shared" si="4"/>
        <v>18.114999999999998</v>
      </c>
    </row>
    <row r="272" spans="1:78">
      <c r="A272" s="1">
        <v>45206.678511990744</v>
      </c>
      <c r="B272" t="s">
        <v>870</v>
      </c>
      <c r="C272">
        <v>271</v>
      </c>
      <c r="D272" s="10">
        <v>31418</v>
      </c>
      <c r="E272">
        <v>37</v>
      </c>
      <c r="F272">
        <v>1</v>
      </c>
      <c r="G272">
        <v>9</v>
      </c>
      <c r="H272">
        <v>4</v>
      </c>
      <c r="I272" s="10">
        <v>44376</v>
      </c>
      <c r="J272">
        <v>1</v>
      </c>
      <c r="K272">
        <v>1</v>
      </c>
      <c r="L272">
        <v>1</v>
      </c>
      <c r="M272">
        <v>3460</v>
      </c>
      <c r="N272">
        <v>2</v>
      </c>
      <c r="O272" s="10">
        <v>44117</v>
      </c>
      <c r="P272">
        <v>1</v>
      </c>
      <c r="Q272">
        <v>37</v>
      </c>
      <c r="R272">
        <v>2</v>
      </c>
      <c r="S272">
        <v>59.5</v>
      </c>
      <c r="T272">
        <v>155</v>
      </c>
      <c r="U272">
        <v>67.5</v>
      </c>
      <c r="V272">
        <v>8</v>
      </c>
      <c r="W272">
        <v>1</v>
      </c>
      <c r="X272">
        <v>24.765868886576481</v>
      </c>
      <c r="Y272">
        <v>28.095733610822055</v>
      </c>
      <c r="Z272">
        <v>3.3298647242455743</v>
      </c>
      <c r="AA272">
        <v>2</v>
      </c>
      <c r="AB272">
        <v>3</v>
      </c>
      <c r="AC272" t="s">
        <v>726</v>
      </c>
      <c r="AD272">
        <v>4</v>
      </c>
      <c r="AE272">
        <v>0</v>
      </c>
      <c r="AG272">
        <v>5</v>
      </c>
      <c r="AH272">
        <v>1</v>
      </c>
      <c r="AI272">
        <v>13</v>
      </c>
      <c r="AJ272">
        <v>1</v>
      </c>
      <c r="AK272">
        <v>7</v>
      </c>
      <c r="AL272">
        <v>1</v>
      </c>
      <c r="AM272">
        <f>AJ272*AK272*AL272/7</f>
        <v>1</v>
      </c>
      <c r="AN272" t="s">
        <v>79</v>
      </c>
      <c r="AO272">
        <v>0</v>
      </c>
      <c r="AV272">
        <f>AU272+AM272</f>
        <v>1</v>
      </c>
      <c r="AW272" t="s">
        <v>58</v>
      </c>
      <c r="AX272">
        <v>1</v>
      </c>
      <c r="AY272" t="s">
        <v>58</v>
      </c>
      <c r="AZ272">
        <v>1</v>
      </c>
      <c r="BA272">
        <v>0.8</v>
      </c>
      <c r="BB272">
        <v>7</v>
      </c>
      <c r="BC272">
        <v>1</v>
      </c>
      <c r="BD272">
        <f>BA272*BB272*1/7</f>
        <v>0.8</v>
      </c>
      <c r="BE272">
        <f>AM272+AU272+BD272</f>
        <v>1.8</v>
      </c>
      <c r="BF272" t="s">
        <v>58</v>
      </c>
      <c r="BG272">
        <v>0</v>
      </c>
      <c r="BH272">
        <v>7</v>
      </c>
      <c r="BI272">
        <v>1</v>
      </c>
      <c r="BJ272" t="s">
        <v>49</v>
      </c>
      <c r="BK272">
        <v>5</v>
      </c>
      <c r="BL272">
        <v>1</v>
      </c>
      <c r="BM272">
        <v>1</v>
      </c>
      <c r="BN272" t="s">
        <v>30</v>
      </c>
      <c r="BO272">
        <v>1</v>
      </c>
      <c r="BP272">
        <v>84</v>
      </c>
      <c r="BQ272">
        <v>0.13</v>
      </c>
      <c r="BR272">
        <v>1</v>
      </c>
      <c r="BS272">
        <v>0.13</v>
      </c>
      <c r="BT272">
        <f>BS272+BD272+AU272+AM272</f>
        <v>1.9300000000000002</v>
      </c>
      <c r="BU272">
        <v>1</v>
      </c>
      <c r="BV272">
        <v>2</v>
      </c>
      <c r="BW272">
        <v>293</v>
      </c>
      <c r="BX272">
        <f>BW272/7</f>
        <v>41.857142857142854</v>
      </c>
      <c r="BY272">
        <f>0.77*BX272</f>
        <v>32.229999999999997</v>
      </c>
      <c r="BZ272">
        <f t="shared" si="4"/>
        <v>34.159999999999997</v>
      </c>
    </row>
    <row r="273" spans="1:78">
      <c r="A273" s="1">
        <v>45206.845424513886</v>
      </c>
      <c r="C273">
        <v>272</v>
      </c>
      <c r="D273" s="10">
        <v>31919</v>
      </c>
      <c r="E273">
        <v>36</v>
      </c>
      <c r="F273">
        <v>1</v>
      </c>
      <c r="G273">
        <v>8</v>
      </c>
      <c r="H273">
        <v>4</v>
      </c>
      <c r="I273" s="10">
        <v>43859</v>
      </c>
      <c r="J273">
        <v>2</v>
      </c>
      <c r="K273">
        <v>0</v>
      </c>
      <c r="L273">
        <v>1</v>
      </c>
      <c r="M273">
        <v>3750</v>
      </c>
      <c r="N273">
        <v>2</v>
      </c>
      <c r="O273" s="10">
        <v>43572</v>
      </c>
      <c r="P273">
        <v>0</v>
      </c>
      <c r="Q273">
        <v>41</v>
      </c>
      <c r="R273">
        <v>2</v>
      </c>
      <c r="S273">
        <v>90</v>
      </c>
      <c r="T273">
        <v>164</v>
      </c>
      <c r="U273">
        <v>102</v>
      </c>
      <c r="V273">
        <v>12</v>
      </c>
      <c r="W273">
        <v>3</v>
      </c>
      <c r="X273">
        <v>33.462224866151104</v>
      </c>
      <c r="Y273">
        <v>37.923854848304586</v>
      </c>
      <c r="Z273">
        <v>4.4616299821534824</v>
      </c>
      <c r="AA273">
        <v>4</v>
      </c>
      <c r="AB273">
        <v>4</v>
      </c>
      <c r="AC273" t="s">
        <v>33</v>
      </c>
      <c r="AD273">
        <v>3</v>
      </c>
      <c r="AE273">
        <v>0</v>
      </c>
      <c r="AG273">
        <v>5</v>
      </c>
      <c r="AH273">
        <v>0</v>
      </c>
      <c r="AI273">
        <v>0</v>
      </c>
      <c r="AN273" t="s">
        <v>121</v>
      </c>
      <c r="AO273">
        <v>0</v>
      </c>
      <c r="AW273" t="s">
        <v>98</v>
      </c>
      <c r="AX273">
        <v>1</v>
      </c>
      <c r="AY273" t="s">
        <v>98</v>
      </c>
      <c r="AZ273">
        <v>14</v>
      </c>
      <c r="BA273">
        <v>0.5</v>
      </c>
      <c r="BB273">
        <v>7</v>
      </c>
      <c r="BC273">
        <v>2</v>
      </c>
      <c r="BD273">
        <f>BA273*BB273*1/7</f>
        <v>0.5</v>
      </c>
      <c r="BE273">
        <f>AM273+AU273+BD273</f>
        <v>0.5</v>
      </c>
      <c r="BF273" t="s">
        <v>98</v>
      </c>
      <c r="BG273">
        <v>0</v>
      </c>
      <c r="BH273">
        <v>7</v>
      </c>
      <c r="BI273">
        <v>2</v>
      </c>
      <c r="BJ273" t="s">
        <v>51</v>
      </c>
      <c r="BK273">
        <v>1</v>
      </c>
      <c r="BL273">
        <v>1</v>
      </c>
      <c r="BM273">
        <v>1</v>
      </c>
      <c r="BN273" t="s">
        <v>30</v>
      </c>
      <c r="BO273">
        <v>1</v>
      </c>
      <c r="BP273">
        <v>168</v>
      </c>
      <c r="BQ273">
        <v>0.13</v>
      </c>
      <c r="BR273">
        <v>2</v>
      </c>
      <c r="BS273">
        <v>0.26</v>
      </c>
      <c r="BT273">
        <f>BS273+BD273+AU273+AM273</f>
        <v>0.76</v>
      </c>
      <c r="BU273">
        <v>1</v>
      </c>
      <c r="BV273">
        <v>2</v>
      </c>
      <c r="BW273">
        <v>293</v>
      </c>
      <c r="BX273">
        <f>BW273/7</f>
        <v>41.857142857142854</v>
      </c>
      <c r="BY273">
        <f>0.77*BX273</f>
        <v>32.229999999999997</v>
      </c>
      <c r="BZ273">
        <f t="shared" si="4"/>
        <v>32.989999999999995</v>
      </c>
    </row>
    <row r="274" spans="1:78">
      <c r="A274" s="1">
        <v>45206.868639143519</v>
      </c>
      <c r="C274">
        <v>273</v>
      </c>
      <c r="D274" s="10">
        <v>31747</v>
      </c>
      <c r="E274">
        <v>36</v>
      </c>
      <c r="F274">
        <v>1</v>
      </c>
      <c r="G274">
        <v>2</v>
      </c>
      <c r="H274">
        <v>4</v>
      </c>
      <c r="I274" s="10">
        <v>43273</v>
      </c>
      <c r="J274">
        <v>1</v>
      </c>
      <c r="K274">
        <v>1</v>
      </c>
      <c r="L274">
        <v>2</v>
      </c>
      <c r="M274">
        <v>2950</v>
      </c>
      <c r="N274">
        <v>2</v>
      </c>
      <c r="O274" s="10">
        <v>43007</v>
      </c>
      <c r="P274">
        <v>0</v>
      </c>
      <c r="Q274">
        <v>38</v>
      </c>
      <c r="R274">
        <v>2</v>
      </c>
      <c r="S274">
        <v>56</v>
      </c>
      <c r="T274">
        <v>155</v>
      </c>
      <c r="U274">
        <v>67.5</v>
      </c>
      <c r="V274">
        <v>11.5</v>
      </c>
      <c r="W274">
        <v>2</v>
      </c>
      <c r="X274">
        <v>23.309053069719038</v>
      </c>
      <c r="Y274">
        <v>28.095733610822055</v>
      </c>
      <c r="Z274">
        <v>4.7866805411030171</v>
      </c>
      <c r="AA274">
        <v>2</v>
      </c>
      <c r="AB274">
        <v>3</v>
      </c>
      <c r="AC274" t="s">
        <v>173</v>
      </c>
      <c r="AD274">
        <v>1</v>
      </c>
      <c r="AE274">
        <v>0</v>
      </c>
      <c r="AG274">
        <v>5</v>
      </c>
      <c r="AH274">
        <v>1</v>
      </c>
      <c r="AI274">
        <v>13</v>
      </c>
      <c r="AJ274">
        <v>1</v>
      </c>
      <c r="AK274">
        <v>7</v>
      </c>
      <c r="AL274">
        <v>1</v>
      </c>
      <c r="AM274">
        <f>AJ274*AK274*AL274/7</f>
        <v>1</v>
      </c>
      <c r="AN274" t="s">
        <v>79</v>
      </c>
      <c r="AO274">
        <v>0</v>
      </c>
      <c r="AV274">
        <f>AU274+AM274</f>
        <v>1</v>
      </c>
      <c r="AX274">
        <v>0</v>
      </c>
      <c r="BE274">
        <f>AM274+AU274+BD274</f>
        <v>1</v>
      </c>
      <c r="BG274">
        <v>0</v>
      </c>
      <c r="BJ274" t="s">
        <v>49</v>
      </c>
      <c r="BK274">
        <v>5</v>
      </c>
      <c r="BL274">
        <v>1</v>
      </c>
      <c r="BM274">
        <v>1</v>
      </c>
      <c r="BN274" t="s">
        <v>30</v>
      </c>
      <c r="BO274">
        <v>1</v>
      </c>
      <c r="BP274">
        <v>168</v>
      </c>
      <c r="BQ274">
        <v>0.13</v>
      </c>
      <c r="BR274">
        <v>2</v>
      </c>
      <c r="BS274">
        <v>0.26</v>
      </c>
      <c r="BT274">
        <f>BS274+BD274+AU274+AM274</f>
        <v>1.26</v>
      </c>
      <c r="BU274">
        <v>1</v>
      </c>
      <c r="BV274">
        <v>4</v>
      </c>
      <c r="BW274">
        <v>586</v>
      </c>
      <c r="BX274">
        <f>BW274/7</f>
        <v>83.714285714285708</v>
      </c>
      <c r="BY274">
        <f>0.77*BX274</f>
        <v>64.459999999999994</v>
      </c>
      <c r="BZ274">
        <f t="shared" si="4"/>
        <v>65.72</v>
      </c>
    </row>
    <row r="275" spans="1:78">
      <c r="A275" s="1">
        <v>45206.891240740741</v>
      </c>
      <c r="C275">
        <v>274</v>
      </c>
      <c r="D275" s="10">
        <v>30191</v>
      </c>
      <c r="E275">
        <v>41</v>
      </c>
      <c r="F275">
        <v>1</v>
      </c>
      <c r="G275">
        <v>1</v>
      </c>
      <c r="H275">
        <v>5</v>
      </c>
      <c r="I275" s="10">
        <v>44892</v>
      </c>
      <c r="J275">
        <v>2</v>
      </c>
      <c r="K275">
        <v>0</v>
      </c>
      <c r="L275">
        <v>2</v>
      </c>
      <c r="M275">
        <v>3150</v>
      </c>
      <c r="N275">
        <v>2</v>
      </c>
      <c r="O275" s="10">
        <v>44626</v>
      </c>
      <c r="P275">
        <v>0</v>
      </c>
      <c r="Q275">
        <v>38</v>
      </c>
      <c r="R275">
        <v>2</v>
      </c>
      <c r="S275">
        <v>82</v>
      </c>
      <c r="T275">
        <v>162</v>
      </c>
      <c r="U275">
        <v>85.5</v>
      </c>
      <c r="V275">
        <v>3.5</v>
      </c>
      <c r="W275">
        <v>1</v>
      </c>
      <c r="X275">
        <v>31.245237006553872</v>
      </c>
      <c r="Y275">
        <v>32.578875171467757</v>
      </c>
      <c r="Z275">
        <v>1.3336381649138858</v>
      </c>
      <c r="AA275">
        <v>4</v>
      </c>
      <c r="AB275">
        <v>4</v>
      </c>
      <c r="AC275" t="s">
        <v>25</v>
      </c>
      <c r="AD275">
        <v>1</v>
      </c>
      <c r="AE275">
        <v>0</v>
      </c>
      <c r="AG275">
        <v>5</v>
      </c>
      <c r="AH275">
        <v>0</v>
      </c>
      <c r="AI275">
        <v>0</v>
      </c>
      <c r="AN275" t="s">
        <v>235</v>
      </c>
      <c r="AO275">
        <v>0</v>
      </c>
      <c r="AW275" t="s">
        <v>235</v>
      </c>
      <c r="AX275">
        <v>1</v>
      </c>
      <c r="AY275" t="s">
        <v>235</v>
      </c>
      <c r="AZ275">
        <v>5</v>
      </c>
      <c r="BA275">
        <v>0.4</v>
      </c>
      <c r="BB275">
        <v>7</v>
      </c>
      <c r="BC275">
        <v>1</v>
      </c>
      <c r="BD275">
        <f>BA275*BB275*1/7</f>
        <v>0.4</v>
      </c>
      <c r="BE275">
        <f>AM275+AU275+BD275</f>
        <v>0.4</v>
      </c>
      <c r="BF275" t="s">
        <v>235</v>
      </c>
      <c r="BG275">
        <v>0</v>
      </c>
      <c r="BH275">
        <v>7</v>
      </c>
      <c r="BI275">
        <v>1</v>
      </c>
      <c r="BJ275" t="s">
        <v>42</v>
      </c>
      <c r="BK275">
        <v>6</v>
      </c>
      <c r="BL275">
        <v>1</v>
      </c>
      <c r="BM275">
        <v>1</v>
      </c>
      <c r="BN275" t="s">
        <v>37</v>
      </c>
      <c r="BO275">
        <v>4</v>
      </c>
      <c r="BP275">
        <v>110</v>
      </c>
      <c r="BQ275">
        <v>0.05</v>
      </c>
      <c r="BR275">
        <v>2</v>
      </c>
      <c r="BS275">
        <v>0.1</v>
      </c>
      <c r="BT275">
        <f>BS275+BD275+AU275+AM275</f>
        <v>0.5</v>
      </c>
      <c r="BU275">
        <v>1</v>
      </c>
      <c r="BV275">
        <v>2</v>
      </c>
      <c r="BW275">
        <v>293</v>
      </c>
      <c r="BX275">
        <f>BW275/7</f>
        <v>41.857142857142854</v>
      </c>
      <c r="BY275">
        <f>0.77*BX275</f>
        <v>32.229999999999997</v>
      </c>
      <c r="BZ275">
        <f t="shared" si="4"/>
        <v>32.729999999999997</v>
      </c>
    </row>
    <row r="276" spans="1:78">
      <c r="A276" s="1">
        <v>45206.982235821764</v>
      </c>
      <c r="C276">
        <v>275</v>
      </c>
      <c r="D276" s="10">
        <v>32858</v>
      </c>
      <c r="E276">
        <v>33</v>
      </c>
      <c r="F276">
        <v>1</v>
      </c>
      <c r="G276">
        <v>13</v>
      </c>
      <c r="H276">
        <v>5</v>
      </c>
      <c r="I276" s="10">
        <v>45115</v>
      </c>
      <c r="J276">
        <v>3</v>
      </c>
      <c r="K276">
        <v>0</v>
      </c>
      <c r="L276">
        <v>1</v>
      </c>
      <c r="M276">
        <v>2750</v>
      </c>
      <c r="N276">
        <v>2</v>
      </c>
      <c r="O276" s="10">
        <v>44851</v>
      </c>
      <c r="P276">
        <v>0</v>
      </c>
      <c r="Q276">
        <v>37.714285714285715</v>
      </c>
      <c r="R276">
        <v>2</v>
      </c>
      <c r="S276">
        <v>82</v>
      </c>
      <c r="T276">
        <v>160</v>
      </c>
      <c r="U276">
        <v>85</v>
      </c>
      <c r="V276">
        <v>3</v>
      </c>
      <c r="W276">
        <v>1</v>
      </c>
      <c r="X276">
        <v>32.031249999999993</v>
      </c>
      <c r="Y276">
        <v>33.203124999999993</v>
      </c>
      <c r="Z276">
        <v>1.171875</v>
      </c>
      <c r="AA276">
        <v>4</v>
      </c>
      <c r="AB276">
        <v>4</v>
      </c>
      <c r="AC276" t="s">
        <v>50</v>
      </c>
      <c r="AD276">
        <v>2</v>
      </c>
      <c r="AE276">
        <v>0</v>
      </c>
      <c r="AG276">
        <v>5</v>
      </c>
      <c r="AH276">
        <v>1</v>
      </c>
      <c r="AI276">
        <v>2</v>
      </c>
      <c r="AJ276">
        <v>5</v>
      </c>
      <c r="AK276">
        <v>7</v>
      </c>
      <c r="AL276">
        <v>1</v>
      </c>
      <c r="AM276">
        <f>AJ276*AK276*AL276/7</f>
        <v>5</v>
      </c>
      <c r="AN276" t="s">
        <v>57</v>
      </c>
      <c r="AO276">
        <v>0</v>
      </c>
      <c r="AV276">
        <f>AU276+AM276</f>
        <v>5</v>
      </c>
      <c r="AX276">
        <v>0</v>
      </c>
      <c r="BE276">
        <f>AM276+AU276+BD276</f>
        <v>5</v>
      </c>
      <c r="BG276">
        <v>0</v>
      </c>
      <c r="BJ276" t="s">
        <v>28</v>
      </c>
      <c r="BK276">
        <v>3</v>
      </c>
      <c r="BL276">
        <v>1</v>
      </c>
      <c r="BM276">
        <v>1</v>
      </c>
      <c r="BN276" t="s">
        <v>55</v>
      </c>
      <c r="BO276">
        <v>2</v>
      </c>
      <c r="BP276">
        <v>201</v>
      </c>
      <c r="BQ276">
        <v>0.1</v>
      </c>
      <c r="BR276">
        <v>3</v>
      </c>
      <c r="BS276">
        <v>0.30000000000000004</v>
      </c>
      <c r="BT276">
        <f>BS276+BD276+AU276+AM276</f>
        <v>5.3</v>
      </c>
      <c r="BU276">
        <v>1</v>
      </c>
      <c r="BV276">
        <v>1</v>
      </c>
      <c r="BW276">
        <v>146.5</v>
      </c>
      <c r="BX276">
        <f>BW276/7</f>
        <v>20.928571428571427</v>
      </c>
      <c r="BY276">
        <f>0.77*BX276</f>
        <v>16.114999999999998</v>
      </c>
      <c r="BZ276">
        <f t="shared" si="4"/>
        <v>21.414999999999999</v>
      </c>
    </row>
    <row r="277" spans="1:78">
      <c r="A277" s="1">
        <v>45207.027091365744</v>
      </c>
      <c r="C277">
        <v>276</v>
      </c>
      <c r="D277" s="10">
        <v>33898</v>
      </c>
      <c r="E277">
        <v>28</v>
      </c>
      <c r="F277">
        <v>1</v>
      </c>
      <c r="G277">
        <v>4</v>
      </c>
      <c r="H277">
        <v>4</v>
      </c>
      <c r="I277" s="10">
        <v>44421</v>
      </c>
      <c r="J277">
        <v>1</v>
      </c>
      <c r="K277">
        <v>1</v>
      </c>
      <c r="L277">
        <v>2</v>
      </c>
      <c r="M277">
        <v>3180</v>
      </c>
      <c r="N277">
        <v>2</v>
      </c>
      <c r="O277" s="10">
        <v>44133</v>
      </c>
      <c r="P277">
        <v>1</v>
      </c>
      <c r="Q277">
        <v>41.142857142857146</v>
      </c>
      <c r="R277">
        <v>2</v>
      </c>
      <c r="S277">
        <v>57</v>
      </c>
      <c r="T277">
        <v>164</v>
      </c>
      <c r="U277">
        <v>69</v>
      </c>
      <c r="V277">
        <v>12</v>
      </c>
      <c r="W277">
        <v>2</v>
      </c>
      <c r="X277">
        <v>21.192742415229034</v>
      </c>
      <c r="Y277">
        <v>25.654372397382513</v>
      </c>
      <c r="Z277">
        <v>4.4616299821534788</v>
      </c>
      <c r="AA277">
        <v>2</v>
      </c>
      <c r="AB277">
        <v>3</v>
      </c>
      <c r="AC277" t="s">
        <v>33</v>
      </c>
      <c r="AD277">
        <v>3</v>
      </c>
      <c r="AE277">
        <v>0</v>
      </c>
      <c r="AG277">
        <v>5</v>
      </c>
      <c r="AH277">
        <v>1</v>
      </c>
      <c r="AI277">
        <v>4</v>
      </c>
      <c r="AJ277">
        <v>1</v>
      </c>
      <c r="AK277">
        <v>7</v>
      </c>
      <c r="AL277">
        <v>1</v>
      </c>
      <c r="AM277">
        <f>AJ277*AK277*AL277/7</f>
        <v>1</v>
      </c>
      <c r="AN277" t="s">
        <v>43</v>
      </c>
      <c r="AO277">
        <v>1</v>
      </c>
      <c r="AP277">
        <v>17</v>
      </c>
      <c r="AQ277" t="s">
        <v>140</v>
      </c>
      <c r="AR277">
        <v>0.6</v>
      </c>
      <c r="AS277">
        <v>7</v>
      </c>
      <c r="AT277">
        <v>1</v>
      </c>
      <c r="AU277">
        <f>AR277*AS277*AT277/7</f>
        <v>0.6</v>
      </c>
      <c r="AV277">
        <f>AU277+AM277</f>
        <v>1.6</v>
      </c>
      <c r="AW277" t="s">
        <v>236</v>
      </c>
      <c r="AX277">
        <v>0</v>
      </c>
      <c r="BE277">
        <f>AM277+AU277+BD277</f>
        <v>1.6</v>
      </c>
      <c r="BF277" t="s">
        <v>892</v>
      </c>
      <c r="BG277">
        <v>1</v>
      </c>
      <c r="BH277">
        <v>7</v>
      </c>
      <c r="BI277">
        <v>1</v>
      </c>
      <c r="BJ277" t="s">
        <v>49</v>
      </c>
      <c r="BK277">
        <v>5</v>
      </c>
      <c r="BL277">
        <v>1</v>
      </c>
      <c r="BM277">
        <v>1</v>
      </c>
      <c r="BN277" t="s">
        <v>55</v>
      </c>
      <c r="BO277">
        <v>2</v>
      </c>
      <c r="BP277">
        <v>67</v>
      </c>
      <c r="BQ277">
        <v>0.1</v>
      </c>
      <c r="BR277">
        <v>1</v>
      </c>
      <c r="BS277">
        <v>0.1</v>
      </c>
      <c r="BT277">
        <f>BS277+BD277+AU277+AM277</f>
        <v>1.7</v>
      </c>
      <c r="BU277">
        <v>1</v>
      </c>
      <c r="BV277">
        <v>3</v>
      </c>
      <c r="BW277">
        <v>439.5</v>
      </c>
      <c r="BX277">
        <f>BW277/7</f>
        <v>62.785714285714285</v>
      </c>
      <c r="BY277">
        <f>0.77*BX277</f>
        <v>48.344999999999999</v>
      </c>
      <c r="BZ277">
        <f t="shared" si="4"/>
        <v>50.045000000000002</v>
      </c>
    </row>
    <row r="278" spans="1:78">
      <c r="A278" s="1">
        <v>45207.059659409722</v>
      </c>
      <c r="C278">
        <v>277</v>
      </c>
      <c r="D278" s="10">
        <v>32490</v>
      </c>
      <c r="E278">
        <v>34</v>
      </c>
      <c r="F278">
        <v>1</v>
      </c>
      <c r="G278">
        <v>6</v>
      </c>
      <c r="H278">
        <v>4</v>
      </c>
      <c r="I278" s="10">
        <v>44813</v>
      </c>
      <c r="J278">
        <v>1</v>
      </c>
      <c r="K278">
        <v>1</v>
      </c>
      <c r="L278">
        <v>2</v>
      </c>
      <c r="M278">
        <v>3490</v>
      </c>
      <c r="N278">
        <v>2</v>
      </c>
      <c r="O278" s="10">
        <v>44540</v>
      </c>
      <c r="P278">
        <v>0</v>
      </c>
      <c r="Q278">
        <v>39</v>
      </c>
      <c r="R278">
        <v>2</v>
      </c>
      <c r="S278">
        <v>50</v>
      </c>
      <c r="T278">
        <v>165</v>
      </c>
      <c r="U278">
        <v>59</v>
      </c>
      <c r="V278">
        <v>9</v>
      </c>
      <c r="W278">
        <v>1</v>
      </c>
      <c r="X278">
        <v>18.365472910927458</v>
      </c>
      <c r="Y278">
        <v>21.6712580348944</v>
      </c>
      <c r="Z278">
        <v>3.3057851239669418</v>
      </c>
      <c r="AA278">
        <v>1</v>
      </c>
      <c r="AB278">
        <v>2</v>
      </c>
      <c r="AC278" t="s">
        <v>33</v>
      </c>
      <c r="AD278">
        <v>3</v>
      </c>
      <c r="AE278">
        <v>0</v>
      </c>
      <c r="AG278">
        <v>5</v>
      </c>
      <c r="AH278">
        <v>1</v>
      </c>
      <c r="AI278">
        <v>2</v>
      </c>
      <c r="AJ278">
        <v>5</v>
      </c>
      <c r="AK278">
        <v>7</v>
      </c>
      <c r="AL278">
        <v>1</v>
      </c>
      <c r="AM278">
        <f>AJ278*AK278*AL278/7</f>
        <v>5</v>
      </c>
      <c r="AN278" t="s">
        <v>57</v>
      </c>
      <c r="AO278">
        <v>0</v>
      </c>
      <c r="AV278">
        <f>AU278+AM278</f>
        <v>5</v>
      </c>
      <c r="AX278">
        <v>0</v>
      </c>
      <c r="BE278">
        <f>AM278+AU278+BD278</f>
        <v>5</v>
      </c>
      <c r="BG278">
        <v>0</v>
      </c>
      <c r="BJ278" t="s">
        <v>49</v>
      </c>
      <c r="BK278">
        <v>5</v>
      </c>
      <c r="BL278">
        <v>1</v>
      </c>
      <c r="BM278">
        <v>1</v>
      </c>
      <c r="BN278" t="s">
        <v>37</v>
      </c>
      <c r="BO278">
        <v>4</v>
      </c>
      <c r="BP278">
        <v>220</v>
      </c>
      <c r="BQ278">
        <v>0.05</v>
      </c>
      <c r="BR278">
        <v>4</v>
      </c>
      <c r="BS278">
        <v>0.2</v>
      </c>
      <c r="BT278">
        <f>BS278+BD278+AU278+AM278</f>
        <v>5.2</v>
      </c>
      <c r="BU278">
        <v>1</v>
      </c>
      <c r="BV278">
        <v>1</v>
      </c>
      <c r="BW278">
        <v>146.5</v>
      </c>
      <c r="BX278">
        <f>BW278/7</f>
        <v>20.928571428571427</v>
      </c>
      <c r="BY278">
        <f>0.77*BX278</f>
        <v>16.114999999999998</v>
      </c>
      <c r="BZ278">
        <f t="shared" si="4"/>
        <v>21.314999999999998</v>
      </c>
    </row>
    <row r="279" spans="1:78">
      <c r="A279" s="1">
        <v>45207.103702407403</v>
      </c>
      <c r="B279" s="8" t="s">
        <v>864</v>
      </c>
      <c r="C279">
        <v>278</v>
      </c>
      <c r="D279" s="10">
        <v>30762</v>
      </c>
      <c r="E279">
        <v>39</v>
      </c>
      <c r="F279">
        <v>1</v>
      </c>
      <c r="G279">
        <v>9</v>
      </c>
      <c r="H279">
        <v>2</v>
      </c>
      <c r="I279" s="10">
        <v>42508</v>
      </c>
      <c r="J279">
        <v>2</v>
      </c>
      <c r="K279">
        <v>0</v>
      </c>
      <c r="L279">
        <v>2</v>
      </c>
      <c r="M279">
        <v>2450</v>
      </c>
      <c r="N279">
        <v>1</v>
      </c>
      <c r="O279" s="10">
        <v>42263</v>
      </c>
      <c r="P279">
        <v>0</v>
      </c>
      <c r="Q279">
        <v>35</v>
      </c>
      <c r="R279">
        <v>3</v>
      </c>
      <c r="S279">
        <v>60</v>
      </c>
      <c r="T279">
        <v>165</v>
      </c>
      <c r="U279">
        <v>67</v>
      </c>
      <c r="V279">
        <v>7</v>
      </c>
      <c r="W279">
        <v>1</v>
      </c>
      <c r="X279">
        <v>22.03856749311295</v>
      </c>
      <c r="Y279">
        <v>24.609733700642796</v>
      </c>
      <c r="Z279">
        <v>2.5711662075298456</v>
      </c>
      <c r="AA279">
        <v>2</v>
      </c>
      <c r="AB279">
        <v>2</v>
      </c>
      <c r="AC279" t="s">
        <v>33</v>
      </c>
      <c r="AD279">
        <v>3</v>
      </c>
      <c r="AE279">
        <v>1</v>
      </c>
      <c r="AF279" t="s">
        <v>728</v>
      </c>
      <c r="AG279" t="e">
        <v>#N/A</v>
      </c>
      <c r="AH279">
        <v>1</v>
      </c>
      <c r="AI279">
        <v>4</v>
      </c>
      <c r="AJ279">
        <v>1</v>
      </c>
      <c r="AK279">
        <v>5</v>
      </c>
      <c r="AL279">
        <v>1</v>
      </c>
      <c r="AM279">
        <f>AJ279*AK279*AL279/7</f>
        <v>0.7142857142857143</v>
      </c>
      <c r="AN279" t="s">
        <v>43</v>
      </c>
      <c r="AO279">
        <v>0</v>
      </c>
      <c r="AV279">
        <f>AU279+AM279</f>
        <v>0.7142857142857143</v>
      </c>
      <c r="AX279">
        <v>0</v>
      </c>
      <c r="BE279">
        <f>AM279+AU279+BD279</f>
        <v>0.7142857142857143</v>
      </c>
      <c r="BG279">
        <v>0</v>
      </c>
      <c r="BJ279" t="s">
        <v>42</v>
      </c>
      <c r="BK279">
        <v>6</v>
      </c>
      <c r="BL279">
        <v>1</v>
      </c>
      <c r="BM279">
        <v>1</v>
      </c>
      <c r="BN279" t="s">
        <v>30</v>
      </c>
      <c r="BO279">
        <v>1</v>
      </c>
      <c r="BP279">
        <v>252</v>
      </c>
      <c r="BQ279">
        <v>0.13</v>
      </c>
      <c r="BR279">
        <v>3</v>
      </c>
      <c r="BS279">
        <v>0.39</v>
      </c>
      <c r="BT279">
        <f>BS279+BD279+AU279+AM279</f>
        <v>1.1042857142857143</v>
      </c>
      <c r="BU279">
        <v>1</v>
      </c>
      <c r="BV279">
        <v>1</v>
      </c>
      <c r="BW279">
        <v>146.5</v>
      </c>
      <c r="BX279">
        <f>BW279/7</f>
        <v>20.928571428571427</v>
      </c>
      <c r="BY279">
        <f>0.77*BX279</f>
        <v>16.114999999999998</v>
      </c>
      <c r="BZ279">
        <f t="shared" si="4"/>
        <v>17.219285714285714</v>
      </c>
    </row>
    <row r="280" spans="1:78">
      <c r="A280" s="1">
        <v>45207.177280185184</v>
      </c>
      <c r="C280">
        <v>279</v>
      </c>
      <c r="D280" s="10">
        <v>31329</v>
      </c>
      <c r="E280">
        <v>37</v>
      </c>
      <c r="F280">
        <v>1</v>
      </c>
      <c r="G280">
        <v>10</v>
      </c>
      <c r="H280">
        <v>5</v>
      </c>
      <c r="I280" s="10">
        <v>45125</v>
      </c>
      <c r="J280">
        <v>2</v>
      </c>
      <c r="K280">
        <v>0</v>
      </c>
      <c r="L280">
        <v>2</v>
      </c>
      <c r="M280">
        <v>3070</v>
      </c>
      <c r="N280">
        <v>2</v>
      </c>
      <c r="O280" s="10">
        <v>44873</v>
      </c>
      <c r="P280">
        <v>0</v>
      </c>
      <c r="Q280">
        <v>36</v>
      </c>
      <c r="R280">
        <v>3</v>
      </c>
      <c r="S280">
        <v>67</v>
      </c>
      <c r="T280">
        <v>159</v>
      </c>
      <c r="U280">
        <v>75</v>
      </c>
      <c r="V280">
        <v>8</v>
      </c>
      <c r="W280">
        <v>2</v>
      </c>
      <c r="X280">
        <v>26.502116213757365</v>
      </c>
      <c r="Y280">
        <v>29.666548000474663</v>
      </c>
      <c r="Z280">
        <v>3.164431786717298</v>
      </c>
      <c r="AA280">
        <v>3</v>
      </c>
      <c r="AB280">
        <v>3</v>
      </c>
      <c r="AC280" t="s">
        <v>25</v>
      </c>
      <c r="AD280">
        <v>1</v>
      </c>
      <c r="AE280">
        <v>0</v>
      </c>
      <c r="AG280">
        <v>5</v>
      </c>
      <c r="AH280">
        <v>1</v>
      </c>
      <c r="AI280">
        <v>18</v>
      </c>
      <c r="AJ280">
        <v>2</v>
      </c>
      <c r="AK280">
        <v>7</v>
      </c>
      <c r="AL280">
        <v>1</v>
      </c>
      <c r="AM280">
        <f>AJ280*AK280*AL280/7</f>
        <v>2</v>
      </c>
      <c r="AN280" t="s">
        <v>217</v>
      </c>
      <c r="AO280">
        <v>0</v>
      </c>
      <c r="AV280">
        <f>AU280+AM280</f>
        <v>2</v>
      </c>
      <c r="AX280">
        <v>0</v>
      </c>
      <c r="BE280">
        <f>AM280+AU280+BD280</f>
        <v>2</v>
      </c>
      <c r="BG280">
        <v>0</v>
      </c>
      <c r="BJ280" t="s">
        <v>42</v>
      </c>
      <c r="BK280">
        <v>6</v>
      </c>
      <c r="BL280">
        <v>1</v>
      </c>
      <c r="BM280">
        <v>1</v>
      </c>
      <c r="BN280" t="s">
        <v>30</v>
      </c>
      <c r="BO280">
        <v>1</v>
      </c>
      <c r="BP280">
        <v>84</v>
      </c>
      <c r="BQ280">
        <v>0.13</v>
      </c>
      <c r="BR280">
        <v>1</v>
      </c>
      <c r="BS280">
        <v>0.13</v>
      </c>
      <c r="BT280">
        <f>BS280+BD280+AU280+AM280</f>
        <v>2.13</v>
      </c>
      <c r="BU280">
        <v>1</v>
      </c>
      <c r="BV280">
        <v>2</v>
      </c>
      <c r="BW280">
        <v>293</v>
      </c>
      <c r="BX280">
        <f>BW280/7</f>
        <v>41.857142857142854</v>
      </c>
      <c r="BY280">
        <f>0.77*BX280</f>
        <v>32.229999999999997</v>
      </c>
      <c r="BZ280">
        <f t="shared" si="4"/>
        <v>34.36</v>
      </c>
    </row>
    <row r="281" spans="1:78">
      <c r="A281" s="1">
        <v>45207.227220520828</v>
      </c>
      <c r="C281">
        <v>280</v>
      </c>
      <c r="D281" s="10">
        <v>32228</v>
      </c>
      <c r="E281">
        <v>35</v>
      </c>
      <c r="F281">
        <v>1</v>
      </c>
      <c r="G281">
        <v>10</v>
      </c>
      <c r="H281">
        <v>5</v>
      </c>
      <c r="I281" s="10">
        <v>44046</v>
      </c>
      <c r="J281">
        <v>1</v>
      </c>
      <c r="K281">
        <v>1</v>
      </c>
      <c r="L281">
        <v>1</v>
      </c>
      <c r="M281">
        <v>3800</v>
      </c>
      <c r="N281">
        <v>2</v>
      </c>
      <c r="O281" s="10">
        <v>43759</v>
      </c>
      <c r="P281">
        <v>0</v>
      </c>
      <c r="Q281">
        <v>41</v>
      </c>
      <c r="R281">
        <v>2</v>
      </c>
      <c r="S281">
        <v>65</v>
      </c>
      <c r="T281">
        <v>160</v>
      </c>
      <c r="U281">
        <v>73</v>
      </c>
      <c r="V281">
        <v>8</v>
      </c>
      <c r="W281">
        <v>2</v>
      </c>
      <c r="X281">
        <v>25.390624999999996</v>
      </c>
      <c r="Y281">
        <v>28.515624999999993</v>
      </c>
      <c r="Z281">
        <v>3.1249999999999964</v>
      </c>
      <c r="AA281">
        <v>3</v>
      </c>
      <c r="AB281">
        <v>3</v>
      </c>
      <c r="AC281" t="s">
        <v>33</v>
      </c>
      <c r="AD281">
        <v>3</v>
      </c>
      <c r="AE281">
        <v>1</v>
      </c>
      <c r="AF281" t="s">
        <v>237</v>
      </c>
      <c r="AG281">
        <v>3</v>
      </c>
      <c r="AH281">
        <v>1</v>
      </c>
      <c r="AI281">
        <v>21</v>
      </c>
      <c r="AJ281">
        <v>0.4</v>
      </c>
      <c r="AK281">
        <v>7</v>
      </c>
      <c r="AL281">
        <v>1</v>
      </c>
      <c r="AM281">
        <f>AJ281*AK281*AL281/7</f>
        <v>0.4</v>
      </c>
      <c r="AN281" t="s">
        <v>238</v>
      </c>
      <c r="AO281">
        <v>0</v>
      </c>
      <c r="AV281">
        <f>AU281+AM281</f>
        <v>0.4</v>
      </c>
      <c r="AX281">
        <v>0</v>
      </c>
      <c r="BE281">
        <f>AM281+AU281+BD281</f>
        <v>0.4</v>
      </c>
      <c r="BG281">
        <v>0</v>
      </c>
      <c r="BJ281" t="s">
        <v>42</v>
      </c>
      <c r="BK281">
        <v>6</v>
      </c>
      <c r="BL281">
        <v>1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f>BS281+BD281+AU281+AM281</f>
        <v>0.4</v>
      </c>
      <c r="BU281">
        <v>0</v>
      </c>
      <c r="BW281">
        <v>0</v>
      </c>
      <c r="BX281">
        <f>BW281/7</f>
        <v>0</v>
      </c>
      <c r="BY281">
        <f>0.77*BX281</f>
        <v>0</v>
      </c>
      <c r="BZ281">
        <f t="shared" si="4"/>
        <v>0.4</v>
      </c>
    </row>
    <row r="282" spans="1:78">
      <c r="A282" s="1">
        <v>45207.377343553242</v>
      </c>
      <c r="C282">
        <v>281</v>
      </c>
      <c r="D282" s="10">
        <v>31829</v>
      </c>
      <c r="E282">
        <v>36</v>
      </c>
      <c r="F282">
        <v>1</v>
      </c>
      <c r="G282">
        <v>10</v>
      </c>
      <c r="H282">
        <v>5</v>
      </c>
      <c r="I282" s="10">
        <v>45103</v>
      </c>
      <c r="J282">
        <v>1</v>
      </c>
      <c r="K282">
        <v>1</v>
      </c>
      <c r="L282">
        <v>1</v>
      </c>
      <c r="M282">
        <v>3430</v>
      </c>
      <c r="N282">
        <v>2</v>
      </c>
      <c r="O282" s="10">
        <v>44837</v>
      </c>
      <c r="P282">
        <v>0</v>
      </c>
      <c r="Q282">
        <v>38</v>
      </c>
      <c r="R282">
        <v>2</v>
      </c>
      <c r="S282">
        <v>80</v>
      </c>
      <c r="T282">
        <v>160</v>
      </c>
      <c r="U282">
        <v>81</v>
      </c>
      <c r="V282">
        <v>1</v>
      </c>
      <c r="W282">
        <v>1</v>
      </c>
      <c r="X282">
        <v>31.249999999999993</v>
      </c>
      <c r="Y282">
        <v>31.640624999999993</v>
      </c>
      <c r="Z282">
        <v>0.390625</v>
      </c>
      <c r="AA282">
        <v>4</v>
      </c>
      <c r="AB282">
        <v>4</v>
      </c>
      <c r="AC282" t="s">
        <v>44</v>
      </c>
      <c r="AD282">
        <v>1</v>
      </c>
      <c r="AE282">
        <v>0</v>
      </c>
      <c r="AG282">
        <v>5</v>
      </c>
      <c r="AH282">
        <v>1</v>
      </c>
      <c r="AI282">
        <v>5</v>
      </c>
      <c r="AJ282">
        <v>5</v>
      </c>
      <c r="AK282">
        <v>5</v>
      </c>
      <c r="AL282">
        <v>1</v>
      </c>
      <c r="AM282">
        <f>AJ282*AK282*AL282/7</f>
        <v>3.5714285714285716</v>
      </c>
      <c r="AN282" t="s">
        <v>27</v>
      </c>
      <c r="AO282">
        <v>0</v>
      </c>
      <c r="AV282">
        <f>AU282+AM282</f>
        <v>3.5714285714285716</v>
      </c>
      <c r="AX282">
        <v>0</v>
      </c>
      <c r="BE282">
        <f>AM282+AU282+BD282</f>
        <v>3.5714285714285716</v>
      </c>
      <c r="BG282">
        <v>0</v>
      </c>
      <c r="BI282">
        <v>1</v>
      </c>
      <c r="BJ282" t="s">
        <v>49</v>
      </c>
      <c r="BK282">
        <v>5</v>
      </c>
      <c r="BL282">
        <v>1</v>
      </c>
      <c r="BM282">
        <v>1</v>
      </c>
      <c r="BN282" t="s">
        <v>239</v>
      </c>
      <c r="BO282">
        <v>13</v>
      </c>
      <c r="BP282">
        <v>45</v>
      </c>
      <c r="BQ282">
        <v>0.05</v>
      </c>
      <c r="BR282">
        <v>1</v>
      </c>
      <c r="BS282">
        <v>0.05</v>
      </c>
      <c r="BT282">
        <f>BS282+BD282+AU282+AM282</f>
        <v>3.6214285714285714</v>
      </c>
      <c r="BU282">
        <v>1</v>
      </c>
      <c r="BV282">
        <v>3</v>
      </c>
      <c r="BW282">
        <v>439.5</v>
      </c>
      <c r="BX282">
        <f>BW282/7</f>
        <v>62.785714285714285</v>
      </c>
      <c r="BY282">
        <f>0.77*BX282</f>
        <v>48.344999999999999</v>
      </c>
      <c r="BZ282">
        <f t="shared" si="4"/>
        <v>51.966428571428573</v>
      </c>
    </row>
    <row r="283" spans="1:78">
      <c r="A283" s="1">
        <v>45207.388768958335</v>
      </c>
      <c r="C283">
        <v>282</v>
      </c>
      <c r="D283" s="10">
        <v>31150</v>
      </c>
      <c r="E283">
        <v>38</v>
      </c>
      <c r="F283">
        <v>1</v>
      </c>
      <c r="G283">
        <v>1</v>
      </c>
      <c r="H283">
        <v>4</v>
      </c>
      <c r="I283" s="10">
        <v>43923</v>
      </c>
      <c r="J283">
        <v>1</v>
      </c>
      <c r="K283">
        <v>1</v>
      </c>
      <c r="L283">
        <v>1</v>
      </c>
      <c r="M283">
        <v>3250</v>
      </c>
      <c r="N283">
        <v>2</v>
      </c>
      <c r="O283" s="10">
        <v>43638</v>
      </c>
      <c r="P283">
        <v>0</v>
      </c>
      <c r="Q283">
        <v>40.714285714285715</v>
      </c>
      <c r="R283">
        <v>2</v>
      </c>
      <c r="S283">
        <v>75</v>
      </c>
      <c r="T283">
        <v>173</v>
      </c>
      <c r="U283">
        <v>72</v>
      </c>
      <c r="V283">
        <v>-3</v>
      </c>
      <c r="W283">
        <v>1</v>
      </c>
      <c r="X283">
        <v>25.059307026629689</v>
      </c>
      <c r="Y283">
        <v>24.056934745564501</v>
      </c>
      <c r="Z283">
        <v>-1.0023722810651883</v>
      </c>
      <c r="AA283">
        <v>3</v>
      </c>
      <c r="AB283">
        <v>2</v>
      </c>
      <c r="AC283" t="s">
        <v>33</v>
      </c>
      <c r="AD283">
        <v>3</v>
      </c>
      <c r="AE283">
        <v>0</v>
      </c>
      <c r="AG283">
        <v>5</v>
      </c>
      <c r="AH283">
        <v>0</v>
      </c>
      <c r="AI283">
        <v>0</v>
      </c>
      <c r="AN283" t="s">
        <v>121</v>
      </c>
      <c r="AO283">
        <v>0</v>
      </c>
      <c r="AW283" t="s">
        <v>58</v>
      </c>
      <c r="AX283">
        <v>1</v>
      </c>
      <c r="AY283" t="s">
        <v>58</v>
      </c>
      <c r="AZ283">
        <v>1</v>
      </c>
      <c r="BA283">
        <v>0.8</v>
      </c>
      <c r="BB283">
        <v>7</v>
      </c>
      <c r="BC283">
        <v>2</v>
      </c>
      <c r="BD283">
        <f>BA283*BB283*1/7</f>
        <v>0.8</v>
      </c>
      <c r="BE283">
        <f>AM283+AU283+BD283</f>
        <v>0.8</v>
      </c>
      <c r="BF283" t="s">
        <v>58</v>
      </c>
      <c r="BG283">
        <v>0</v>
      </c>
      <c r="BH283">
        <v>7</v>
      </c>
      <c r="BI283">
        <v>2</v>
      </c>
      <c r="BJ283" t="s">
        <v>51</v>
      </c>
      <c r="BK283">
        <v>1</v>
      </c>
      <c r="BL283">
        <v>3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f>BS283+BD283+AU283+AM283</f>
        <v>0.8</v>
      </c>
      <c r="BU283">
        <v>0</v>
      </c>
      <c r="BW283">
        <v>0</v>
      </c>
      <c r="BX283">
        <f>BW283/7</f>
        <v>0</v>
      </c>
      <c r="BY283">
        <f>0.77*BX283</f>
        <v>0</v>
      </c>
      <c r="BZ283">
        <f t="shared" si="4"/>
        <v>0.8</v>
      </c>
    </row>
    <row r="284" spans="1:78">
      <c r="A284" s="1">
        <v>45207.388889305555</v>
      </c>
      <c r="C284">
        <v>283</v>
      </c>
      <c r="D284" s="10">
        <v>30777</v>
      </c>
      <c r="E284">
        <v>39</v>
      </c>
      <c r="F284">
        <v>1</v>
      </c>
      <c r="G284">
        <v>3</v>
      </c>
      <c r="H284">
        <v>5</v>
      </c>
      <c r="I284" s="10">
        <v>45003</v>
      </c>
      <c r="J284">
        <v>3</v>
      </c>
      <c r="K284">
        <v>0</v>
      </c>
      <c r="L284">
        <v>1</v>
      </c>
      <c r="M284">
        <v>3750</v>
      </c>
      <c r="N284">
        <v>2</v>
      </c>
      <c r="O284" s="10">
        <v>44732</v>
      </c>
      <c r="P284">
        <v>0</v>
      </c>
      <c r="Q284">
        <v>38.714285714285715</v>
      </c>
      <c r="R284">
        <v>2</v>
      </c>
      <c r="S284">
        <v>67</v>
      </c>
      <c r="T284">
        <v>165</v>
      </c>
      <c r="U284">
        <v>80</v>
      </c>
      <c r="V284">
        <v>13</v>
      </c>
      <c r="W284">
        <v>2</v>
      </c>
      <c r="X284">
        <v>24.609733700642796</v>
      </c>
      <c r="Y284">
        <v>29.384756657483933</v>
      </c>
      <c r="Z284">
        <v>4.7750229568411378</v>
      </c>
      <c r="AA284">
        <v>2</v>
      </c>
      <c r="AB284">
        <v>3</v>
      </c>
      <c r="AC284" t="s">
        <v>44</v>
      </c>
      <c r="AD284">
        <v>1</v>
      </c>
      <c r="AE284">
        <v>0</v>
      </c>
      <c r="AG284">
        <v>5</v>
      </c>
      <c r="AH284">
        <v>1</v>
      </c>
      <c r="AI284">
        <v>12</v>
      </c>
      <c r="AJ284">
        <v>0.2</v>
      </c>
      <c r="AK284">
        <v>7</v>
      </c>
      <c r="AL284">
        <v>1</v>
      </c>
      <c r="AM284">
        <f>AJ284*AK284*AL284/7</f>
        <v>0.2</v>
      </c>
      <c r="AN284" t="s">
        <v>162</v>
      </c>
      <c r="AO284">
        <v>0</v>
      </c>
      <c r="AV284">
        <f>AU284+AM284</f>
        <v>0.2</v>
      </c>
      <c r="AW284" t="s">
        <v>241</v>
      </c>
      <c r="AX284">
        <v>1</v>
      </c>
      <c r="AY284" t="s">
        <v>35</v>
      </c>
      <c r="AZ284">
        <v>12</v>
      </c>
      <c r="BA284">
        <v>0.4</v>
      </c>
      <c r="BB284">
        <v>7</v>
      </c>
      <c r="BC284">
        <v>2</v>
      </c>
      <c r="BD284">
        <f>BA284*BB284*1/7</f>
        <v>0.4</v>
      </c>
      <c r="BE284">
        <f>AM284+AU284+BD284</f>
        <v>0.60000000000000009</v>
      </c>
      <c r="BF284" t="s">
        <v>241</v>
      </c>
      <c r="BG284">
        <v>1</v>
      </c>
      <c r="BH284">
        <v>7</v>
      </c>
      <c r="BI284">
        <v>2</v>
      </c>
      <c r="BJ284" t="s">
        <v>36</v>
      </c>
      <c r="BK284">
        <v>4</v>
      </c>
      <c r="BL284">
        <v>1</v>
      </c>
      <c r="BM284">
        <v>1</v>
      </c>
      <c r="BN284" t="s">
        <v>30</v>
      </c>
      <c r="BO284">
        <v>1</v>
      </c>
      <c r="BP284">
        <v>42</v>
      </c>
      <c r="BQ284">
        <v>0.13</v>
      </c>
      <c r="BR284">
        <v>0.5</v>
      </c>
      <c r="BS284">
        <v>6.5000000000000002E-2</v>
      </c>
      <c r="BT284">
        <f>BS284+BD284+AU284+AM284</f>
        <v>0.66500000000000004</v>
      </c>
      <c r="BU284">
        <v>1</v>
      </c>
      <c r="BV284">
        <v>2</v>
      </c>
      <c r="BW284">
        <v>293</v>
      </c>
      <c r="BX284">
        <f>BW284/7</f>
        <v>41.857142857142854</v>
      </c>
      <c r="BY284">
        <f>0.77*BX284</f>
        <v>32.229999999999997</v>
      </c>
      <c r="BZ284">
        <f t="shared" si="4"/>
        <v>32.894999999999996</v>
      </c>
    </row>
    <row r="285" spans="1:78">
      <c r="A285" s="1">
        <v>45207.396561145833</v>
      </c>
      <c r="C285">
        <v>284</v>
      </c>
      <c r="D285" s="10">
        <v>45207</v>
      </c>
      <c r="E285">
        <v>33</v>
      </c>
      <c r="F285">
        <v>1</v>
      </c>
      <c r="G285">
        <v>3</v>
      </c>
      <c r="H285">
        <v>4</v>
      </c>
      <c r="I285" s="10">
        <v>44384</v>
      </c>
      <c r="J285">
        <v>1</v>
      </c>
      <c r="K285">
        <v>1</v>
      </c>
      <c r="L285">
        <v>1</v>
      </c>
      <c r="M285">
        <v>3500</v>
      </c>
      <c r="N285">
        <v>2</v>
      </c>
      <c r="O285" s="10">
        <v>44104</v>
      </c>
      <c r="P285">
        <v>1</v>
      </c>
      <c r="Q285">
        <v>40</v>
      </c>
      <c r="R285">
        <v>2</v>
      </c>
      <c r="S285">
        <v>51</v>
      </c>
      <c r="T285">
        <v>153</v>
      </c>
      <c r="U285">
        <v>63</v>
      </c>
      <c r="V285">
        <v>12</v>
      </c>
      <c r="W285">
        <v>2</v>
      </c>
      <c r="X285">
        <v>21.786492374727668</v>
      </c>
      <c r="Y285">
        <v>26.91272587466359</v>
      </c>
      <c r="Z285">
        <v>5.1262334999359211</v>
      </c>
      <c r="AA285">
        <v>2</v>
      </c>
      <c r="AB285">
        <v>3</v>
      </c>
      <c r="AC285" t="s">
        <v>33</v>
      </c>
      <c r="AD285">
        <v>3</v>
      </c>
      <c r="AE285">
        <v>0</v>
      </c>
      <c r="AG285">
        <v>5</v>
      </c>
      <c r="AH285">
        <v>1</v>
      </c>
      <c r="AI285">
        <v>13</v>
      </c>
      <c r="AJ285">
        <v>1</v>
      </c>
      <c r="AK285">
        <v>7</v>
      </c>
      <c r="AL285">
        <v>1</v>
      </c>
      <c r="AM285">
        <f>AJ285*AK285*AL285/7</f>
        <v>1</v>
      </c>
      <c r="AN285" t="s">
        <v>79</v>
      </c>
      <c r="AO285">
        <v>0</v>
      </c>
      <c r="AV285">
        <f>AU285+AM285</f>
        <v>1</v>
      </c>
      <c r="AX285">
        <v>0</v>
      </c>
      <c r="BE285">
        <f>AM285+AU285+BD285</f>
        <v>1</v>
      </c>
      <c r="BG285">
        <v>0</v>
      </c>
      <c r="BJ285" t="s">
        <v>42</v>
      </c>
      <c r="BK285">
        <v>6</v>
      </c>
      <c r="BL285">
        <v>3</v>
      </c>
      <c r="BM285">
        <v>1</v>
      </c>
      <c r="BN285" t="s">
        <v>59</v>
      </c>
      <c r="BO285">
        <v>3</v>
      </c>
      <c r="BP285">
        <v>112</v>
      </c>
      <c r="BQ285">
        <v>0.08</v>
      </c>
      <c r="BR285">
        <v>2</v>
      </c>
      <c r="BS285">
        <v>0.16</v>
      </c>
      <c r="BT285">
        <f>BS285+BD285+AU285+AM285</f>
        <v>1.1599999999999999</v>
      </c>
      <c r="BU285">
        <v>1</v>
      </c>
      <c r="BV285">
        <v>1</v>
      </c>
      <c r="BW285">
        <v>146.5</v>
      </c>
      <c r="BX285">
        <f>BW285/7</f>
        <v>20.928571428571427</v>
      </c>
      <c r="BY285">
        <f>0.77*BX285</f>
        <v>16.114999999999998</v>
      </c>
      <c r="BZ285">
        <f t="shared" si="4"/>
        <v>17.274999999999999</v>
      </c>
    </row>
    <row r="286" spans="1:78">
      <c r="A286" s="1">
        <v>45207.41249451389</v>
      </c>
      <c r="C286">
        <v>285</v>
      </c>
      <c r="D286" s="10">
        <v>34799</v>
      </c>
      <c r="E286">
        <v>28</v>
      </c>
      <c r="F286">
        <v>1</v>
      </c>
      <c r="G286">
        <v>1</v>
      </c>
      <c r="H286">
        <v>4</v>
      </c>
      <c r="I286" s="10">
        <v>44949</v>
      </c>
      <c r="J286">
        <v>2</v>
      </c>
      <c r="K286">
        <v>0</v>
      </c>
      <c r="L286">
        <v>2</v>
      </c>
      <c r="M286">
        <v>3845</v>
      </c>
      <c r="N286">
        <v>2</v>
      </c>
      <c r="O286" s="10">
        <v>44683</v>
      </c>
      <c r="P286">
        <v>0</v>
      </c>
      <c r="Q286">
        <v>38</v>
      </c>
      <c r="R286">
        <v>2</v>
      </c>
      <c r="S286">
        <v>60</v>
      </c>
      <c r="T286">
        <v>160</v>
      </c>
      <c r="U286">
        <v>70</v>
      </c>
      <c r="V286">
        <v>10</v>
      </c>
      <c r="W286">
        <v>1</v>
      </c>
      <c r="X286">
        <v>23.437499999999996</v>
      </c>
      <c r="Y286">
        <v>27.343749999999996</v>
      </c>
      <c r="Z286">
        <v>3.90625</v>
      </c>
      <c r="AA286">
        <v>2</v>
      </c>
      <c r="AB286">
        <v>3</v>
      </c>
      <c r="AC286" t="s">
        <v>33</v>
      </c>
      <c r="AD286">
        <v>3</v>
      </c>
      <c r="AE286">
        <v>0</v>
      </c>
      <c r="AG286">
        <v>5</v>
      </c>
      <c r="AH286">
        <v>1</v>
      </c>
      <c r="AI286">
        <v>2</v>
      </c>
      <c r="AJ286">
        <v>5</v>
      </c>
      <c r="AK286">
        <v>7</v>
      </c>
      <c r="AL286">
        <v>1</v>
      </c>
      <c r="AM286">
        <f>AJ286*AK286*AL286/7</f>
        <v>5</v>
      </c>
      <c r="AN286" t="s">
        <v>57</v>
      </c>
      <c r="AO286">
        <v>0</v>
      </c>
      <c r="AV286">
        <f>AU286+AM286</f>
        <v>5</v>
      </c>
      <c r="AW286" t="s">
        <v>242</v>
      </c>
      <c r="AX286">
        <v>0</v>
      </c>
      <c r="BE286">
        <f>AM286+AU286+BD286</f>
        <v>5</v>
      </c>
      <c r="BF286" t="s">
        <v>242</v>
      </c>
      <c r="BG286">
        <v>1</v>
      </c>
      <c r="BH286">
        <v>1</v>
      </c>
      <c r="BI286">
        <v>10</v>
      </c>
      <c r="BJ286" t="s">
        <v>49</v>
      </c>
      <c r="BK286">
        <v>5</v>
      </c>
      <c r="BL286">
        <v>1</v>
      </c>
      <c r="BM286">
        <v>1</v>
      </c>
      <c r="BN286" t="s">
        <v>37</v>
      </c>
      <c r="BO286">
        <v>4</v>
      </c>
      <c r="BP286">
        <v>27.5</v>
      </c>
      <c r="BQ286">
        <v>0.05</v>
      </c>
      <c r="BR286">
        <v>0.5</v>
      </c>
      <c r="BS286">
        <v>2.5000000000000001E-2</v>
      </c>
      <c r="BT286">
        <f>BS286+BD286+AU286+AM286</f>
        <v>5.0250000000000004</v>
      </c>
      <c r="BU286">
        <v>1</v>
      </c>
      <c r="BV286">
        <v>1</v>
      </c>
      <c r="BW286">
        <v>146.5</v>
      </c>
      <c r="BX286">
        <f>BW286/7</f>
        <v>20.928571428571427</v>
      </c>
      <c r="BY286">
        <f>0.77*BX286</f>
        <v>16.114999999999998</v>
      </c>
      <c r="BZ286">
        <f t="shared" si="4"/>
        <v>21.14</v>
      </c>
    </row>
    <row r="287" spans="1:78">
      <c r="A287" s="1">
        <v>45207.439603067134</v>
      </c>
      <c r="B287" s="9" t="s">
        <v>866</v>
      </c>
      <c r="C287">
        <v>286</v>
      </c>
      <c r="D287" s="10">
        <v>45207</v>
      </c>
      <c r="E287">
        <v>42</v>
      </c>
      <c r="F287">
        <v>1</v>
      </c>
      <c r="G287">
        <v>2</v>
      </c>
      <c r="H287">
        <v>4</v>
      </c>
      <c r="I287" s="10">
        <v>43721</v>
      </c>
      <c r="J287">
        <v>2</v>
      </c>
      <c r="K287">
        <v>0</v>
      </c>
      <c r="L287">
        <v>1</v>
      </c>
      <c r="M287">
        <v>3250</v>
      </c>
      <c r="N287">
        <v>2</v>
      </c>
      <c r="O287" s="10">
        <v>43459</v>
      </c>
      <c r="P287">
        <v>0</v>
      </c>
      <c r="Q287">
        <v>37.428571428571431</v>
      </c>
      <c r="R287">
        <v>2</v>
      </c>
      <c r="S287">
        <v>60</v>
      </c>
      <c r="T287">
        <v>158</v>
      </c>
      <c r="U287">
        <v>68</v>
      </c>
      <c r="V287">
        <v>8</v>
      </c>
      <c r="W287">
        <v>1</v>
      </c>
      <c r="X287">
        <v>24.034609838166958</v>
      </c>
      <c r="Y287">
        <v>27.239224483255885</v>
      </c>
      <c r="Z287">
        <v>3.2046146450889275</v>
      </c>
      <c r="AA287">
        <v>2</v>
      </c>
      <c r="AB287">
        <v>3</v>
      </c>
      <c r="AC287" t="s">
        <v>33</v>
      </c>
      <c r="AD287">
        <v>3</v>
      </c>
      <c r="AE287">
        <v>0</v>
      </c>
      <c r="AG287">
        <v>5</v>
      </c>
      <c r="AH287">
        <v>0</v>
      </c>
      <c r="AI287">
        <v>0</v>
      </c>
      <c r="AN287" t="s">
        <v>244</v>
      </c>
      <c r="AO287">
        <v>0</v>
      </c>
      <c r="AW287" t="s">
        <v>244</v>
      </c>
      <c r="AX287">
        <v>0</v>
      </c>
      <c r="AY287" t="s">
        <v>244</v>
      </c>
      <c r="BF287" t="s">
        <v>244</v>
      </c>
      <c r="BG287">
        <v>1</v>
      </c>
      <c r="BH287">
        <v>7</v>
      </c>
      <c r="BI287">
        <v>1</v>
      </c>
      <c r="BJ287" t="s">
        <v>42</v>
      </c>
      <c r="BK287">
        <v>6</v>
      </c>
      <c r="BL287">
        <v>1</v>
      </c>
      <c r="BM287">
        <v>1</v>
      </c>
      <c r="BN287" t="s">
        <v>30</v>
      </c>
      <c r="BO287">
        <v>1</v>
      </c>
      <c r="BP287">
        <v>168</v>
      </c>
      <c r="BQ287">
        <v>0.13</v>
      </c>
      <c r="BR287">
        <v>2</v>
      </c>
      <c r="BS287">
        <v>0.26</v>
      </c>
      <c r="BT287">
        <f>BS287+BD287+AU287+AM287</f>
        <v>0.26</v>
      </c>
      <c r="BU287">
        <v>1</v>
      </c>
      <c r="BV287">
        <v>2</v>
      </c>
      <c r="BW287">
        <v>293</v>
      </c>
      <c r="BX287">
        <f>BW287/7</f>
        <v>41.857142857142854</v>
      </c>
      <c r="BY287">
        <f>0.77*BX287</f>
        <v>32.229999999999997</v>
      </c>
      <c r="BZ287">
        <f t="shared" si="4"/>
        <v>32.489999999999995</v>
      </c>
    </row>
    <row r="288" spans="1:78">
      <c r="A288" s="1">
        <v>45207.442173738425</v>
      </c>
      <c r="C288">
        <v>287</v>
      </c>
      <c r="D288" s="10">
        <v>31104</v>
      </c>
      <c r="E288">
        <v>38</v>
      </c>
      <c r="F288">
        <v>1</v>
      </c>
      <c r="G288">
        <v>11</v>
      </c>
      <c r="H288">
        <v>4</v>
      </c>
      <c r="I288" s="10">
        <v>43944</v>
      </c>
      <c r="J288">
        <v>4</v>
      </c>
      <c r="K288">
        <v>0</v>
      </c>
      <c r="L288">
        <v>2</v>
      </c>
      <c r="M288">
        <v>3200</v>
      </c>
      <c r="N288">
        <v>2</v>
      </c>
      <c r="O288" s="10">
        <v>43676</v>
      </c>
      <c r="P288">
        <v>0</v>
      </c>
      <c r="Q288">
        <v>38.285714285714285</v>
      </c>
      <c r="R288">
        <v>2</v>
      </c>
      <c r="S288">
        <v>53</v>
      </c>
      <c r="T288">
        <v>155</v>
      </c>
      <c r="U288">
        <v>60</v>
      </c>
      <c r="V288">
        <v>7</v>
      </c>
      <c r="W288">
        <v>1</v>
      </c>
      <c r="X288">
        <v>22.060353798126947</v>
      </c>
      <c r="Y288">
        <v>24.973985431841829</v>
      </c>
      <c r="Z288">
        <v>2.913631633714882</v>
      </c>
      <c r="AA288">
        <v>2</v>
      </c>
      <c r="AB288">
        <v>2</v>
      </c>
      <c r="AC288" t="s">
        <v>33</v>
      </c>
      <c r="AD288">
        <v>3</v>
      </c>
      <c r="AE288">
        <v>0</v>
      </c>
      <c r="AG288">
        <v>5</v>
      </c>
      <c r="AH288">
        <v>1</v>
      </c>
      <c r="AI288">
        <v>4</v>
      </c>
      <c r="AJ288">
        <v>1</v>
      </c>
      <c r="AK288">
        <v>7</v>
      </c>
      <c r="AL288">
        <v>1</v>
      </c>
      <c r="AM288">
        <f>AJ288*AK288*AL288/7</f>
        <v>1</v>
      </c>
      <c r="AN288" t="s">
        <v>43</v>
      </c>
      <c r="AO288">
        <v>0</v>
      </c>
      <c r="AV288">
        <f>AU288+AM288</f>
        <v>1</v>
      </c>
      <c r="AW288" t="s">
        <v>245</v>
      </c>
      <c r="AX288">
        <v>0</v>
      </c>
      <c r="BE288">
        <f>AM288+AU288+BD288</f>
        <v>1</v>
      </c>
      <c r="BF288" t="s">
        <v>245</v>
      </c>
      <c r="BG288">
        <v>1</v>
      </c>
      <c r="BH288">
        <v>7</v>
      </c>
      <c r="BI288">
        <v>1</v>
      </c>
      <c r="BJ288" t="s">
        <v>49</v>
      </c>
      <c r="BK288">
        <v>5</v>
      </c>
      <c r="BL288">
        <v>3</v>
      </c>
      <c r="BM288">
        <v>1</v>
      </c>
      <c r="BN288" t="s">
        <v>30</v>
      </c>
      <c r="BO288">
        <v>1</v>
      </c>
      <c r="BP288">
        <v>84</v>
      </c>
      <c r="BQ288">
        <v>0.13</v>
      </c>
      <c r="BR288">
        <v>1</v>
      </c>
      <c r="BS288">
        <v>0.13</v>
      </c>
      <c r="BT288">
        <f>BS288+BD288+AU288+AM288</f>
        <v>1.1299999999999999</v>
      </c>
      <c r="BU288">
        <v>1</v>
      </c>
      <c r="BV288">
        <v>1</v>
      </c>
      <c r="BW288">
        <v>146.5</v>
      </c>
      <c r="BX288">
        <f>BW288/7</f>
        <v>20.928571428571427</v>
      </c>
      <c r="BY288">
        <f>0.77*BX288</f>
        <v>16.114999999999998</v>
      </c>
      <c r="BZ288">
        <f t="shared" si="4"/>
        <v>17.244999999999997</v>
      </c>
    </row>
    <row r="289" spans="1:78">
      <c r="A289" s="1">
        <v>45207.445131250002</v>
      </c>
      <c r="C289">
        <v>288</v>
      </c>
      <c r="D289" s="10">
        <v>32555</v>
      </c>
      <c r="E289">
        <v>34</v>
      </c>
      <c r="F289">
        <v>1</v>
      </c>
      <c r="G289">
        <v>6</v>
      </c>
      <c r="H289">
        <v>4</v>
      </c>
      <c r="I289" s="10">
        <v>43627</v>
      </c>
      <c r="J289">
        <v>1</v>
      </c>
      <c r="K289">
        <v>1</v>
      </c>
      <c r="L289">
        <v>2</v>
      </c>
      <c r="M289">
        <v>3200</v>
      </c>
      <c r="N289">
        <v>2</v>
      </c>
      <c r="O289" s="10">
        <v>43354</v>
      </c>
      <c r="P289">
        <v>0</v>
      </c>
      <c r="Q289">
        <v>39</v>
      </c>
      <c r="R289">
        <v>2</v>
      </c>
      <c r="S289">
        <v>68</v>
      </c>
      <c r="T289">
        <v>165</v>
      </c>
      <c r="U289">
        <v>78</v>
      </c>
      <c r="V289">
        <v>10</v>
      </c>
      <c r="W289">
        <v>1</v>
      </c>
      <c r="X289">
        <v>24.977043158861342</v>
      </c>
      <c r="Y289">
        <v>28.650137741046834</v>
      </c>
      <c r="Z289">
        <v>3.6730945821854917</v>
      </c>
      <c r="AA289">
        <v>2</v>
      </c>
      <c r="AB289">
        <v>3</v>
      </c>
      <c r="AC289" t="s">
        <v>33</v>
      </c>
      <c r="AD289">
        <v>3</v>
      </c>
      <c r="AE289">
        <v>0</v>
      </c>
      <c r="AG289">
        <v>5</v>
      </c>
      <c r="AH289">
        <v>1</v>
      </c>
      <c r="AI289">
        <v>13</v>
      </c>
      <c r="AJ289">
        <v>1</v>
      </c>
      <c r="AK289">
        <v>7</v>
      </c>
      <c r="AL289">
        <v>1</v>
      </c>
      <c r="AM289">
        <f>AJ289*AK289*AL289/7</f>
        <v>1</v>
      </c>
      <c r="AN289" t="s">
        <v>79</v>
      </c>
      <c r="AO289">
        <v>0</v>
      </c>
      <c r="AV289">
        <f>AU289+AM289</f>
        <v>1</v>
      </c>
      <c r="AX289">
        <v>0</v>
      </c>
      <c r="BE289">
        <f>AM289+AU289+BD289</f>
        <v>1</v>
      </c>
      <c r="BG289">
        <v>0</v>
      </c>
      <c r="BJ289" t="s">
        <v>28</v>
      </c>
      <c r="BK289">
        <v>3</v>
      </c>
      <c r="BL289">
        <v>3</v>
      </c>
      <c r="BM289">
        <v>1</v>
      </c>
      <c r="BN289" t="s">
        <v>30</v>
      </c>
      <c r="BO289">
        <v>1</v>
      </c>
      <c r="BP289">
        <v>168</v>
      </c>
      <c r="BQ289">
        <v>0.13</v>
      </c>
      <c r="BR289">
        <v>2</v>
      </c>
      <c r="BS289">
        <v>0.26</v>
      </c>
      <c r="BT289">
        <f>BS289+BD289+AU289+AM289</f>
        <v>1.26</v>
      </c>
      <c r="BU289">
        <v>1</v>
      </c>
      <c r="BV289">
        <v>1</v>
      </c>
      <c r="BW289">
        <v>146.5</v>
      </c>
      <c r="BX289">
        <f>BW289/7</f>
        <v>20.928571428571427</v>
      </c>
      <c r="BY289">
        <f>0.77*BX289</f>
        <v>16.114999999999998</v>
      </c>
      <c r="BZ289">
        <f t="shared" si="4"/>
        <v>17.375</v>
      </c>
    </row>
    <row r="290" spans="1:78">
      <c r="A290" s="1">
        <v>45207.498303541666</v>
      </c>
      <c r="C290">
        <v>289</v>
      </c>
      <c r="D290" s="10">
        <v>35536</v>
      </c>
      <c r="E290">
        <v>26</v>
      </c>
      <c r="F290">
        <v>1</v>
      </c>
      <c r="G290">
        <v>1</v>
      </c>
      <c r="H290">
        <v>4</v>
      </c>
      <c r="I290" s="10">
        <v>44759</v>
      </c>
      <c r="J290">
        <v>1</v>
      </c>
      <c r="K290">
        <v>1</v>
      </c>
      <c r="L290">
        <v>2</v>
      </c>
      <c r="M290">
        <v>3310</v>
      </c>
      <c r="N290">
        <v>2</v>
      </c>
      <c r="O290" s="10">
        <v>44493</v>
      </c>
      <c r="P290">
        <v>0</v>
      </c>
      <c r="Q290">
        <v>38</v>
      </c>
      <c r="R290">
        <v>2</v>
      </c>
      <c r="S290">
        <v>72</v>
      </c>
      <c r="T290">
        <v>157</v>
      </c>
      <c r="U290">
        <v>82</v>
      </c>
      <c r="V290">
        <v>10</v>
      </c>
      <c r="W290">
        <v>2</v>
      </c>
      <c r="X290">
        <v>29.210109943608259</v>
      </c>
      <c r="Y290">
        <v>33.267069657998292</v>
      </c>
      <c r="Z290">
        <v>4.0569597143900324</v>
      </c>
      <c r="AA290">
        <v>3</v>
      </c>
      <c r="AB290">
        <v>4</v>
      </c>
      <c r="AC290" t="s">
        <v>33</v>
      </c>
      <c r="AD290">
        <v>3</v>
      </c>
      <c r="AE290">
        <v>0</v>
      </c>
      <c r="AG290">
        <v>5</v>
      </c>
      <c r="AH290">
        <v>1</v>
      </c>
      <c r="AI290">
        <v>5</v>
      </c>
      <c r="AJ290">
        <v>5</v>
      </c>
      <c r="AK290">
        <v>7</v>
      </c>
      <c r="AL290">
        <v>1</v>
      </c>
      <c r="AM290">
        <f>AJ290*AK290*AL290/7</f>
        <v>5</v>
      </c>
      <c r="AN290" t="s">
        <v>27</v>
      </c>
      <c r="AO290">
        <v>0</v>
      </c>
      <c r="AV290">
        <f>AU290+AM290</f>
        <v>5</v>
      </c>
      <c r="AW290" t="s">
        <v>71</v>
      </c>
      <c r="AX290">
        <v>1</v>
      </c>
      <c r="AY290" t="s">
        <v>71</v>
      </c>
      <c r="AZ290">
        <v>5</v>
      </c>
      <c r="BA290">
        <v>0.4</v>
      </c>
      <c r="BB290">
        <v>7</v>
      </c>
      <c r="BC290">
        <v>1</v>
      </c>
      <c r="BD290">
        <f>BA290*BB290*1/7</f>
        <v>0.4</v>
      </c>
      <c r="BE290">
        <f>AM290+AU290+BD290</f>
        <v>5.4</v>
      </c>
      <c r="BF290" t="s">
        <v>71</v>
      </c>
      <c r="BG290">
        <v>0</v>
      </c>
      <c r="BH290">
        <v>7</v>
      </c>
      <c r="BI290">
        <v>1</v>
      </c>
      <c r="BJ290" t="s">
        <v>49</v>
      </c>
      <c r="BK290">
        <v>5</v>
      </c>
      <c r="BL290">
        <v>1</v>
      </c>
      <c r="BM290">
        <v>1</v>
      </c>
      <c r="BN290" t="s">
        <v>30</v>
      </c>
      <c r="BO290">
        <v>1</v>
      </c>
      <c r="BP290">
        <v>168</v>
      </c>
      <c r="BQ290">
        <v>0.13</v>
      </c>
      <c r="BR290">
        <v>2</v>
      </c>
      <c r="BS290">
        <v>0.26</v>
      </c>
      <c r="BT290">
        <f>BS290+BD290+AU290+AM290</f>
        <v>5.66</v>
      </c>
      <c r="BU290">
        <v>1</v>
      </c>
      <c r="BV290">
        <v>3</v>
      </c>
      <c r="BW290">
        <v>439.5</v>
      </c>
      <c r="BX290">
        <f>BW290/7</f>
        <v>62.785714285714285</v>
      </c>
      <c r="BY290">
        <f>0.77*BX290</f>
        <v>48.344999999999999</v>
      </c>
      <c r="BZ290">
        <f t="shared" si="4"/>
        <v>54.004999999999995</v>
      </c>
    </row>
    <row r="291" spans="1:78">
      <c r="A291" s="1">
        <v>45207.585606006949</v>
      </c>
      <c r="C291">
        <v>290</v>
      </c>
      <c r="D291" s="10">
        <v>32000</v>
      </c>
      <c r="E291">
        <v>36</v>
      </c>
      <c r="F291">
        <v>1</v>
      </c>
      <c r="G291">
        <v>1</v>
      </c>
      <c r="H291">
        <v>4</v>
      </c>
      <c r="I291" s="10">
        <v>44925</v>
      </c>
      <c r="J291">
        <v>1</v>
      </c>
      <c r="K291">
        <v>1</v>
      </c>
      <c r="L291">
        <v>2</v>
      </c>
      <c r="M291">
        <v>3750</v>
      </c>
      <c r="N291">
        <v>2</v>
      </c>
      <c r="O291" s="10">
        <v>44652</v>
      </c>
      <c r="P291">
        <v>0</v>
      </c>
      <c r="Q291">
        <v>39</v>
      </c>
      <c r="R291">
        <v>2</v>
      </c>
      <c r="S291">
        <v>58</v>
      </c>
      <c r="T291">
        <v>155</v>
      </c>
      <c r="U291">
        <v>70</v>
      </c>
      <c r="V291">
        <v>12</v>
      </c>
      <c r="W291">
        <v>2</v>
      </c>
      <c r="X291">
        <v>24.141519250780433</v>
      </c>
      <c r="Y291">
        <v>29.136316337148799</v>
      </c>
      <c r="Z291">
        <v>4.9947970863683651</v>
      </c>
      <c r="AA291">
        <v>2</v>
      </c>
      <c r="AB291">
        <v>3</v>
      </c>
      <c r="AC291" t="s">
        <v>33</v>
      </c>
      <c r="AD291">
        <v>3</v>
      </c>
      <c r="AE291">
        <v>0</v>
      </c>
      <c r="AG291">
        <v>5</v>
      </c>
      <c r="AH291">
        <v>1</v>
      </c>
      <c r="AI291">
        <v>13</v>
      </c>
      <c r="AJ291">
        <v>1</v>
      </c>
      <c r="AK291">
        <v>7</v>
      </c>
      <c r="AL291">
        <v>1</v>
      </c>
      <c r="AM291">
        <f>AJ291*AK291*AL291/7</f>
        <v>1</v>
      </c>
      <c r="AN291" t="s">
        <v>79</v>
      </c>
      <c r="AO291">
        <v>0</v>
      </c>
      <c r="AV291">
        <f>AU291+AM291</f>
        <v>1</v>
      </c>
      <c r="AX291">
        <v>0</v>
      </c>
      <c r="BE291">
        <f>AM291+AU291+BD291</f>
        <v>1</v>
      </c>
      <c r="BG291">
        <v>0</v>
      </c>
      <c r="BJ291" t="s">
        <v>49</v>
      </c>
      <c r="BK291">
        <v>5</v>
      </c>
      <c r="BL291">
        <v>1</v>
      </c>
      <c r="BM291">
        <v>1</v>
      </c>
      <c r="BN291" t="s">
        <v>30</v>
      </c>
      <c r="BO291">
        <v>1</v>
      </c>
      <c r="BP291">
        <v>168</v>
      </c>
      <c r="BQ291">
        <v>0.13</v>
      </c>
      <c r="BR291">
        <v>2</v>
      </c>
      <c r="BS291">
        <v>0.26</v>
      </c>
      <c r="BT291">
        <f>BS291+BD291+AU291+AM291</f>
        <v>1.26</v>
      </c>
      <c r="BU291">
        <v>1</v>
      </c>
      <c r="BV291">
        <v>2</v>
      </c>
      <c r="BW291">
        <v>293</v>
      </c>
      <c r="BX291">
        <f>BW291/7</f>
        <v>41.857142857142854</v>
      </c>
      <c r="BY291">
        <f>0.77*BX291</f>
        <v>32.229999999999997</v>
      </c>
      <c r="BZ291">
        <f t="shared" si="4"/>
        <v>33.489999999999995</v>
      </c>
    </row>
    <row r="292" spans="1:78">
      <c r="A292" s="1">
        <v>45207.625525115742</v>
      </c>
      <c r="C292">
        <v>291</v>
      </c>
      <c r="D292" s="10">
        <v>30546</v>
      </c>
      <c r="E292">
        <v>40</v>
      </c>
      <c r="F292">
        <v>1</v>
      </c>
      <c r="G292">
        <v>6</v>
      </c>
      <c r="H292">
        <v>4</v>
      </c>
      <c r="I292" s="10">
        <v>45108</v>
      </c>
      <c r="J292">
        <v>1</v>
      </c>
      <c r="K292">
        <v>1</v>
      </c>
      <c r="L292">
        <v>1</v>
      </c>
      <c r="M292">
        <v>3145</v>
      </c>
      <c r="N292">
        <v>2</v>
      </c>
      <c r="O292" s="10">
        <v>44849</v>
      </c>
      <c r="P292">
        <v>0</v>
      </c>
      <c r="Q292">
        <v>37</v>
      </c>
      <c r="R292">
        <v>2</v>
      </c>
      <c r="S292">
        <v>70</v>
      </c>
      <c r="T292">
        <v>171</v>
      </c>
      <c r="U292">
        <v>88</v>
      </c>
      <c r="V292">
        <v>18</v>
      </c>
      <c r="W292">
        <v>3</v>
      </c>
      <c r="X292">
        <v>23.938989774631512</v>
      </c>
      <c r="Y292">
        <v>30.094730002393902</v>
      </c>
      <c r="Z292">
        <v>6.15574022776239</v>
      </c>
      <c r="AA292">
        <v>2</v>
      </c>
      <c r="AB292">
        <v>4</v>
      </c>
      <c r="AC292" t="s">
        <v>33</v>
      </c>
      <c r="AD292">
        <v>3</v>
      </c>
      <c r="AE292">
        <v>1</v>
      </c>
      <c r="AF292" t="s">
        <v>246</v>
      </c>
      <c r="AG292">
        <v>3</v>
      </c>
      <c r="AH292">
        <v>1</v>
      </c>
      <c r="AI292">
        <v>5</v>
      </c>
      <c r="AJ292">
        <v>5</v>
      </c>
      <c r="AK292">
        <v>7</v>
      </c>
      <c r="AL292">
        <v>1</v>
      </c>
      <c r="AM292">
        <f>AJ292*AK292*AL292/7</f>
        <v>5</v>
      </c>
      <c r="AN292" t="s">
        <v>27</v>
      </c>
      <c r="AO292">
        <v>0</v>
      </c>
      <c r="AV292">
        <f>AU292+AM292</f>
        <v>5</v>
      </c>
      <c r="AW292" t="s">
        <v>35</v>
      </c>
      <c r="AX292">
        <v>1</v>
      </c>
      <c r="AY292" t="s">
        <v>35</v>
      </c>
      <c r="AZ292">
        <v>12</v>
      </c>
      <c r="BA292">
        <v>0.4</v>
      </c>
      <c r="BB292">
        <v>7</v>
      </c>
      <c r="BC292">
        <v>1</v>
      </c>
      <c r="BD292">
        <f>BA292*BB292*1/7</f>
        <v>0.4</v>
      </c>
      <c r="BE292">
        <f>AM292+AU292+BD292</f>
        <v>5.4</v>
      </c>
      <c r="BF292" t="s">
        <v>35</v>
      </c>
      <c r="BG292">
        <v>0</v>
      </c>
      <c r="BH292">
        <v>7</v>
      </c>
      <c r="BI292">
        <v>1</v>
      </c>
      <c r="BJ292" t="s">
        <v>49</v>
      </c>
      <c r="BK292">
        <v>5</v>
      </c>
      <c r="BL292">
        <v>1</v>
      </c>
      <c r="BM292">
        <v>1</v>
      </c>
      <c r="BN292" t="s">
        <v>30</v>
      </c>
      <c r="BO292">
        <v>1</v>
      </c>
      <c r="BP292">
        <v>168</v>
      </c>
      <c r="BQ292">
        <v>0.13</v>
      </c>
      <c r="BR292">
        <v>2</v>
      </c>
      <c r="BS292">
        <v>0.26</v>
      </c>
      <c r="BT292">
        <f>BS292+BD292+AU292+AM292</f>
        <v>5.66</v>
      </c>
      <c r="BU292">
        <v>1</v>
      </c>
      <c r="BV292">
        <v>2</v>
      </c>
      <c r="BW292">
        <v>293</v>
      </c>
      <c r="BX292">
        <f>BW292/7</f>
        <v>41.857142857142854</v>
      </c>
      <c r="BY292">
        <f>0.77*BX292</f>
        <v>32.229999999999997</v>
      </c>
      <c r="BZ292">
        <f t="shared" si="4"/>
        <v>37.89</v>
      </c>
    </row>
    <row r="293" spans="1:78">
      <c r="A293" s="1">
        <v>45207.629170972221</v>
      </c>
      <c r="C293">
        <v>292</v>
      </c>
      <c r="D293" s="10">
        <v>31136</v>
      </c>
      <c r="E293">
        <v>38</v>
      </c>
      <c r="F293">
        <v>1</v>
      </c>
      <c r="G293">
        <v>7</v>
      </c>
      <c r="H293">
        <v>4</v>
      </c>
      <c r="I293" s="10">
        <v>44365</v>
      </c>
      <c r="J293">
        <v>2</v>
      </c>
      <c r="K293">
        <v>0</v>
      </c>
      <c r="L293">
        <v>1</v>
      </c>
      <c r="M293">
        <v>3650</v>
      </c>
      <c r="N293">
        <v>2</v>
      </c>
      <c r="O293" s="10">
        <v>44099</v>
      </c>
      <c r="P293">
        <v>1</v>
      </c>
      <c r="Q293">
        <v>38</v>
      </c>
      <c r="R293">
        <v>2</v>
      </c>
      <c r="S293">
        <v>57</v>
      </c>
      <c r="T293">
        <v>165</v>
      </c>
      <c r="U293">
        <v>67</v>
      </c>
      <c r="V293">
        <v>10</v>
      </c>
      <c r="W293">
        <v>1</v>
      </c>
      <c r="X293">
        <v>20.936639118457304</v>
      </c>
      <c r="Y293">
        <v>24.609733700642796</v>
      </c>
      <c r="Z293">
        <v>3.6730945821854917</v>
      </c>
      <c r="AA293">
        <v>2</v>
      </c>
      <c r="AB293">
        <v>2</v>
      </c>
      <c r="AC293" t="s">
        <v>33</v>
      </c>
      <c r="AD293">
        <v>3</v>
      </c>
      <c r="AE293">
        <v>0</v>
      </c>
      <c r="AG293">
        <v>5</v>
      </c>
      <c r="AH293">
        <v>0</v>
      </c>
      <c r="AI293">
        <v>0</v>
      </c>
      <c r="AN293" t="s">
        <v>121</v>
      </c>
      <c r="AO293">
        <v>0</v>
      </c>
      <c r="AX293">
        <v>0</v>
      </c>
      <c r="BG293">
        <v>0</v>
      </c>
      <c r="BJ293" t="s">
        <v>51</v>
      </c>
      <c r="BK293">
        <v>1</v>
      </c>
      <c r="BL293">
        <v>4</v>
      </c>
      <c r="BM293">
        <v>1</v>
      </c>
      <c r="BN293" t="s">
        <v>37</v>
      </c>
      <c r="BO293">
        <v>4</v>
      </c>
      <c r="BP293">
        <v>27.5</v>
      </c>
      <c r="BQ293">
        <v>0.05</v>
      </c>
      <c r="BR293">
        <v>0.5</v>
      </c>
      <c r="BS293">
        <v>2.5000000000000001E-2</v>
      </c>
      <c r="BT293">
        <f>BS293+BD293+AU293+AM293</f>
        <v>2.5000000000000001E-2</v>
      </c>
      <c r="BU293">
        <v>1</v>
      </c>
      <c r="BV293">
        <v>1</v>
      </c>
      <c r="BW293">
        <v>146.5</v>
      </c>
      <c r="BX293">
        <f>BW293/7</f>
        <v>20.928571428571427</v>
      </c>
      <c r="BY293">
        <f>0.77*BX293</f>
        <v>16.114999999999998</v>
      </c>
      <c r="BZ293">
        <f t="shared" si="4"/>
        <v>16.139999999999997</v>
      </c>
    </row>
    <row r="294" spans="1:78">
      <c r="A294" s="1">
        <v>45207.652582546296</v>
      </c>
      <c r="B294" t="s">
        <v>865</v>
      </c>
      <c r="C294">
        <v>293</v>
      </c>
      <c r="D294" s="10">
        <v>31126</v>
      </c>
      <c r="E294">
        <v>38</v>
      </c>
      <c r="F294">
        <v>1</v>
      </c>
      <c r="G294">
        <v>9</v>
      </c>
      <c r="H294">
        <v>4</v>
      </c>
      <c r="I294" s="10">
        <v>44087</v>
      </c>
      <c r="J294">
        <v>2</v>
      </c>
      <c r="K294">
        <v>0</v>
      </c>
      <c r="L294">
        <v>1</v>
      </c>
      <c r="M294">
        <v>3760</v>
      </c>
      <c r="N294">
        <v>2</v>
      </c>
      <c r="O294" s="10">
        <v>43814</v>
      </c>
      <c r="P294">
        <v>0</v>
      </c>
      <c r="Q294">
        <v>39</v>
      </c>
      <c r="R294">
        <v>2</v>
      </c>
      <c r="S294">
        <v>82</v>
      </c>
      <c r="T294">
        <v>160</v>
      </c>
      <c r="U294">
        <v>86</v>
      </c>
      <c r="V294">
        <v>4</v>
      </c>
      <c r="W294">
        <v>1</v>
      </c>
      <c r="X294">
        <v>32.031249999999993</v>
      </c>
      <c r="Y294">
        <v>33.593749999999993</v>
      </c>
      <c r="Z294">
        <v>1.5625</v>
      </c>
      <c r="AA294">
        <v>4</v>
      </c>
      <c r="AB294">
        <v>4</v>
      </c>
      <c r="AC294" t="s">
        <v>33</v>
      </c>
      <c r="AD294">
        <v>3</v>
      </c>
      <c r="AE294">
        <v>0</v>
      </c>
      <c r="AG294">
        <v>5</v>
      </c>
      <c r="AH294">
        <v>1</v>
      </c>
      <c r="AI294">
        <v>1</v>
      </c>
      <c r="AJ294">
        <v>1</v>
      </c>
      <c r="AK294">
        <v>7</v>
      </c>
      <c r="AL294">
        <v>1</v>
      </c>
      <c r="AM294">
        <f>AJ294*AK294*AL294/7</f>
        <v>1</v>
      </c>
      <c r="AN294" t="s">
        <v>56</v>
      </c>
      <c r="AO294">
        <v>0</v>
      </c>
      <c r="AV294">
        <f>AU294+AM294</f>
        <v>1</v>
      </c>
      <c r="AW294" t="s">
        <v>655</v>
      </c>
      <c r="AX294">
        <v>1</v>
      </c>
      <c r="AY294" t="s">
        <v>655</v>
      </c>
      <c r="AZ294">
        <v>16</v>
      </c>
      <c r="BA294" t="s">
        <v>258</v>
      </c>
      <c r="BB294">
        <v>7</v>
      </c>
      <c r="BC294">
        <v>2</v>
      </c>
      <c r="BE294">
        <f>AM294+AU294+BD294</f>
        <v>1</v>
      </c>
      <c r="BF294" t="s">
        <v>655</v>
      </c>
      <c r="BG294" t="s">
        <v>258</v>
      </c>
      <c r="BH294">
        <v>7</v>
      </c>
      <c r="BI294">
        <v>2</v>
      </c>
      <c r="BJ294" t="s">
        <v>42</v>
      </c>
      <c r="BK294">
        <v>6</v>
      </c>
      <c r="BL294">
        <v>1</v>
      </c>
      <c r="BM294">
        <v>1</v>
      </c>
      <c r="BN294" t="s">
        <v>55</v>
      </c>
      <c r="BO294">
        <v>2</v>
      </c>
      <c r="BP294">
        <v>201</v>
      </c>
      <c r="BQ294">
        <v>0.1</v>
      </c>
      <c r="BR294">
        <v>3</v>
      </c>
      <c r="BS294">
        <v>0.30000000000000004</v>
      </c>
      <c r="BT294">
        <f>BS294+BD294+AU294+AM294</f>
        <v>1.3</v>
      </c>
      <c r="BU294">
        <v>1</v>
      </c>
      <c r="BV294">
        <v>2</v>
      </c>
      <c r="BW294">
        <v>293</v>
      </c>
      <c r="BX294">
        <f>BW294/7</f>
        <v>41.857142857142854</v>
      </c>
      <c r="BY294">
        <f>0.77*BX294</f>
        <v>32.229999999999997</v>
      </c>
      <c r="BZ294">
        <f t="shared" si="4"/>
        <v>33.529999999999994</v>
      </c>
    </row>
    <row r="295" spans="1:78">
      <c r="A295" s="1">
        <v>45207.653635555558</v>
      </c>
      <c r="C295">
        <v>294</v>
      </c>
      <c r="D295" s="10">
        <v>30934</v>
      </c>
      <c r="E295">
        <v>39</v>
      </c>
      <c r="F295">
        <v>1</v>
      </c>
      <c r="G295">
        <v>13</v>
      </c>
      <c r="H295">
        <v>4</v>
      </c>
      <c r="I295" s="10">
        <v>43157</v>
      </c>
      <c r="J295">
        <v>1</v>
      </c>
      <c r="K295">
        <v>1</v>
      </c>
      <c r="L295">
        <v>2</v>
      </c>
      <c r="M295">
        <v>3480</v>
      </c>
      <c r="N295">
        <v>2</v>
      </c>
      <c r="O295" s="10">
        <v>42891</v>
      </c>
      <c r="P295">
        <v>0</v>
      </c>
      <c r="Q295">
        <v>38</v>
      </c>
      <c r="R295">
        <v>2</v>
      </c>
      <c r="S295">
        <v>72</v>
      </c>
      <c r="T295">
        <v>165</v>
      </c>
      <c r="U295">
        <v>84</v>
      </c>
      <c r="V295">
        <v>12</v>
      </c>
      <c r="W295">
        <v>3</v>
      </c>
      <c r="X295">
        <v>26.446280991735541</v>
      </c>
      <c r="Y295">
        <v>30.853994490358129</v>
      </c>
      <c r="Z295">
        <v>4.4077134986225879</v>
      </c>
      <c r="AA295">
        <v>3</v>
      </c>
      <c r="AB295">
        <v>4</v>
      </c>
      <c r="AC295" t="s">
        <v>44</v>
      </c>
      <c r="AD295">
        <v>1</v>
      </c>
      <c r="AE295">
        <v>1</v>
      </c>
      <c r="AF295" t="s">
        <v>248</v>
      </c>
      <c r="AG295">
        <v>2</v>
      </c>
      <c r="AH295">
        <v>0</v>
      </c>
      <c r="AI295">
        <v>0</v>
      </c>
      <c r="AN295" t="s">
        <v>41</v>
      </c>
      <c r="AO295">
        <v>0</v>
      </c>
      <c r="AW295" t="s">
        <v>58</v>
      </c>
      <c r="AX295">
        <v>1</v>
      </c>
      <c r="AY295" t="s">
        <v>58</v>
      </c>
      <c r="AZ295">
        <v>1</v>
      </c>
      <c r="BA295">
        <v>0.8</v>
      </c>
      <c r="BB295">
        <v>7</v>
      </c>
      <c r="BC295">
        <v>1</v>
      </c>
      <c r="BD295">
        <f>BA295*BB295*1/7</f>
        <v>0.8</v>
      </c>
      <c r="BE295">
        <f>AM295+AU295+BD295</f>
        <v>0.8</v>
      </c>
      <c r="BF295" t="s">
        <v>58</v>
      </c>
      <c r="BG295">
        <v>0</v>
      </c>
      <c r="BH295">
        <v>7</v>
      </c>
      <c r="BI295">
        <v>1</v>
      </c>
      <c r="BJ295" t="s">
        <v>42</v>
      </c>
      <c r="BK295">
        <v>6</v>
      </c>
      <c r="BL295">
        <v>1</v>
      </c>
      <c r="BM295">
        <v>1</v>
      </c>
      <c r="BN295" t="s">
        <v>30</v>
      </c>
      <c r="BO295">
        <v>1</v>
      </c>
      <c r="BP295">
        <v>84</v>
      </c>
      <c r="BQ295">
        <v>0.13</v>
      </c>
      <c r="BR295">
        <v>1</v>
      </c>
      <c r="BS295">
        <v>0.13</v>
      </c>
      <c r="BT295">
        <f>BS295+BD295+AU295+AM295</f>
        <v>0.93</v>
      </c>
      <c r="BU295">
        <v>1</v>
      </c>
      <c r="BV295">
        <v>2</v>
      </c>
      <c r="BW295">
        <v>293</v>
      </c>
      <c r="BX295">
        <f>BW295/7</f>
        <v>41.857142857142854</v>
      </c>
      <c r="BY295">
        <f>0.77*BX295</f>
        <v>32.229999999999997</v>
      </c>
      <c r="BZ295">
        <f t="shared" si="4"/>
        <v>33.159999999999997</v>
      </c>
    </row>
    <row r="296" spans="1:78">
      <c r="A296" s="1">
        <v>45207.660364490745</v>
      </c>
      <c r="C296">
        <v>295</v>
      </c>
      <c r="D296" s="10">
        <v>33000</v>
      </c>
      <c r="E296">
        <v>33</v>
      </c>
      <c r="F296">
        <v>1</v>
      </c>
      <c r="G296">
        <v>2</v>
      </c>
      <c r="H296">
        <v>4</v>
      </c>
      <c r="I296" s="10">
        <v>44852</v>
      </c>
      <c r="J296">
        <v>1</v>
      </c>
      <c r="K296">
        <v>1</v>
      </c>
      <c r="L296">
        <v>1</v>
      </c>
      <c r="M296">
        <v>3090</v>
      </c>
      <c r="N296">
        <v>2</v>
      </c>
      <c r="O296" s="10">
        <v>44579</v>
      </c>
      <c r="P296">
        <v>0</v>
      </c>
      <c r="Q296">
        <v>39</v>
      </c>
      <c r="R296">
        <v>2</v>
      </c>
      <c r="S296">
        <v>61</v>
      </c>
      <c r="T296">
        <v>161</v>
      </c>
      <c r="U296">
        <v>78</v>
      </c>
      <c r="V296">
        <v>17</v>
      </c>
      <c r="W296">
        <v>3</v>
      </c>
      <c r="X296">
        <v>23.533042706685695</v>
      </c>
      <c r="Y296">
        <v>30.091431657729252</v>
      </c>
      <c r="Z296">
        <v>6.5583889510435576</v>
      </c>
      <c r="AA296">
        <v>2</v>
      </c>
      <c r="AB296">
        <v>4</v>
      </c>
      <c r="AC296" t="s">
        <v>33</v>
      </c>
      <c r="AD296">
        <v>3</v>
      </c>
      <c r="AE296">
        <v>0</v>
      </c>
      <c r="AG296">
        <v>5</v>
      </c>
      <c r="AH296">
        <v>0</v>
      </c>
      <c r="AI296">
        <v>0</v>
      </c>
      <c r="AN296" t="s">
        <v>35</v>
      </c>
      <c r="AO296">
        <v>0</v>
      </c>
      <c r="AW296" t="s">
        <v>61</v>
      </c>
      <c r="AX296">
        <v>1</v>
      </c>
      <c r="AY296" t="s">
        <v>881</v>
      </c>
      <c r="AZ296">
        <v>2</v>
      </c>
      <c r="BA296">
        <v>0.33500000000000002</v>
      </c>
      <c r="BB296">
        <v>7</v>
      </c>
      <c r="BC296">
        <v>1</v>
      </c>
      <c r="BD296">
        <f>BA296*BB296*1/7</f>
        <v>0.33500000000000002</v>
      </c>
      <c r="BE296">
        <f>AM296+AU296+BD296</f>
        <v>0.33500000000000002</v>
      </c>
      <c r="BF296" t="s">
        <v>881</v>
      </c>
      <c r="BG296">
        <v>0</v>
      </c>
      <c r="BH296">
        <v>7</v>
      </c>
      <c r="BI296">
        <v>1</v>
      </c>
      <c r="BJ296" t="s">
        <v>42</v>
      </c>
      <c r="BK296">
        <v>6</v>
      </c>
      <c r="BL296">
        <v>1</v>
      </c>
      <c r="BM296">
        <v>1</v>
      </c>
      <c r="BN296" t="s">
        <v>30</v>
      </c>
      <c r="BO296">
        <v>1</v>
      </c>
      <c r="BP296">
        <v>84</v>
      </c>
      <c r="BQ296">
        <v>0.13</v>
      </c>
      <c r="BR296">
        <v>1</v>
      </c>
      <c r="BS296">
        <v>0.13</v>
      </c>
      <c r="BT296">
        <f>BS296+BD296+AU296+AM296</f>
        <v>0.46500000000000002</v>
      </c>
      <c r="BU296">
        <v>1</v>
      </c>
      <c r="BV296">
        <v>2</v>
      </c>
      <c r="BW296">
        <v>293</v>
      </c>
      <c r="BX296">
        <f>BW296/7</f>
        <v>41.857142857142854</v>
      </c>
      <c r="BY296">
        <f>0.77*BX296</f>
        <v>32.229999999999997</v>
      </c>
      <c r="BZ296">
        <f t="shared" si="4"/>
        <v>32.695</v>
      </c>
    </row>
    <row r="297" spans="1:78">
      <c r="A297" s="1">
        <v>45207.661670682872</v>
      </c>
      <c r="C297">
        <v>296</v>
      </c>
      <c r="D297" s="10">
        <v>33268</v>
      </c>
      <c r="E297">
        <v>32</v>
      </c>
      <c r="F297">
        <v>1</v>
      </c>
      <c r="G297">
        <v>12</v>
      </c>
      <c r="H297">
        <v>4</v>
      </c>
      <c r="I297" s="10">
        <v>43213</v>
      </c>
      <c r="J297">
        <v>1</v>
      </c>
      <c r="K297">
        <v>1</v>
      </c>
      <c r="L297">
        <v>2</v>
      </c>
      <c r="M297">
        <v>2990</v>
      </c>
      <c r="N297">
        <v>2</v>
      </c>
      <c r="O297" s="10">
        <v>42940</v>
      </c>
      <c r="P297">
        <v>0</v>
      </c>
      <c r="Q297">
        <v>39</v>
      </c>
      <c r="R297">
        <v>2</v>
      </c>
      <c r="S297">
        <v>55.7</v>
      </c>
      <c r="T297">
        <v>150</v>
      </c>
      <c r="U297">
        <v>70</v>
      </c>
      <c r="V297">
        <v>14.299999999999997</v>
      </c>
      <c r="W297">
        <v>2</v>
      </c>
      <c r="X297">
        <v>24.755555555555556</v>
      </c>
      <c r="Y297">
        <v>31.111111111111111</v>
      </c>
      <c r="Z297">
        <v>6.3555555555555543</v>
      </c>
      <c r="AA297">
        <v>2</v>
      </c>
      <c r="AB297">
        <v>4</v>
      </c>
      <c r="AC297" t="s">
        <v>33</v>
      </c>
      <c r="AD297">
        <v>3</v>
      </c>
      <c r="AE297">
        <v>0</v>
      </c>
      <c r="AG297">
        <v>5</v>
      </c>
      <c r="AH297">
        <v>1</v>
      </c>
      <c r="AI297">
        <v>5</v>
      </c>
      <c r="AJ297">
        <v>5</v>
      </c>
      <c r="AK297">
        <v>7</v>
      </c>
      <c r="AL297">
        <v>1</v>
      </c>
      <c r="AM297">
        <f>AJ297*AK297*AL297/7</f>
        <v>5</v>
      </c>
      <c r="AN297" t="s">
        <v>27</v>
      </c>
      <c r="AO297">
        <v>0</v>
      </c>
      <c r="AV297">
        <f>AU297+AM297</f>
        <v>5</v>
      </c>
      <c r="AW297" t="s">
        <v>128</v>
      </c>
      <c r="AX297">
        <v>1</v>
      </c>
      <c r="AY297" t="s">
        <v>128</v>
      </c>
      <c r="AZ297">
        <v>4</v>
      </c>
      <c r="BA297">
        <v>0.2</v>
      </c>
      <c r="BB297">
        <v>7</v>
      </c>
      <c r="BC297">
        <v>1</v>
      </c>
      <c r="BD297">
        <f>BA297*BB297*1/7</f>
        <v>0.2</v>
      </c>
      <c r="BE297">
        <f>AM297+AU297+BD297</f>
        <v>5.2</v>
      </c>
      <c r="BF297" t="s">
        <v>128</v>
      </c>
      <c r="BG297">
        <v>0</v>
      </c>
      <c r="BH297">
        <v>7</v>
      </c>
      <c r="BI297">
        <v>1</v>
      </c>
      <c r="BJ297" t="s">
        <v>42</v>
      </c>
      <c r="BK297">
        <v>6</v>
      </c>
      <c r="BL297">
        <v>1</v>
      </c>
      <c r="BM297">
        <v>1</v>
      </c>
      <c r="BN297" t="s">
        <v>55</v>
      </c>
      <c r="BO297">
        <v>2</v>
      </c>
      <c r="BP297">
        <v>134</v>
      </c>
      <c r="BQ297">
        <v>0.1</v>
      </c>
      <c r="BR297">
        <v>2</v>
      </c>
      <c r="BS297">
        <v>0.2</v>
      </c>
      <c r="BT297">
        <f>BS297+BD297+AU297+AM297</f>
        <v>5.4</v>
      </c>
      <c r="BU297">
        <v>1</v>
      </c>
      <c r="BV297">
        <v>2</v>
      </c>
      <c r="BW297">
        <v>293</v>
      </c>
      <c r="BX297">
        <f>BW297/7</f>
        <v>41.857142857142854</v>
      </c>
      <c r="BY297">
        <f>0.77*BX297</f>
        <v>32.229999999999997</v>
      </c>
      <c r="BZ297">
        <f t="shared" si="4"/>
        <v>37.629999999999995</v>
      </c>
    </row>
    <row r="298" spans="1:78">
      <c r="A298" s="1">
        <v>45207.663710891204</v>
      </c>
      <c r="C298">
        <v>297</v>
      </c>
      <c r="D298" s="10">
        <v>32515</v>
      </c>
      <c r="E298">
        <v>34</v>
      </c>
      <c r="F298">
        <v>1</v>
      </c>
      <c r="G298">
        <v>1</v>
      </c>
      <c r="H298">
        <v>4</v>
      </c>
      <c r="I298" s="10">
        <v>43426</v>
      </c>
      <c r="J298">
        <v>3</v>
      </c>
      <c r="K298">
        <v>0</v>
      </c>
      <c r="L298">
        <v>2</v>
      </c>
      <c r="M298">
        <v>3330</v>
      </c>
      <c r="N298">
        <v>2</v>
      </c>
      <c r="O298" s="10">
        <v>43160</v>
      </c>
      <c r="P298">
        <v>0</v>
      </c>
      <c r="Q298">
        <v>38</v>
      </c>
      <c r="R298">
        <v>2</v>
      </c>
      <c r="S298">
        <v>58</v>
      </c>
      <c r="T298">
        <v>145</v>
      </c>
      <c r="U298">
        <v>66</v>
      </c>
      <c r="V298">
        <v>8</v>
      </c>
      <c r="W298">
        <v>2</v>
      </c>
      <c r="X298">
        <v>27.586206896551722</v>
      </c>
      <c r="Y298">
        <v>31.391200951248514</v>
      </c>
      <c r="Z298">
        <v>3.8049940546967917</v>
      </c>
      <c r="AA298">
        <v>3</v>
      </c>
      <c r="AB298">
        <v>4</v>
      </c>
      <c r="AC298" t="s">
        <v>50</v>
      </c>
      <c r="AD298">
        <v>2</v>
      </c>
      <c r="AE298">
        <v>0</v>
      </c>
      <c r="AG298">
        <v>5</v>
      </c>
      <c r="AH298">
        <v>1</v>
      </c>
      <c r="AI298">
        <v>13</v>
      </c>
      <c r="AJ298">
        <v>1</v>
      </c>
      <c r="AK298">
        <v>7</v>
      </c>
      <c r="AL298">
        <v>1</v>
      </c>
      <c r="AM298">
        <f>AJ298*AK298*AL298/7</f>
        <v>1</v>
      </c>
      <c r="AN298" t="s">
        <v>79</v>
      </c>
      <c r="AO298">
        <v>0</v>
      </c>
      <c r="AV298">
        <f>AU298+AM298</f>
        <v>1</v>
      </c>
      <c r="AX298">
        <v>0</v>
      </c>
      <c r="BE298">
        <f>AM298+AU298+BD298</f>
        <v>1</v>
      </c>
      <c r="BG298">
        <v>0</v>
      </c>
      <c r="BJ298" t="s">
        <v>42</v>
      </c>
      <c r="BK298">
        <v>6</v>
      </c>
      <c r="BL298">
        <v>1</v>
      </c>
      <c r="BM298">
        <v>1</v>
      </c>
      <c r="BN298" t="s">
        <v>30</v>
      </c>
      <c r="BO298">
        <v>1</v>
      </c>
      <c r="BP298">
        <v>168</v>
      </c>
      <c r="BQ298">
        <v>0.13</v>
      </c>
      <c r="BR298">
        <v>2</v>
      </c>
      <c r="BS298">
        <v>0.26</v>
      </c>
      <c r="BT298">
        <f>BS298+BD298+AU298+AM298</f>
        <v>1.26</v>
      </c>
      <c r="BU298">
        <v>1</v>
      </c>
      <c r="BV298">
        <v>1</v>
      </c>
      <c r="BW298">
        <v>146.5</v>
      </c>
      <c r="BX298">
        <f>BW298/7</f>
        <v>20.928571428571427</v>
      </c>
      <c r="BY298">
        <f>0.77*BX298</f>
        <v>16.114999999999998</v>
      </c>
      <c r="BZ298">
        <f t="shared" si="4"/>
        <v>17.375</v>
      </c>
    </row>
    <row r="299" spans="1:78">
      <c r="A299" s="1">
        <v>45207.670373460649</v>
      </c>
      <c r="C299">
        <v>298</v>
      </c>
      <c r="D299" s="10">
        <v>32062</v>
      </c>
      <c r="E299">
        <v>35</v>
      </c>
      <c r="F299">
        <v>1</v>
      </c>
      <c r="G299">
        <v>13</v>
      </c>
      <c r="H299">
        <v>4</v>
      </c>
      <c r="I299" s="10">
        <v>44236</v>
      </c>
      <c r="J299">
        <v>3</v>
      </c>
      <c r="K299">
        <v>0</v>
      </c>
      <c r="L299">
        <v>2</v>
      </c>
      <c r="M299">
        <v>3550</v>
      </c>
      <c r="N299">
        <v>2</v>
      </c>
      <c r="O299" s="10">
        <v>43965</v>
      </c>
      <c r="P299">
        <v>1</v>
      </c>
      <c r="Q299">
        <v>38.714285714285715</v>
      </c>
      <c r="R299">
        <v>2</v>
      </c>
      <c r="S299">
        <v>67</v>
      </c>
      <c r="T299">
        <v>162</v>
      </c>
      <c r="U299">
        <v>67</v>
      </c>
      <c r="V299">
        <v>0</v>
      </c>
      <c r="W299">
        <v>1</v>
      </c>
      <c r="X299">
        <v>25.529644871208653</v>
      </c>
      <c r="Y299">
        <v>25.529644871208653</v>
      </c>
      <c r="Z299">
        <v>0</v>
      </c>
      <c r="AA299">
        <v>3</v>
      </c>
      <c r="AB299">
        <v>3</v>
      </c>
      <c r="AC299" t="s">
        <v>50</v>
      </c>
      <c r="AD299">
        <v>2</v>
      </c>
      <c r="AE299">
        <v>1</v>
      </c>
      <c r="AF299" t="s">
        <v>249</v>
      </c>
      <c r="AG299" t="e">
        <v>#N/A</v>
      </c>
      <c r="AH299">
        <v>1</v>
      </c>
      <c r="AI299">
        <v>2</v>
      </c>
      <c r="AJ299">
        <v>5</v>
      </c>
      <c r="AK299">
        <v>7</v>
      </c>
      <c r="AL299">
        <v>1</v>
      </c>
      <c r="AM299">
        <f>AJ299*AK299*AL299/7</f>
        <v>5</v>
      </c>
      <c r="AN299" t="s">
        <v>57</v>
      </c>
      <c r="AO299">
        <v>0</v>
      </c>
      <c r="AV299">
        <f>AU299+AM299</f>
        <v>5</v>
      </c>
      <c r="AW299" t="s">
        <v>250</v>
      </c>
      <c r="AX299">
        <v>1</v>
      </c>
      <c r="AY299" t="s">
        <v>250</v>
      </c>
      <c r="AZ299">
        <v>1</v>
      </c>
      <c r="BA299">
        <v>0.8</v>
      </c>
      <c r="BB299">
        <v>7</v>
      </c>
      <c r="BC299">
        <v>1</v>
      </c>
      <c r="BD299">
        <f>BA299*BB299*1/7</f>
        <v>0.8</v>
      </c>
      <c r="BE299">
        <f>AM299+AU299+BD299</f>
        <v>5.8</v>
      </c>
      <c r="BF299" t="s">
        <v>250</v>
      </c>
      <c r="BG299">
        <v>0</v>
      </c>
      <c r="BH299">
        <v>7</v>
      </c>
      <c r="BI299">
        <v>1</v>
      </c>
      <c r="BJ299" t="s">
        <v>49</v>
      </c>
      <c r="BK299">
        <v>5</v>
      </c>
      <c r="BL299">
        <v>3</v>
      </c>
      <c r="BM299">
        <v>1</v>
      </c>
      <c r="BN299" t="s">
        <v>55</v>
      </c>
      <c r="BO299">
        <v>2</v>
      </c>
      <c r="BP299">
        <v>134</v>
      </c>
      <c r="BQ299">
        <v>0.1</v>
      </c>
      <c r="BR299">
        <v>2</v>
      </c>
      <c r="BS299">
        <v>0.2</v>
      </c>
      <c r="BT299">
        <f>BS299+BD299+AU299+AM299</f>
        <v>6</v>
      </c>
      <c r="BU299">
        <v>1</v>
      </c>
      <c r="BV299">
        <v>1</v>
      </c>
      <c r="BW299">
        <v>146.5</v>
      </c>
      <c r="BX299">
        <f>BW299/7</f>
        <v>20.928571428571427</v>
      </c>
      <c r="BY299">
        <f>0.77*BX299</f>
        <v>16.114999999999998</v>
      </c>
      <c r="BZ299">
        <f t="shared" si="4"/>
        <v>22.114999999999998</v>
      </c>
    </row>
    <row r="300" spans="1:78">
      <c r="A300" s="1">
        <v>45207.675702141205</v>
      </c>
      <c r="C300">
        <v>299</v>
      </c>
      <c r="D300" s="10">
        <v>33527</v>
      </c>
      <c r="E300">
        <v>31</v>
      </c>
      <c r="F300">
        <v>1</v>
      </c>
      <c r="G300">
        <v>1</v>
      </c>
      <c r="H300">
        <v>4</v>
      </c>
      <c r="I300" s="10">
        <v>43795</v>
      </c>
      <c r="J300">
        <v>1</v>
      </c>
      <c r="K300">
        <v>1</v>
      </c>
      <c r="L300">
        <v>1</v>
      </c>
      <c r="M300">
        <v>3710</v>
      </c>
      <c r="N300">
        <v>2</v>
      </c>
      <c r="O300" s="10">
        <v>43526</v>
      </c>
      <c r="P300">
        <v>0</v>
      </c>
      <c r="Q300">
        <v>38.428571428571431</v>
      </c>
      <c r="R300">
        <v>2</v>
      </c>
      <c r="S300">
        <v>51</v>
      </c>
      <c r="T300">
        <v>160</v>
      </c>
      <c r="U300">
        <v>65</v>
      </c>
      <c r="V300">
        <v>14</v>
      </c>
      <c r="W300">
        <v>2</v>
      </c>
      <c r="X300">
        <v>19.921874999999996</v>
      </c>
      <c r="Y300">
        <v>25.390624999999996</v>
      </c>
      <c r="Z300">
        <v>5.46875</v>
      </c>
      <c r="AA300">
        <v>2</v>
      </c>
      <c r="AB300">
        <v>3</v>
      </c>
      <c r="AC300" t="s">
        <v>106</v>
      </c>
      <c r="AD300">
        <v>2</v>
      </c>
      <c r="AE300">
        <v>0</v>
      </c>
      <c r="AG300">
        <v>5</v>
      </c>
      <c r="AH300">
        <v>0</v>
      </c>
      <c r="AI300">
        <v>0</v>
      </c>
      <c r="AN300" t="s">
        <v>121</v>
      </c>
      <c r="AO300">
        <v>0</v>
      </c>
      <c r="AW300" t="s">
        <v>252</v>
      </c>
      <c r="AX300">
        <v>0</v>
      </c>
      <c r="BF300" t="s">
        <v>252</v>
      </c>
      <c r="BG300">
        <v>1</v>
      </c>
      <c r="BH300">
        <v>7</v>
      </c>
      <c r="BI300">
        <v>1</v>
      </c>
      <c r="BJ300" t="s">
        <v>51</v>
      </c>
      <c r="BK300">
        <v>1</v>
      </c>
      <c r="BL300">
        <v>1</v>
      </c>
      <c r="BM300">
        <v>1</v>
      </c>
      <c r="BN300" t="s">
        <v>30</v>
      </c>
      <c r="BO300">
        <v>1</v>
      </c>
      <c r="BP300">
        <v>168</v>
      </c>
      <c r="BQ300">
        <v>0.13</v>
      </c>
      <c r="BR300">
        <v>2</v>
      </c>
      <c r="BS300">
        <v>0.26</v>
      </c>
      <c r="BT300">
        <f>BS300+BD300+AU300+AM300</f>
        <v>0.26</v>
      </c>
      <c r="BU300">
        <v>1</v>
      </c>
      <c r="BV300">
        <v>2</v>
      </c>
      <c r="BW300">
        <v>293</v>
      </c>
      <c r="BX300">
        <f>BW300/7</f>
        <v>41.857142857142854</v>
      </c>
      <c r="BY300">
        <f>0.77*BX300</f>
        <v>32.229999999999997</v>
      </c>
      <c r="BZ300">
        <f t="shared" si="4"/>
        <v>32.489999999999995</v>
      </c>
    </row>
    <row r="301" spans="1:78">
      <c r="A301" s="1">
        <v>45207.686911770834</v>
      </c>
      <c r="C301">
        <v>300</v>
      </c>
      <c r="D301" s="10">
        <v>32817</v>
      </c>
      <c r="E301">
        <v>33</v>
      </c>
      <c r="F301">
        <v>1</v>
      </c>
      <c r="G301">
        <v>12</v>
      </c>
      <c r="H301">
        <v>4</v>
      </c>
      <c r="I301" s="10">
        <v>44741</v>
      </c>
      <c r="J301">
        <v>1</v>
      </c>
      <c r="K301">
        <v>1</v>
      </c>
      <c r="L301">
        <v>1</v>
      </c>
      <c r="M301">
        <v>3550</v>
      </c>
      <c r="N301">
        <v>2</v>
      </c>
      <c r="O301" s="10">
        <v>44470</v>
      </c>
      <c r="P301">
        <v>1</v>
      </c>
      <c r="Q301">
        <v>38.714285714285715</v>
      </c>
      <c r="R301">
        <v>2</v>
      </c>
      <c r="S301">
        <v>72</v>
      </c>
      <c r="T301">
        <v>170</v>
      </c>
      <c r="U301">
        <v>93</v>
      </c>
      <c r="V301">
        <v>21</v>
      </c>
      <c r="W301">
        <v>3</v>
      </c>
      <c r="X301">
        <v>24.913494809688583</v>
      </c>
      <c r="Y301">
        <v>32.179930795847753</v>
      </c>
      <c r="Z301">
        <v>7.2664359861591699</v>
      </c>
      <c r="AA301">
        <v>2</v>
      </c>
      <c r="AB301">
        <v>4</v>
      </c>
      <c r="AC301" t="s">
        <v>25</v>
      </c>
      <c r="AD301">
        <v>1</v>
      </c>
      <c r="AE301">
        <v>0</v>
      </c>
      <c r="AG301">
        <v>5</v>
      </c>
      <c r="AH301">
        <v>1</v>
      </c>
      <c r="AI301">
        <v>13</v>
      </c>
      <c r="AJ301">
        <v>1</v>
      </c>
      <c r="AK301">
        <v>7</v>
      </c>
      <c r="AL301">
        <v>1</v>
      </c>
      <c r="AM301">
        <f>AJ301*AK301*AL301/7</f>
        <v>1</v>
      </c>
      <c r="AN301" t="s">
        <v>79</v>
      </c>
      <c r="AO301">
        <v>0</v>
      </c>
      <c r="AV301">
        <f>AU301+AM301</f>
        <v>1</v>
      </c>
      <c r="AX301">
        <v>0</v>
      </c>
      <c r="BE301">
        <f>AM301+AU301+BD301</f>
        <v>1</v>
      </c>
      <c r="BG301">
        <v>0</v>
      </c>
      <c r="BJ301" t="s">
        <v>28</v>
      </c>
      <c r="BK301">
        <v>3</v>
      </c>
      <c r="BL301">
        <v>1</v>
      </c>
      <c r="BM301">
        <v>1</v>
      </c>
      <c r="BN301" t="s">
        <v>253</v>
      </c>
      <c r="BO301">
        <v>9</v>
      </c>
      <c r="BP301">
        <v>236</v>
      </c>
      <c r="BQ301">
        <v>0.09</v>
      </c>
      <c r="BR301">
        <v>4</v>
      </c>
      <c r="BS301">
        <v>0.36</v>
      </c>
      <c r="BT301">
        <f>BS301+BD301+AU301+AM301</f>
        <v>1.3599999999999999</v>
      </c>
      <c r="BU301">
        <v>1</v>
      </c>
      <c r="BV301">
        <v>3</v>
      </c>
      <c r="BW301">
        <v>439.5</v>
      </c>
      <c r="BX301">
        <f>BW301/7</f>
        <v>62.785714285714285</v>
      </c>
      <c r="BY301">
        <f>0.77*BX301</f>
        <v>48.344999999999999</v>
      </c>
      <c r="BZ301">
        <f t="shared" si="4"/>
        <v>49.704999999999998</v>
      </c>
    </row>
    <row r="302" spans="1:78">
      <c r="A302" s="1">
        <v>45207.7745153125</v>
      </c>
      <c r="C302">
        <v>301</v>
      </c>
      <c r="D302" s="10">
        <v>33127</v>
      </c>
      <c r="E302">
        <v>33</v>
      </c>
      <c r="F302">
        <v>1</v>
      </c>
      <c r="G302">
        <v>1</v>
      </c>
      <c r="H302">
        <v>2</v>
      </c>
      <c r="I302" s="10">
        <v>44438</v>
      </c>
      <c r="J302">
        <v>1</v>
      </c>
      <c r="K302">
        <v>1</v>
      </c>
      <c r="L302">
        <v>1</v>
      </c>
      <c r="M302">
        <v>3290</v>
      </c>
      <c r="N302">
        <v>2</v>
      </c>
      <c r="O302" s="10">
        <v>44172</v>
      </c>
      <c r="P302">
        <v>1</v>
      </c>
      <c r="Q302">
        <v>38</v>
      </c>
      <c r="R302">
        <v>2</v>
      </c>
      <c r="S302">
        <v>105</v>
      </c>
      <c r="T302">
        <v>163</v>
      </c>
      <c r="U302">
        <v>107</v>
      </c>
      <c r="V302">
        <v>2</v>
      </c>
      <c r="W302">
        <v>1</v>
      </c>
      <c r="X302">
        <v>39.519741051601493</v>
      </c>
      <c r="Y302">
        <v>40.272498024012947</v>
      </c>
      <c r="Z302">
        <v>0.75275697241145423</v>
      </c>
      <c r="AA302">
        <v>4</v>
      </c>
      <c r="AB302">
        <v>4</v>
      </c>
      <c r="AC302" t="s">
        <v>25</v>
      </c>
      <c r="AD302">
        <v>1</v>
      </c>
      <c r="AE302">
        <v>0</v>
      </c>
      <c r="AG302">
        <v>5</v>
      </c>
      <c r="AH302">
        <v>1</v>
      </c>
      <c r="AI302">
        <v>13</v>
      </c>
      <c r="AJ302">
        <v>1</v>
      </c>
      <c r="AK302">
        <v>7</v>
      </c>
      <c r="AL302">
        <v>1</v>
      </c>
      <c r="AM302">
        <f>AJ302*AK302*AL302/7</f>
        <v>1</v>
      </c>
      <c r="AN302" t="s">
        <v>79</v>
      </c>
      <c r="AO302">
        <v>0</v>
      </c>
      <c r="AV302">
        <f>AU302+AM302</f>
        <v>1</v>
      </c>
      <c r="AX302">
        <v>0</v>
      </c>
      <c r="BE302">
        <f>AM302+AU302+BD302</f>
        <v>1</v>
      </c>
      <c r="BG302">
        <v>0</v>
      </c>
      <c r="BJ302" t="s">
        <v>49</v>
      </c>
      <c r="BK302">
        <v>5</v>
      </c>
      <c r="BL302">
        <v>1</v>
      </c>
      <c r="BM302">
        <v>1</v>
      </c>
      <c r="BN302" t="s">
        <v>30</v>
      </c>
      <c r="BO302">
        <v>1</v>
      </c>
      <c r="BP302">
        <v>168</v>
      </c>
      <c r="BQ302">
        <v>0.13</v>
      </c>
      <c r="BR302">
        <v>2</v>
      </c>
      <c r="BS302">
        <v>0.26</v>
      </c>
      <c r="BT302">
        <f>BS302+BD302+AU302+AM302</f>
        <v>1.26</v>
      </c>
      <c r="BU302">
        <v>1</v>
      </c>
      <c r="BV302">
        <v>0.5</v>
      </c>
      <c r="BW302">
        <v>73.25</v>
      </c>
      <c r="BX302">
        <f>BW302/7</f>
        <v>10.464285714285714</v>
      </c>
      <c r="BY302">
        <f>0.77*BX302</f>
        <v>8.0574999999999992</v>
      </c>
      <c r="BZ302">
        <f t="shared" si="4"/>
        <v>9.317499999999999</v>
      </c>
    </row>
    <row r="303" spans="1:78">
      <c r="A303" s="1">
        <v>45207.781065625</v>
      </c>
      <c r="C303">
        <v>302</v>
      </c>
      <c r="D303" s="10">
        <v>34677</v>
      </c>
      <c r="E303">
        <v>28</v>
      </c>
      <c r="F303">
        <v>1</v>
      </c>
      <c r="G303">
        <v>3</v>
      </c>
      <c r="H303">
        <v>3</v>
      </c>
      <c r="I303" s="10">
        <v>43531</v>
      </c>
      <c r="J303">
        <v>1</v>
      </c>
      <c r="K303">
        <v>1</v>
      </c>
      <c r="L303">
        <v>1</v>
      </c>
      <c r="M303">
        <v>4010</v>
      </c>
      <c r="N303">
        <v>3</v>
      </c>
      <c r="O303" s="10">
        <v>43265</v>
      </c>
      <c r="P303">
        <v>0</v>
      </c>
      <c r="Q303">
        <v>38</v>
      </c>
      <c r="R303">
        <v>2</v>
      </c>
      <c r="S303">
        <v>68</v>
      </c>
      <c r="T303">
        <v>160</v>
      </c>
      <c r="U303">
        <v>87</v>
      </c>
      <c r="V303">
        <v>19</v>
      </c>
      <c r="W303">
        <v>3</v>
      </c>
      <c r="X303">
        <v>26.562499999999996</v>
      </c>
      <c r="Y303">
        <v>33.984374999999993</v>
      </c>
      <c r="Z303">
        <v>7.4218749999999964</v>
      </c>
      <c r="AA303">
        <v>3</v>
      </c>
      <c r="AB303">
        <v>4</v>
      </c>
      <c r="AC303" t="s">
        <v>33</v>
      </c>
      <c r="AD303">
        <v>3</v>
      </c>
      <c r="AE303">
        <v>0</v>
      </c>
      <c r="AG303">
        <v>5</v>
      </c>
      <c r="AH303">
        <v>1</v>
      </c>
      <c r="AI303">
        <v>13</v>
      </c>
      <c r="AJ303">
        <v>1</v>
      </c>
      <c r="AK303">
        <v>7</v>
      </c>
      <c r="AL303">
        <v>1</v>
      </c>
      <c r="AM303">
        <f>AJ303*AK303*AL303/7</f>
        <v>1</v>
      </c>
      <c r="AN303" t="s">
        <v>79</v>
      </c>
      <c r="AO303">
        <v>0</v>
      </c>
      <c r="AV303">
        <f>AU303+AM303</f>
        <v>1</v>
      </c>
      <c r="AX303">
        <v>0</v>
      </c>
      <c r="BE303">
        <f>AM303+AU303+BD303</f>
        <v>1</v>
      </c>
      <c r="BG303">
        <v>0</v>
      </c>
      <c r="BJ303" t="s">
        <v>49</v>
      </c>
      <c r="BK303">
        <v>5</v>
      </c>
      <c r="BL303">
        <v>1</v>
      </c>
      <c r="BM303">
        <v>1</v>
      </c>
      <c r="BN303" t="s">
        <v>30</v>
      </c>
      <c r="BO303">
        <v>1</v>
      </c>
      <c r="BP303">
        <v>168</v>
      </c>
      <c r="BQ303">
        <v>0.13</v>
      </c>
      <c r="BR303">
        <v>2</v>
      </c>
      <c r="BS303">
        <v>0.26</v>
      </c>
      <c r="BT303">
        <f>BS303+BD303+AU303+AM303</f>
        <v>1.26</v>
      </c>
      <c r="BU303">
        <v>1</v>
      </c>
      <c r="BV303">
        <v>3</v>
      </c>
      <c r="BW303">
        <v>439.5</v>
      </c>
      <c r="BX303">
        <f>BW303/7</f>
        <v>62.785714285714285</v>
      </c>
      <c r="BY303">
        <f>0.77*BX303</f>
        <v>48.344999999999999</v>
      </c>
      <c r="BZ303">
        <f t="shared" si="4"/>
        <v>49.604999999999997</v>
      </c>
    </row>
    <row r="304" spans="1:78">
      <c r="A304" s="1">
        <v>45207.792863113427</v>
      </c>
      <c r="C304">
        <v>303</v>
      </c>
      <c r="D304" s="10">
        <v>31632</v>
      </c>
      <c r="E304">
        <v>37</v>
      </c>
      <c r="F304">
        <v>1</v>
      </c>
      <c r="G304">
        <v>1</v>
      </c>
      <c r="H304">
        <v>4</v>
      </c>
      <c r="I304" s="10">
        <v>44732</v>
      </c>
      <c r="J304">
        <v>1</v>
      </c>
      <c r="K304">
        <v>1</v>
      </c>
      <c r="L304">
        <v>1</v>
      </c>
      <c r="M304">
        <v>3396</v>
      </c>
      <c r="N304">
        <v>2</v>
      </c>
      <c r="O304" s="10">
        <v>44459</v>
      </c>
      <c r="P304">
        <v>1</v>
      </c>
      <c r="Q304">
        <v>39</v>
      </c>
      <c r="R304">
        <v>2</v>
      </c>
      <c r="S304">
        <v>64</v>
      </c>
      <c r="T304">
        <v>159</v>
      </c>
      <c r="U304">
        <v>69</v>
      </c>
      <c r="V304">
        <v>5</v>
      </c>
      <c r="W304">
        <v>1</v>
      </c>
      <c r="X304">
        <v>25.315454293738377</v>
      </c>
      <c r="Y304">
        <v>27.29322416043669</v>
      </c>
      <c r="Z304">
        <v>1.9777698666983135</v>
      </c>
      <c r="AA304">
        <v>3</v>
      </c>
      <c r="AB304">
        <v>3</v>
      </c>
      <c r="AC304" t="s">
        <v>33</v>
      </c>
      <c r="AD304">
        <v>3</v>
      </c>
      <c r="AE304">
        <v>0</v>
      </c>
      <c r="AG304">
        <v>5</v>
      </c>
      <c r="AH304">
        <v>0</v>
      </c>
      <c r="AI304">
        <v>0</v>
      </c>
      <c r="AN304" t="s">
        <v>35</v>
      </c>
      <c r="AO304">
        <v>0</v>
      </c>
      <c r="AW304" t="s">
        <v>254</v>
      </c>
      <c r="AX304">
        <v>1</v>
      </c>
      <c r="AY304" t="s">
        <v>254</v>
      </c>
      <c r="AZ304">
        <v>12</v>
      </c>
      <c r="BA304">
        <v>0.4</v>
      </c>
      <c r="BB304">
        <v>7</v>
      </c>
      <c r="BC304">
        <v>1</v>
      </c>
      <c r="BD304">
        <f>BA304*BB304*1/7</f>
        <v>0.4</v>
      </c>
      <c r="BE304">
        <f>AM304+AU304+BD304</f>
        <v>0.4</v>
      </c>
      <c r="BF304" t="s">
        <v>254</v>
      </c>
      <c r="BG304">
        <v>0</v>
      </c>
      <c r="BH304">
        <v>7</v>
      </c>
      <c r="BI304">
        <v>1</v>
      </c>
      <c r="BJ304" t="s">
        <v>42</v>
      </c>
      <c r="BK304">
        <v>6</v>
      </c>
      <c r="BL304">
        <v>1</v>
      </c>
      <c r="BM304">
        <v>1</v>
      </c>
      <c r="BN304" t="s">
        <v>30</v>
      </c>
      <c r="BO304">
        <v>1</v>
      </c>
      <c r="BP304">
        <v>42</v>
      </c>
      <c r="BQ304">
        <v>0.13</v>
      </c>
      <c r="BR304">
        <v>0.5</v>
      </c>
      <c r="BS304">
        <v>6.5000000000000002E-2</v>
      </c>
      <c r="BT304">
        <f>BS304+BD304+AU304+AM304</f>
        <v>0.46500000000000002</v>
      </c>
      <c r="BU304">
        <v>1</v>
      </c>
      <c r="BV304">
        <v>1</v>
      </c>
      <c r="BW304">
        <v>146.5</v>
      </c>
      <c r="BX304">
        <f>BW304/7</f>
        <v>20.928571428571427</v>
      </c>
      <c r="BY304">
        <f>0.77*BX304</f>
        <v>16.114999999999998</v>
      </c>
      <c r="BZ304">
        <f t="shared" si="4"/>
        <v>16.579999999999998</v>
      </c>
    </row>
    <row r="305" spans="1:78">
      <c r="A305" s="1">
        <v>45207.801930937501</v>
      </c>
      <c r="C305">
        <v>304</v>
      </c>
      <c r="D305" s="10">
        <v>30098</v>
      </c>
      <c r="E305">
        <v>41</v>
      </c>
      <c r="F305">
        <v>1</v>
      </c>
      <c r="G305">
        <v>9</v>
      </c>
      <c r="H305">
        <v>4</v>
      </c>
      <c r="I305" s="10">
        <v>43879</v>
      </c>
      <c r="J305">
        <v>2</v>
      </c>
      <c r="K305">
        <v>0</v>
      </c>
      <c r="L305">
        <v>2</v>
      </c>
      <c r="M305">
        <v>3750</v>
      </c>
      <c r="N305">
        <v>2</v>
      </c>
      <c r="O305" s="10">
        <v>43613</v>
      </c>
      <c r="P305">
        <v>0</v>
      </c>
      <c r="Q305">
        <v>38</v>
      </c>
      <c r="R305">
        <v>2</v>
      </c>
      <c r="S305">
        <v>90</v>
      </c>
      <c r="T305">
        <v>160</v>
      </c>
      <c r="U305">
        <v>100</v>
      </c>
      <c r="V305">
        <v>10</v>
      </c>
      <c r="W305">
        <v>2</v>
      </c>
      <c r="X305">
        <v>35.156249999999993</v>
      </c>
      <c r="Y305">
        <v>39.062499999999993</v>
      </c>
      <c r="Z305">
        <v>3.90625</v>
      </c>
      <c r="AA305">
        <v>4</v>
      </c>
      <c r="AB305">
        <v>4</v>
      </c>
      <c r="AC305" t="s">
        <v>44</v>
      </c>
      <c r="AD305">
        <v>1</v>
      </c>
      <c r="AE305">
        <v>0</v>
      </c>
      <c r="AG305">
        <v>5</v>
      </c>
      <c r="AH305">
        <v>1</v>
      </c>
      <c r="AI305">
        <v>4</v>
      </c>
      <c r="AJ305">
        <v>1</v>
      </c>
      <c r="AK305">
        <v>7</v>
      </c>
      <c r="AL305">
        <v>1</v>
      </c>
      <c r="AM305">
        <f>AJ305*AK305*AL305/7</f>
        <v>1</v>
      </c>
      <c r="AN305" t="s">
        <v>43</v>
      </c>
      <c r="AO305">
        <v>0</v>
      </c>
      <c r="AV305">
        <f>AU305+AM305</f>
        <v>1</v>
      </c>
      <c r="AX305">
        <v>0</v>
      </c>
      <c r="BE305">
        <f>AM305+AU305+BD305</f>
        <v>1</v>
      </c>
      <c r="BG305">
        <v>0</v>
      </c>
      <c r="BJ305" t="s">
        <v>49</v>
      </c>
      <c r="BK305">
        <v>5</v>
      </c>
      <c r="BL305">
        <v>3</v>
      </c>
      <c r="BM305">
        <v>1</v>
      </c>
      <c r="BN305" t="s">
        <v>30</v>
      </c>
      <c r="BO305">
        <v>1</v>
      </c>
      <c r="BP305">
        <v>252</v>
      </c>
      <c r="BQ305">
        <v>0.13</v>
      </c>
      <c r="BR305">
        <v>3</v>
      </c>
      <c r="BS305">
        <v>0.39</v>
      </c>
      <c r="BT305">
        <f>BS305+BD305+AU305+AM305</f>
        <v>1.3900000000000001</v>
      </c>
      <c r="BU305">
        <v>1</v>
      </c>
      <c r="BV305">
        <v>2</v>
      </c>
      <c r="BW305">
        <v>293</v>
      </c>
      <c r="BX305">
        <f>BW305/7</f>
        <v>41.857142857142854</v>
      </c>
      <c r="BY305">
        <f>0.77*BX305</f>
        <v>32.229999999999997</v>
      </c>
      <c r="BZ305">
        <f t="shared" si="4"/>
        <v>33.619999999999997</v>
      </c>
    </row>
    <row r="306" spans="1:78">
      <c r="A306" s="1">
        <v>45207.80425833333</v>
      </c>
      <c r="C306">
        <v>305</v>
      </c>
      <c r="D306" s="10">
        <v>35950</v>
      </c>
      <c r="E306">
        <v>25</v>
      </c>
      <c r="F306">
        <v>1</v>
      </c>
      <c r="G306">
        <v>1</v>
      </c>
      <c r="H306">
        <v>4</v>
      </c>
      <c r="I306" s="10">
        <v>44907</v>
      </c>
      <c r="J306">
        <v>1</v>
      </c>
      <c r="K306">
        <v>1</v>
      </c>
      <c r="L306">
        <v>2</v>
      </c>
      <c r="M306">
        <v>2925</v>
      </c>
      <c r="N306">
        <v>2</v>
      </c>
      <c r="O306" s="10">
        <v>44635</v>
      </c>
      <c r="P306">
        <v>0</v>
      </c>
      <c r="Q306">
        <v>38.857142857142854</v>
      </c>
      <c r="R306">
        <v>2</v>
      </c>
      <c r="S306">
        <v>53</v>
      </c>
      <c r="T306">
        <v>158</v>
      </c>
      <c r="U306">
        <v>65</v>
      </c>
      <c r="V306">
        <v>12</v>
      </c>
      <c r="W306">
        <v>2</v>
      </c>
      <c r="X306">
        <v>21.230572023714146</v>
      </c>
      <c r="Y306">
        <v>26.037493991347535</v>
      </c>
      <c r="Z306">
        <v>4.8069219676333894</v>
      </c>
      <c r="AA306">
        <v>2</v>
      </c>
      <c r="AB306">
        <v>3</v>
      </c>
      <c r="AC306" t="s">
        <v>33</v>
      </c>
      <c r="AD306">
        <v>3</v>
      </c>
      <c r="AE306">
        <v>0</v>
      </c>
      <c r="AG306">
        <v>5</v>
      </c>
      <c r="AH306">
        <v>1</v>
      </c>
      <c r="AI306">
        <v>4</v>
      </c>
      <c r="AJ306">
        <v>1</v>
      </c>
      <c r="AK306">
        <v>7</v>
      </c>
      <c r="AL306">
        <v>1</v>
      </c>
      <c r="AM306">
        <f>AJ306*AK306*AL306/7</f>
        <v>1</v>
      </c>
      <c r="AN306" t="s">
        <v>43</v>
      </c>
      <c r="AO306">
        <v>0</v>
      </c>
      <c r="AV306">
        <f>AU306+AM306</f>
        <v>1</v>
      </c>
      <c r="AW306" t="s">
        <v>58</v>
      </c>
      <c r="AX306">
        <v>1</v>
      </c>
      <c r="AY306" t="s">
        <v>58</v>
      </c>
      <c r="AZ306">
        <v>1</v>
      </c>
      <c r="BA306">
        <v>0.8</v>
      </c>
      <c r="BB306">
        <v>7</v>
      </c>
      <c r="BC306">
        <v>1</v>
      </c>
      <c r="BD306">
        <f>BA306*BB306*1/7</f>
        <v>0.8</v>
      </c>
      <c r="BE306">
        <f>AM306+AU306+BD306</f>
        <v>1.8</v>
      </c>
      <c r="BF306" t="s">
        <v>58</v>
      </c>
      <c r="BG306">
        <v>0</v>
      </c>
      <c r="BH306">
        <v>7</v>
      </c>
      <c r="BI306">
        <v>1</v>
      </c>
      <c r="BJ306" t="s">
        <v>49</v>
      </c>
      <c r="BK306">
        <v>5</v>
      </c>
      <c r="BL306">
        <v>1</v>
      </c>
      <c r="BM306">
        <v>1</v>
      </c>
      <c r="BN306" t="s">
        <v>55</v>
      </c>
      <c r="BO306">
        <v>2</v>
      </c>
      <c r="BP306">
        <v>67</v>
      </c>
      <c r="BQ306">
        <v>0.1</v>
      </c>
      <c r="BR306">
        <v>1</v>
      </c>
      <c r="BS306">
        <v>0.1</v>
      </c>
      <c r="BT306">
        <f>BS306+BD306+AU306+AM306</f>
        <v>1.9</v>
      </c>
      <c r="BU306">
        <v>1</v>
      </c>
      <c r="BV306">
        <v>1</v>
      </c>
      <c r="BW306">
        <v>146.5</v>
      </c>
      <c r="BX306">
        <f>BW306/7</f>
        <v>20.928571428571427</v>
      </c>
      <c r="BY306">
        <f>0.77*BX306</f>
        <v>16.114999999999998</v>
      </c>
      <c r="BZ306">
        <f t="shared" si="4"/>
        <v>18.014999999999997</v>
      </c>
    </row>
    <row r="307" spans="1:78">
      <c r="A307" s="1">
        <v>45207.812656226852</v>
      </c>
      <c r="C307">
        <v>306</v>
      </c>
      <c r="D307" s="10">
        <v>31230</v>
      </c>
      <c r="E307">
        <v>38</v>
      </c>
      <c r="F307">
        <v>1</v>
      </c>
      <c r="G307">
        <v>1</v>
      </c>
      <c r="H307">
        <v>4</v>
      </c>
      <c r="I307" s="10">
        <v>44923</v>
      </c>
      <c r="J307">
        <v>1</v>
      </c>
      <c r="K307">
        <v>1</v>
      </c>
      <c r="L307">
        <v>1</v>
      </c>
      <c r="M307">
        <v>3275</v>
      </c>
      <c r="N307">
        <v>2</v>
      </c>
      <c r="O307" s="10">
        <v>44657</v>
      </c>
      <c r="P307">
        <v>0</v>
      </c>
      <c r="Q307">
        <v>38</v>
      </c>
      <c r="R307">
        <v>2</v>
      </c>
      <c r="S307">
        <v>68.5</v>
      </c>
      <c r="T307">
        <v>171</v>
      </c>
      <c r="U307">
        <v>82</v>
      </c>
      <c r="V307">
        <v>13.5</v>
      </c>
      <c r="W307">
        <v>2</v>
      </c>
      <c r="X307">
        <v>23.426011422317981</v>
      </c>
      <c r="Y307">
        <v>28.042816593139772</v>
      </c>
      <c r="Z307">
        <v>4.6168051708217916</v>
      </c>
      <c r="AA307">
        <v>2</v>
      </c>
      <c r="AB307">
        <v>3</v>
      </c>
      <c r="AC307" t="s">
        <v>33</v>
      </c>
      <c r="AD307">
        <v>3</v>
      </c>
      <c r="AE307">
        <v>0</v>
      </c>
      <c r="AG307">
        <v>5</v>
      </c>
      <c r="AH307">
        <v>1</v>
      </c>
      <c r="AI307">
        <v>1</v>
      </c>
      <c r="AJ307">
        <v>1</v>
      </c>
      <c r="AK307">
        <v>7</v>
      </c>
      <c r="AL307">
        <v>1</v>
      </c>
      <c r="AM307">
        <f>AJ307*AK307*AL307/7</f>
        <v>1</v>
      </c>
      <c r="AN307" t="s">
        <v>256</v>
      </c>
      <c r="AO307">
        <v>0</v>
      </c>
      <c r="AV307">
        <f>AU307+AM307</f>
        <v>1</v>
      </c>
      <c r="AX307">
        <v>0</v>
      </c>
      <c r="BE307">
        <f>AM307+AU307+BD307</f>
        <v>1</v>
      </c>
      <c r="BG307">
        <v>0</v>
      </c>
      <c r="BJ307" t="s">
        <v>28</v>
      </c>
      <c r="BK307">
        <v>3</v>
      </c>
      <c r="BL307">
        <v>3</v>
      </c>
      <c r="BM307">
        <v>1</v>
      </c>
      <c r="BN307" t="s">
        <v>37</v>
      </c>
      <c r="BO307">
        <v>4</v>
      </c>
      <c r="BP307">
        <v>55</v>
      </c>
      <c r="BQ307">
        <v>0.05</v>
      </c>
      <c r="BR307">
        <v>1</v>
      </c>
      <c r="BS307">
        <v>0.05</v>
      </c>
      <c r="BT307">
        <f>BS307+BD307+AU307+AM307</f>
        <v>1.05</v>
      </c>
      <c r="BU307">
        <v>1</v>
      </c>
      <c r="BV307">
        <v>1</v>
      </c>
      <c r="BW307">
        <v>146.5</v>
      </c>
      <c r="BX307">
        <f>BW307/7</f>
        <v>20.928571428571427</v>
      </c>
      <c r="BY307">
        <f>0.77*BX307</f>
        <v>16.114999999999998</v>
      </c>
      <c r="BZ307">
        <f t="shared" si="4"/>
        <v>17.164999999999999</v>
      </c>
    </row>
    <row r="308" spans="1:78">
      <c r="A308" s="1">
        <v>45207.822203611111</v>
      </c>
      <c r="C308">
        <v>307</v>
      </c>
      <c r="D308" s="10">
        <v>34079</v>
      </c>
      <c r="E308">
        <v>30</v>
      </c>
      <c r="F308">
        <v>1</v>
      </c>
      <c r="G308">
        <v>11</v>
      </c>
      <c r="H308">
        <v>3</v>
      </c>
      <c r="I308" s="10">
        <v>45164</v>
      </c>
      <c r="J308">
        <v>4</v>
      </c>
      <c r="K308">
        <v>0</v>
      </c>
      <c r="L308">
        <v>2</v>
      </c>
      <c r="M308">
        <v>3390</v>
      </c>
      <c r="N308">
        <v>2</v>
      </c>
      <c r="O308" s="10">
        <v>44884</v>
      </c>
      <c r="P308">
        <v>0</v>
      </c>
      <c r="Q308">
        <v>40</v>
      </c>
      <c r="R308">
        <v>2</v>
      </c>
      <c r="S308">
        <v>58</v>
      </c>
      <c r="T308">
        <v>153</v>
      </c>
      <c r="U308">
        <v>67</v>
      </c>
      <c r="V308">
        <v>9</v>
      </c>
      <c r="W308">
        <v>1</v>
      </c>
      <c r="X308">
        <v>24.776795249690291</v>
      </c>
      <c r="Y308">
        <v>28.621470374642232</v>
      </c>
      <c r="Z308">
        <v>3.8446751249519409</v>
      </c>
      <c r="AA308">
        <v>2</v>
      </c>
      <c r="AB308">
        <v>3</v>
      </c>
      <c r="AC308" t="s">
        <v>33</v>
      </c>
      <c r="AD308">
        <v>3</v>
      </c>
      <c r="AE308">
        <v>0</v>
      </c>
      <c r="AG308">
        <v>5</v>
      </c>
      <c r="AH308">
        <v>1</v>
      </c>
      <c r="AI308">
        <v>4</v>
      </c>
      <c r="AJ308">
        <v>1</v>
      </c>
      <c r="AK308">
        <v>7</v>
      </c>
      <c r="AL308">
        <v>1</v>
      </c>
      <c r="AM308">
        <f>AJ308*AK308*AL308/7</f>
        <v>1</v>
      </c>
      <c r="AN308" t="s">
        <v>43</v>
      </c>
      <c r="AO308">
        <v>0</v>
      </c>
      <c r="AV308">
        <f>AU308+AM308</f>
        <v>1</v>
      </c>
      <c r="AX308">
        <v>0</v>
      </c>
      <c r="BE308">
        <f>AM308+AU308+BD308</f>
        <v>1</v>
      </c>
      <c r="BG308">
        <v>0</v>
      </c>
      <c r="BJ308" t="s">
        <v>49</v>
      </c>
      <c r="BK308">
        <v>5</v>
      </c>
      <c r="BL308">
        <v>1</v>
      </c>
      <c r="BM308">
        <v>1</v>
      </c>
      <c r="BN308" t="s">
        <v>55</v>
      </c>
      <c r="BO308">
        <v>2</v>
      </c>
      <c r="BP308">
        <v>201</v>
      </c>
      <c r="BQ308">
        <v>0.1</v>
      </c>
      <c r="BR308">
        <v>3</v>
      </c>
      <c r="BS308">
        <v>0.30000000000000004</v>
      </c>
      <c r="BT308">
        <f>BS308+BD308+AU308+AM308</f>
        <v>1.3</v>
      </c>
      <c r="BU308">
        <v>1</v>
      </c>
      <c r="BV308">
        <v>2</v>
      </c>
      <c r="BW308">
        <v>293</v>
      </c>
      <c r="BX308">
        <f>BW308/7</f>
        <v>41.857142857142854</v>
      </c>
      <c r="BY308">
        <f>0.77*BX308</f>
        <v>32.229999999999997</v>
      </c>
      <c r="BZ308">
        <f t="shared" si="4"/>
        <v>33.529999999999994</v>
      </c>
    </row>
    <row r="309" spans="1:78">
      <c r="A309" s="1">
        <v>45207.828642164357</v>
      </c>
      <c r="C309">
        <v>308</v>
      </c>
      <c r="D309" s="10">
        <v>34817</v>
      </c>
      <c r="E309">
        <v>28</v>
      </c>
      <c r="F309">
        <v>1</v>
      </c>
      <c r="G309">
        <v>10</v>
      </c>
      <c r="H309">
        <v>3</v>
      </c>
      <c r="I309" s="10">
        <v>43839</v>
      </c>
      <c r="J309">
        <v>2</v>
      </c>
      <c r="K309">
        <v>0</v>
      </c>
      <c r="L309">
        <v>1</v>
      </c>
      <c r="M309">
        <v>4400</v>
      </c>
      <c r="N309">
        <v>3</v>
      </c>
      <c r="O309" s="10">
        <v>43552</v>
      </c>
      <c r="P309">
        <v>0</v>
      </c>
      <c r="Q309">
        <v>41</v>
      </c>
      <c r="R309">
        <v>2</v>
      </c>
      <c r="S309">
        <v>69</v>
      </c>
      <c r="T309">
        <v>164</v>
      </c>
      <c r="U309">
        <v>85</v>
      </c>
      <c r="V309">
        <v>16</v>
      </c>
      <c r="W309">
        <v>3</v>
      </c>
      <c r="X309">
        <v>25.654372397382513</v>
      </c>
      <c r="Y309">
        <v>31.603212373587155</v>
      </c>
      <c r="Z309">
        <v>5.948839976204642</v>
      </c>
      <c r="AA309">
        <v>3</v>
      </c>
      <c r="AB309">
        <v>4</v>
      </c>
      <c r="AC309" t="s">
        <v>50</v>
      </c>
      <c r="AD309">
        <v>2</v>
      </c>
      <c r="AE309">
        <v>0</v>
      </c>
      <c r="AG309">
        <v>5</v>
      </c>
      <c r="AH309">
        <v>0</v>
      </c>
      <c r="AI309">
        <v>0</v>
      </c>
      <c r="AN309" t="s">
        <v>121</v>
      </c>
      <c r="AO309">
        <v>0</v>
      </c>
      <c r="AX309">
        <v>0</v>
      </c>
      <c r="BG309">
        <v>0</v>
      </c>
      <c r="BJ309" t="s">
        <v>51</v>
      </c>
      <c r="BK309">
        <v>1</v>
      </c>
      <c r="BL309">
        <v>1</v>
      </c>
      <c r="BM309">
        <v>1</v>
      </c>
      <c r="BN309" t="s">
        <v>55</v>
      </c>
      <c r="BO309">
        <v>2</v>
      </c>
      <c r="BP309">
        <v>201</v>
      </c>
      <c r="BQ309">
        <v>0.1</v>
      </c>
      <c r="BR309">
        <v>3</v>
      </c>
      <c r="BS309">
        <v>0.30000000000000004</v>
      </c>
      <c r="BT309">
        <f>BS309+BD309+AU309+AM309</f>
        <v>0.30000000000000004</v>
      </c>
      <c r="BU309">
        <v>1</v>
      </c>
      <c r="BV309">
        <v>3</v>
      </c>
      <c r="BW309">
        <v>439.5</v>
      </c>
      <c r="BX309">
        <f>BW309/7</f>
        <v>62.785714285714285</v>
      </c>
      <c r="BY309">
        <f>0.77*BX309</f>
        <v>48.344999999999999</v>
      </c>
      <c r="BZ309">
        <f t="shared" si="4"/>
        <v>48.644999999999996</v>
      </c>
    </row>
    <row r="310" spans="1:78">
      <c r="A310" s="1">
        <v>45207.882699745373</v>
      </c>
      <c r="C310">
        <v>309</v>
      </c>
      <c r="D310" s="10">
        <v>32304</v>
      </c>
      <c r="E310">
        <v>35</v>
      </c>
      <c r="F310">
        <v>1</v>
      </c>
      <c r="G310">
        <v>10</v>
      </c>
      <c r="H310">
        <v>4</v>
      </c>
      <c r="I310" s="10">
        <v>45005</v>
      </c>
      <c r="J310">
        <v>2</v>
      </c>
      <c r="K310">
        <v>0</v>
      </c>
      <c r="L310">
        <v>1</v>
      </c>
      <c r="M310">
        <v>3500</v>
      </c>
      <c r="N310">
        <v>2</v>
      </c>
      <c r="O310" s="10">
        <v>44739</v>
      </c>
      <c r="P310">
        <v>0</v>
      </c>
      <c r="Q310">
        <v>38</v>
      </c>
      <c r="R310">
        <v>2</v>
      </c>
      <c r="S310">
        <v>78</v>
      </c>
      <c r="T310">
        <v>174</v>
      </c>
      <c r="U310">
        <v>88</v>
      </c>
      <c r="V310">
        <v>10</v>
      </c>
      <c r="W310">
        <v>2</v>
      </c>
      <c r="X310">
        <v>25.762980578676178</v>
      </c>
      <c r="Y310">
        <v>29.065926806711587</v>
      </c>
      <c r="Z310">
        <v>3.3029462280354096</v>
      </c>
      <c r="AA310">
        <v>3</v>
      </c>
      <c r="AB310">
        <v>3</v>
      </c>
      <c r="AC310" t="s">
        <v>33</v>
      </c>
      <c r="AD310">
        <v>3</v>
      </c>
      <c r="AE310">
        <v>0</v>
      </c>
      <c r="AG310">
        <v>5</v>
      </c>
      <c r="AH310">
        <v>0</v>
      </c>
      <c r="AI310">
        <v>0</v>
      </c>
      <c r="AN310" t="s">
        <v>41</v>
      </c>
      <c r="AO310">
        <v>0</v>
      </c>
      <c r="AW310" t="s">
        <v>95</v>
      </c>
      <c r="AX310">
        <v>1</v>
      </c>
      <c r="AY310" t="s">
        <v>882</v>
      </c>
      <c r="AZ310">
        <v>1</v>
      </c>
      <c r="BA310">
        <v>0.8</v>
      </c>
      <c r="BB310">
        <v>7</v>
      </c>
      <c r="BC310">
        <v>1</v>
      </c>
      <c r="BD310">
        <f>BA310*BB310*1/7</f>
        <v>0.8</v>
      </c>
      <c r="BE310">
        <f>AM310+AU310+BD310</f>
        <v>0.8</v>
      </c>
      <c r="BF310" t="s">
        <v>882</v>
      </c>
      <c r="BG310">
        <v>0</v>
      </c>
      <c r="BH310">
        <v>7</v>
      </c>
      <c r="BI310">
        <v>1</v>
      </c>
      <c r="BJ310" t="s">
        <v>42</v>
      </c>
      <c r="BK310">
        <v>6</v>
      </c>
      <c r="BL310">
        <v>1</v>
      </c>
      <c r="BM310">
        <v>1</v>
      </c>
      <c r="BN310" t="s">
        <v>30</v>
      </c>
      <c r="BO310">
        <v>1</v>
      </c>
      <c r="BP310">
        <v>168</v>
      </c>
      <c r="BQ310">
        <v>0.13</v>
      </c>
      <c r="BR310">
        <v>2</v>
      </c>
      <c r="BS310">
        <v>0.26</v>
      </c>
      <c r="BT310">
        <f>BS310+BD310+AU310+AM310</f>
        <v>1.06</v>
      </c>
      <c r="BU310">
        <v>1</v>
      </c>
      <c r="BV310">
        <v>2</v>
      </c>
      <c r="BW310">
        <v>293</v>
      </c>
      <c r="BX310">
        <f>BW310/7</f>
        <v>41.857142857142854</v>
      </c>
      <c r="BY310">
        <f>0.77*BX310</f>
        <v>32.229999999999997</v>
      </c>
      <c r="BZ310">
        <f t="shared" si="4"/>
        <v>33.29</v>
      </c>
    </row>
    <row r="311" spans="1:78">
      <c r="A311" s="1">
        <v>45207.885788541666</v>
      </c>
      <c r="C311">
        <v>310</v>
      </c>
      <c r="D311" s="10">
        <v>30052</v>
      </c>
      <c r="E311">
        <v>41</v>
      </c>
      <c r="F311">
        <v>1</v>
      </c>
      <c r="G311">
        <v>7</v>
      </c>
      <c r="H311">
        <v>4</v>
      </c>
      <c r="I311" s="10">
        <v>44130</v>
      </c>
      <c r="J311">
        <v>2</v>
      </c>
      <c r="K311">
        <v>0</v>
      </c>
      <c r="L311">
        <v>1</v>
      </c>
      <c r="M311">
        <v>2780</v>
      </c>
      <c r="N311">
        <v>2</v>
      </c>
      <c r="O311" s="10">
        <v>43871</v>
      </c>
      <c r="P311">
        <v>0</v>
      </c>
      <c r="Q311">
        <v>37</v>
      </c>
      <c r="R311">
        <v>2</v>
      </c>
      <c r="S311">
        <v>60</v>
      </c>
      <c r="T311">
        <v>154</v>
      </c>
      <c r="U311">
        <v>68</v>
      </c>
      <c r="V311">
        <v>8</v>
      </c>
      <c r="W311">
        <v>2</v>
      </c>
      <c r="X311">
        <v>25.299375948726599</v>
      </c>
      <c r="Y311">
        <v>28.67262607522348</v>
      </c>
      <c r="Z311">
        <v>3.3732501264968811</v>
      </c>
      <c r="AA311">
        <v>3</v>
      </c>
      <c r="AB311">
        <v>3</v>
      </c>
      <c r="AC311" t="s">
        <v>33</v>
      </c>
      <c r="AD311">
        <v>3</v>
      </c>
      <c r="AE311">
        <v>0</v>
      </c>
      <c r="AG311">
        <v>5</v>
      </c>
      <c r="AH311">
        <v>0</v>
      </c>
      <c r="AI311">
        <v>0</v>
      </c>
      <c r="AN311" t="s">
        <v>41</v>
      </c>
      <c r="AO311">
        <v>0</v>
      </c>
      <c r="AW311" t="s">
        <v>58</v>
      </c>
      <c r="AX311">
        <v>1</v>
      </c>
      <c r="AY311" t="s">
        <v>58</v>
      </c>
      <c r="AZ311">
        <v>1</v>
      </c>
      <c r="BA311">
        <v>0.8</v>
      </c>
      <c r="BB311">
        <v>7</v>
      </c>
      <c r="BC311">
        <v>1</v>
      </c>
      <c r="BD311">
        <f>BA311*BB311*1/7</f>
        <v>0.8</v>
      </c>
      <c r="BE311">
        <f>AM311+AU311+BD311</f>
        <v>0.8</v>
      </c>
      <c r="BF311" t="s">
        <v>58</v>
      </c>
      <c r="BG311">
        <v>0</v>
      </c>
      <c r="BH311">
        <v>7</v>
      </c>
      <c r="BI311">
        <v>1</v>
      </c>
      <c r="BJ311" t="s">
        <v>42</v>
      </c>
      <c r="BK311">
        <v>6</v>
      </c>
      <c r="BL311">
        <v>1</v>
      </c>
      <c r="BM311">
        <v>1</v>
      </c>
      <c r="BN311" t="s">
        <v>30</v>
      </c>
      <c r="BO311">
        <v>1</v>
      </c>
      <c r="BP311">
        <v>84</v>
      </c>
      <c r="BQ311">
        <v>0.13</v>
      </c>
      <c r="BR311">
        <v>1</v>
      </c>
      <c r="BS311">
        <v>0.13</v>
      </c>
      <c r="BT311">
        <f>BS311+BD311+AU311+AM311</f>
        <v>0.93</v>
      </c>
      <c r="BU311">
        <v>1</v>
      </c>
      <c r="BV311">
        <v>1</v>
      </c>
      <c r="BW311">
        <v>146.5</v>
      </c>
      <c r="BX311">
        <f>BW311/7</f>
        <v>20.928571428571427</v>
      </c>
      <c r="BY311">
        <f>0.77*BX311</f>
        <v>16.114999999999998</v>
      </c>
      <c r="BZ311">
        <f t="shared" si="4"/>
        <v>17.044999999999998</v>
      </c>
    </row>
    <row r="312" spans="1:78">
      <c r="A312" s="1">
        <v>45207.89068975694</v>
      </c>
      <c r="C312">
        <v>311</v>
      </c>
      <c r="D312" s="10">
        <v>35774</v>
      </c>
      <c r="E312">
        <v>25</v>
      </c>
      <c r="F312">
        <v>1</v>
      </c>
      <c r="G312">
        <v>1</v>
      </c>
      <c r="H312">
        <v>4</v>
      </c>
      <c r="I312" s="10">
        <v>45057</v>
      </c>
      <c r="J312">
        <v>1</v>
      </c>
      <c r="K312">
        <v>1</v>
      </c>
      <c r="L312">
        <v>2</v>
      </c>
      <c r="M312">
        <v>3950</v>
      </c>
      <c r="N312">
        <v>2</v>
      </c>
      <c r="O312" s="10">
        <v>44792</v>
      </c>
      <c r="P312">
        <v>0</v>
      </c>
      <c r="Q312">
        <v>37.857142857142854</v>
      </c>
      <c r="R312">
        <v>2</v>
      </c>
      <c r="S312">
        <v>62</v>
      </c>
      <c r="T312">
        <v>159</v>
      </c>
      <c r="U312">
        <v>74</v>
      </c>
      <c r="V312">
        <v>12</v>
      </c>
      <c r="W312">
        <v>2</v>
      </c>
      <c r="X312">
        <v>24.524346347059055</v>
      </c>
      <c r="Y312">
        <v>29.270994027135</v>
      </c>
      <c r="Z312">
        <v>4.7466476800759452</v>
      </c>
      <c r="AA312">
        <v>2</v>
      </c>
      <c r="AB312">
        <v>3</v>
      </c>
      <c r="AC312" t="s">
        <v>33</v>
      </c>
      <c r="AD312">
        <v>3</v>
      </c>
      <c r="AE312">
        <v>0</v>
      </c>
      <c r="AG312">
        <v>5</v>
      </c>
      <c r="AH312">
        <v>1</v>
      </c>
      <c r="AI312">
        <v>13</v>
      </c>
      <c r="AJ312">
        <v>1</v>
      </c>
      <c r="AK312">
        <v>7</v>
      </c>
      <c r="AL312">
        <v>1</v>
      </c>
      <c r="AM312">
        <f>AJ312*AK312*AL312/7</f>
        <v>1</v>
      </c>
      <c r="AN312" t="s">
        <v>79</v>
      </c>
      <c r="AO312">
        <v>0</v>
      </c>
      <c r="AV312">
        <f>AU312+AM312</f>
        <v>1</v>
      </c>
      <c r="AX312">
        <v>0</v>
      </c>
      <c r="BE312">
        <f>AM312+AU312+BD312</f>
        <v>1</v>
      </c>
      <c r="BG312">
        <v>0</v>
      </c>
      <c r="BJ312" t="s">
        <v>42</v>
      </c>
      <c r="BK312">
        <v>6</v>
      </c>
      <c r="BL312">
        <v>1</v>
      </c>
      <c r="BM312">
        <v>1</v>
      </c>
      <c r="BN312" t="s">
        <v>30</v>
      </c>
      <c r="BO312">
        <v>1</v>
      </c>
      <c r="BP312">
        <v>42</v>
      </c>
      <c r="BQ312">
        <v>0.13</v>
      </c>
      <c r="BR312">
        <v>0.5</v>
      </c>
      <c r="BS312">
        <v>6.5000000000000002E-2</v>
      </c>
      <c r="BT312">
        <f>BS312+BD312+AU312+AM312</f>
        <v>1.0649999999999999</v>
      </c>
      <c r="BU312">
        <v>1</v>
      </c>
      <c r="BV312">
        <v>1</v>
      </c>
      <c r="BW312">
        <v>146.5</v>
      </c>
      <c r="BX312">
        <f>BW312/7</f>
        <v>20.928571428571427</v>
      </c>
      <c r="BY312">
        <f>0.77*BX312</f>
        <v>16.114999999999998</v>
      </c>
      <c r="BZ312">
        <f t="shared" si="4"/>
        <v>17.18</v>
      </c>
    </row>
    <row r="313" spans="1:78">
      <c r="A313" s="1">
        <v>45207.894413043978</v>
      </c>
      <c r="C313">
        <v>312</v>
      </c>
      <c r="D313" s="10">
        <v>33427</v>
      </c>
      <c r="E313">
        <v>32</v>
      </c>
      <c r="F313">
        <v>1</v>
      </c>
      <c r="G313">
        <v>1</v>
      </c>
      <c r="H313">
        <v>3</v>
      </c>
      <c r="I313" s="10">
        <v>43094</v>
      </c>
      <c r="J313">
        <v>3</v>
      </c>
      <c r="K313">
        <v>0</v>
      </c>
      <c r="L313">
        <v>1</v>
      </c>
      <c r="M313">
        <v>3480</v>
      </c>
      <c r="N313">
        <v>2</v>
      </c>
      <c r="O313" s="10">
        <v>42828</v>
      </c>
      <c r="P313">
        <v>0</v>
      </c>
      <c r="Q313">
        <v>38</v>
      </c>
      <c r="R313">
        <v>2</v>
      </c>
      <c r="S313">
        <v>80</v>
      </c>
      <c r="T313">
        <v>158</v>
      </c>
      <c r="U313">
        <v>92</v>
      </c>
      <c r="V313">
        <v>12</v>
      </c>
      <c r="W313">
        <v>3</v>
      </c>
      <c r="X313">
        <v>32.046146450889275</v>
      </c>
      <c r="Y313">
        <v>36.853068418522668</v>
      </c>
      <c r="Z313">
        <v>4.806921967633393</v>
      </c>
      <c r="AA313">
        <v>4</v>
      </c>
      <c r="AB313">
        <v>4</v>
      </c>
      <c r="AC313" t="s">
        <v>40</v>
      </c>
      <c r="AD313">
        <v>2</v>
      </c>
      <c r="AE313">
        <v>0</v>
      </c>
      <c r="AG313">
        <v>5</v>
      </c>
      <c r="AH313">
        <v>1</v>
      </c>
      <c r="AI313">
        <v>13</v>
      </c>
      <c r="AJ313">
        <v>1</v>
      </c>
      <c r="AK313">
        <v>7</v>
      </c>
      <c r="AL313">
        <v>1</v>
      </c>
      <c r="AM313">
        <f>AJ313*AK313*AL313/7</f>
        <v>1</v>
      </c>
      <c r="AN313" t="s">
        <v>79</v>
      </c>
      <c r="AO313">
        <v>0</v>
      </c>
      <c r="AV313">
        <f>AU313+AM313</f>
        <v>1</v>
      </c>
      <c r="AX313">
        <v>0</v>
      </c>
      <c r="BE313">
        <f>AM313+AU313+BD313</f>
        <v>1</v>
      </c>
      <c r="BG313">
        <v>0</v>
      </c>
      <c r="BJ313" t="s">
        <v>49</v>
      </c>
      <c r="BK313">
        <v>5</v>
      </c>
      <c r="BL313">
        <v>1</v>
      </c>
      <c r="BM313">
        <v>1</v>
      </c>
      <c r="BN313" t="s">
        <v>30</v>
      </c>
      <c r="BO313">
        <v>1</v>
      </c>
      <c r="BP313">
        <v>168</v>
      </c>
      <c r="BQ313">
        <v>0.13</v>
      </c>
      <c r="BR313">
        <v>2</v>
      </c>
      <c r="BS313">
        <v>0.26</v>
      </c>
      <c r="BT313">
        <f>BS313+BD313+AU313+AM313</f>
        <v>1.26</v>
      </c>
      <c r="BU313">
        <v>1</v>
      </c>
      <c r="BV313">
        <v>2</v>
      </c>
      <c r="BW313">
        <v>293</v>
      </c>
      <c r="BX313">
        <f>BW313/7</f>
        <v>41.857142857142854</v>
      </c>
      <c r="BY313">
        <f>0.77*BX313</f>
        <v>32.229999999999997</v>
      </c>
      <c r="BZ313">
        <f t="shared" si="4"/>
        <v>33.489999999999995</v>
      </c>
    </row>
    <row r="314" spans="1:78">
      <c r="A314" s="1">
        <v>45207.894585104164</v>
      </c>
      <c r="C314">
        <v>313</v>
      </c>
      <c r="D314" s="10">
        <v>32149</v>
      </c>
      <c r="E314">
        <v>35</v>
      </c>
      <c r="F314">
        <v>1</v>
      </c>
      <c r="G314">
        <v>1</v>
      </c>
      <c r="H314">
        <v>4</v>
      </c>
      <c r="I314" s="10">
        <v>44922</v>
      </c>
      <c r="J314">
        <v>1</v>
      </c>
      <c r="K314">
        <v>1</v>
      </c>
      <c r="L314">
        <v>1</v>
      </c>
      <c r="M314">
        <v>3715</v>
      </c>
      <c r="N314">
        <v>2</v>
      </c>
      <c r="O314" s="10">
        <v>44642</v>
      </c>
      <c r="P314">
        <v>0</v>
      </c>
      <c r="Q314">
        <v>40</v>
      </c>
      <c r="R314">
        <v>2</v>
      </c>
      <c r="S314">
        <v>63</v>
      </c>
      <c r="T314">
        <v>160</v>
      </c>
      <c r="U314">
        <v>72</v>
      </c>
      <c r="V314">
        <v>9</v>
      </c>
      <c r="W314">
        <v>1</v>
      </c>
      <c r="X314">
        <v>24.609374999999996</v>
      </c>
      <c r="Y314">
        <v>28.124999999999993</v>
      </c>
      <c r="Z314">
        <v>3.5156249999999964</v>
      </c>
      <c r="AA314">
        <v>2</v>
      </c>
      <c r="AB314">
        <v>3</v>
      </c>
      <c r="AC314" t="s">
        <v>33</v>
      </c>
      <c r="AD314">
        <v>3</v>
      </c>
      <c r="AE314">
        <v>0</v>
      </c>
      <c r="AG314">
        <v>5</v>
      </c>
      <c r="AH314">
        <v>1</v>
      </c>
      <c r="AI314">
        <v>5</v>
      </c>
      <c r="AJ314">
        <v>5</v>
      </c>
      <c r="AK314">
        <v>7</v>
      </c>
      <c r="AL314">
        <v>1</v>
      </c>
      <c r="AM314">
        <f>AJ314*AK314*AL314/7</f>
        <v>5</v>
      </c>
      <c r="AN314" t="s">
        <v>27</v>
      </c>
      <c r="AO314">
        <v>0</v>
      </c>
      <c r="AV314">
        <f>AU314+AM314</f>
        <v>5</v>
      </c>
      <c r="AX314">
        <v>0</v>
      </c>
      <c r="BE314">
        <f>AM314+AU314+BD314</f>
        <v>5</v>
      </c>
      <c r="BG314">
        <v>0</v>
      </c>
      <c r="BJ314" t="s">
        <v>28</v>
      </c>
      <c r="BK314">
        <v>3</v>
      </c>
      <c r="BL314">
        <v>1</v>
      </c>
      <c r="BM314">
        <v>1</v>
      </c>
      <c r="BN314" t="s">
        <v>30</v>
      </c>
      <c r="BO314">
        <v>1</v>
      </c>
      <c r="BP314">
        <v>252</v>
      </c>
      <c r="BQ314">
        <v>0.13</v>
      </c>
      <c r="BR314">
        <v>3</v>
      </c>
      <c r="BS314">
        <v>0.39</v>
      </c>
      <c r="BT314">
        <f>BS314+BD314+AU314+AM314</f>
        <v>5.39</v>
      </c>
      <c r="BU314">
        <v>1</v>
      </c>
      <c r="BV314">
        <v>2</v>
      </c>
      <c r="BW314">
        <v>293</v>
      </c>
      <c r="BX314">
        <f>BW314/7</f>
        <v>41.857142857142854</v>
      </c>
      <c r="BY314">
        <f>0.77*BX314</f>
        <v>32.229999999999997</v>
      </c>
      <c r="BZ314">
        <f t="shared" si="4"/>
        <v>37.619999999999997</v>
      </c>
    </row>
    <row r="315" spans="1:78">
      <c r="A315" s="1">
        <v>45207.90049792824</v>
      </c>
      <c r="C315">
        <v>314</v>
      </c>
      <c r="D315" s="10">
        <v>31889</v>
      </c>
      <c r="E315">
        <v>36</v>
      </c>
      <c r="F315">
        <v>1</v>
      </c>
      <c r="G315">
        <v>1</v>
      </c>
      <c r="H315">
        <v>4</v>
      </c>
      <c r="I315" s="10">
        <v>44364</v>
      </c>
      <c r="J315">
        <v>1</v>
      </c>
      <c r="K315">
        <v>1</v>
      </c>
      <c r="L315">
        <v>2</v>
      </c>
      <c r="M315">
        <v>3740</v>
      </c>
      <c r="N315">
        <v>2</v>
      </c>
      <c r="O315" s="10">
        <v>44091</v>
      </c>
      <c r="P315">
        <v>1</v>
      </c>
      <c r="Q315">
        <v>39</v>
      </c>
      <c r="R315">
        <v>2</v>
      </c>
      <c r="S315">
        <v>70</v>
      </c>
      <c r="T315">
        <v>164</v>
      </c>
      <c r="U315">
        <v>80</v>
      </c>
      <c r="V315">
        <v>10</v>
      </c>
      <c r="W315">
        <v>2</v>
      </c>
      <c r="X315">
        <v>26.026174895895306</v>
      </c>
      <c r="Y315">
        <v>29.744199881023206</v>
      </c>
      <c r="Z315">
        <v>3.7180249851279008</v>
      </c>
      <c r="AA315">
        <v>3</v>
      </c>
      <c r="AB315">
        <v>3</v>
      </c>
      <c r="AC315" t="s">
        <v>33</v>
      </c>
      <c r="AD315">
        <v>3</v>
      </c>
      <c r="AE315">
        <v>0</v>
      </c>
      <c r="AG315">
        <v>5</v>
      </c>
      <c r="AH315">
        <v>1</v>
      </c>
      <c r="AI315">
        <v>13</v>
      </c>
      <c r="AJ315">
        <v>1</v>
      </c>
      <c r="AK315">
        <v>7</v>
      </c>
      <c r="AL315">
        <v>1</v>
      </c>
      <c r="AM315">
        <f>AJ315*AK315*AL315/7</f>
        <v>1</v>
      </c>
      <c r="AN315" t="s">
        <v>79</v>
      </c>
      <c r="AO315">
        <v>0</v>
      </c>
      <c r="AV315">
        <f>AU315+AM315</f>
        <v>1</v>
      </c>
      <c r="AX315">
        <v>0</v>
      </c>
      <c r="BE315">
        <f>AM315+AU315+BD315</f>
        <v>1</v>
      </c>
      <c r="BG315">
        <v>0</v>
      </c>
      <c r="BJ315" t="s">
        <v>49</v>
      </c>
      <c r="BK315">
        <v>5</v>
      </c>
      <c r="BL315">
        <v>1</v>
      </c>
      <c r="BM315">
        <v>1</v>
      </c>
      <c r="BN315" t="s">
        <v>30</v>
      </c>
      <c r="BO315">
        <v>1</v>
      </c>
      <c r="BP315">
        <v>84</v>
      </c>
      <c r="BQ315">
        <v>0.13</v>
      </c>
      <c r="BR315">
        <v>1</v>
      </c>
      <c r="BS315">
        <v>0.13</v>
      </c>
      <c r="BT315">
        <f>BS315+BD315+AU315+AM315</f>
        <v>1.1299999999999999</v>
      </c>
      <c r="BU315">
        <v>1</v>
      </c>
      <c r="BV315">
        <v>2</v>
      </c>
      <c r="BW315">
        <v>293</v>
      </c>
      <c r="BX315">
        <f>BW315/7</f>
        <v>41.857142857142854</v>
      </c>
      <c r="BY315">
        <f>0.77*BX315</f>
        <v>32.229999999999997</v>
      </c>
      <c r="BZ315">
        <f t="shared" si="4"/>
        <v>33.36</v>
      </c>
    </row>
    <row r="316" spans="1:78">
      <c r="A316" s="1">
        <v>45207.90214943287</v>
      </c>
      <c r="C316">
        <v>315</v>
      </c>
      <c r="D316" s="10">
        <v>31193</v>
      </c>
      <c r="E316">
        <v>38</v>
      </c>
      <c r="F316">
        <v>1</v>
      </c>
      <c r="G316">
        <v>12</v>
      </c>
      <c r="H316">
        <v>2</v>
      </c>
      <c r="I316" s="10">
        <v>43364</v>
      </c>
      <c r="J316">
        <v>3</v>
      </c>
      <c r="K316">
        <v>0</v>
      </c>
      <c r="L316">
        <v>1</v>
      </c>
      <c r="M316">
        <v>3170</v>
      </c>
      <c r="N316">
        <v>2</v>
      </c>
      <c r="O316" s="10">
        <v>43105</v>
      </c>
      <c r="P316">
        <v>0</v>
      </c>
      <c r="Q316">
        <v>37</v>
      </c>
      <c r="R316">
        <v>2</v>
      </c>
      <c r="S316">
        <v>72</v>
      </c>
      <c r="T316">
        <v>158</v>
      </c>
      <c r="U316">
        <v>85</v>
      </c>
      <c r="V316">
        <v>13</v>
      </c>
      <c r="W316">
        <v>3</v>
      </c>
      <c r="X316">
        <v>28.841531805800347</v>
      </c>
      <c r="Y316">
        <v>34.049030604069856</v>
      </c>
      <c r="Z316">
        <v>5.2074987982695085</v>
      </c>
      <c r="AA316">
        <v>3</v>
      </c>
      <c r="AB316">
        <v>4</v>
      </c>
      <c r="AC316" t="s">
        <v>50</v>
      </c>
      <c r="AD316">
        <v>2</v>
      </c>
      <c r="AE316">
        <v>0</v>
      </c>
      <c r="AG316">
        <v>5</v>
      </c>
      <c r="AH316">
        <v>1</v>
      </c>
      <c r="AI316">
        <v>13</v>
      </c>
      <c r="AJ316">
        <v>1</v>
      </c>
      <c r="AK316">
        <v>7</v>
      </c>
      <c r="AL316">
        <v>1</v>
      </c>
      <c r="AM316">
        <f>AJ316*AK316*AL316/7</f>
        <v>1</v>
      </c>
      <c r="AN316" t="s">
        <v>79</v>
      </c>
      <c r="AO316">
        <v>0</v>
      </c>
      <c r="AV316">
        <f>AU316+AM316</f>
        <v>1</v>
      </c>
      <c r="AX316">
        <v>0</v>
      </c>
      <c r="BE316">
        <f>AM316+AU316+BD316</f>
        <v>1</v>
      </c>
      <c r="BG316">
        <v>0</v>
      </c>
      <c r="BJ316" t="s">
        <v>54</v>
      </c>
      <c r="BK316">
        <v>2</v>
      </c>
      <c r="BL316">
        <v>1</v>
      </c>
      <c r="BM316">
        <v>1</v>
      </c>
      <c r="BN316" t="s">
        <v>55</v>
      </c>
      <c r="BO316">
        <v>2</v>
      </c>
      <c r="BP316">
        <v>67</v>
      </c>
      <c r="BQ316">
        <v>0.1</v>
      </c>
      <c r="BR316">
        <v>1</v>
      </c>
      <c r="BS316">
        <v>0.1</v>
      </c>
      <c r="BT316">
        <f>BS316+BD316+AU316+AM316</f>
        <v>1.1000000000000001</v>
      </c>
      <c r="BU316">
        <v>1</v>
      </c>
      <c r="BV316">
        <v>2</v>
      </c>
      <c r="BW316">
        <v>293</v>
      </c>
      <c r="BX316">
        <f>BW316/7</f>
        <v>41.857142857142854</v>
      </c>
      <c r="BY316">
        <f>0.77*BX316</f>
        <v>32.229999999999997</v>
      </c>
      <c r="BZ316">
        <f t="shared" si="4"/>
        <v>33.33</v>
      </c>
    </row>
    <row r="317" spans="1:78">
      <c r="A317" s="1">
        <v>45207.905786319447</v>
      </c>
      <c r="B317" t="s">
        <v>865</v>
      </c>
      <c r="C317">
        <v>316</v>
      </c>
      <c r="D317" s="10">
        <v>33710</v>
      </c>
      <c r="E317">
        <v>31</v>
      </c>
      <c r="F317">
        <v>1</v>
      </c>
      <c r="G317">
        <v>1</v>
      </c>
      <c r="H317">
        <v>5</v>
      </c>
      <c r="I317" s="10">
        <v>43986</v>
      </c>
      <c r="J317">
        <v>1</v>
      </c>
      <c r="K317">
        <v>1</v>
      </c>
      <c r="L317">
        <v>2</v>
      </c>
      <c r="M317">
        <v>3500</v>
      </c>
      <c r="N317">
        <v>2</v>
      </c>
      <c r="O317" s="10">
        <v>43708</v>
      </c>
      <c r="P317">
        <v>0</v>
      </c>
      <c r="Q317">
        <v>39.714285714285715</v>
      </c>
      <c r="R317">
        <v>2</v>
      </c>
      <c r="S317">
        <v>54</v>
      </c>
      <c r="T317">
        <v>162</v>
      </c>
      <c r="U317">
        <v>66</v>
      </c>
      <c r="V317">
        <v>12</v>
      </c>
      <c r="W317">
        <v>2</v>
      </c>
      <c r="X317">
        <v>20.576131687242793</v>
      </c>
      <c r="Y317">
        <v>25.14860539551897</v>
      </c>
      <c r="Z317">
        <v>4.5724737082761777</v>
      </c>
      <c r="AA317">
        <v>2</v>
      </c>
      <c r="AB317">
        <v>3</v>
      </c>
      <c r="AC317" t="s">
        <v>33</v>
      </c>
      <c r="AD317">
        <v>3</v>
      </c>
      <c r="AE317">
        <v>0</v>
      </c>
      <c r="AG317">
        <v>5</v>
      </c>
      <c r="AH317">
        <v>1</v>
      </c>
      <c r="AI317">
        <v>4</v>
      </c>
      <c r="AJ317">
        <v>1</v>
      </c>
      <c r="AK317">
        <v>7</v>
      </c>
      <c r="AL317">
        <v>1</v>
      </c>
      <c r="AM317">
        <f>AJ317*AK317*AL317/7</f>
        <v>1</v>
      </c>
      <c r="AN317" t="s">
        <v>43</v>
      </c>
      <c r="AO317">
        <v>0</v>
      </c>
      <c r="AV317">
        <f>AU317+AM317</f>
        <v>1</v>
      </c>
      <c r="AW317" t="s">
        <v>689</v>
      </c>
      <c r="AX317">
        <v>0</v>
      </c>
      <c r="AY317" t="s">
        <v>116</v>
      </c>
      <c r="BE317">
        <f>AM317+AU317+BD317</f>
        <v>1</v>
      </c>
      <c r="BF317" t="s">
        <v>116</v>
      </c>
      <c r="BG317">
        <v>1</v>
      </c>
      <c r="BH317">
        <v>7</v>
      </c>
      <c r="BI317">
        <v>1</v>
      </c>
      <c r="BJ317" t="s">
        <v>28</v>
      </c>
      <c r="BK317">
        <v>3</v>
      </c>
      <c r="BL317">
        <v>1</v>
      </c>
      <c r="BM317">
        <v>1</v>
      </c>
      <c r="BN317" t="s">
        <v>55</v>
      </c>
      <c r="BO317">
        <v>2</v>
      </c>
      <c r="BP317">
        <v>134</v>
      </c>
      <c r="BQ317">
        <v>0.1</v>
      </c>
      <c r="BR317">
        <v>2</v>
      </c>
      <c r="BS317">
        <v>0.2</v>
      </c>
      <c r="BT317">
        <f>BS317+BD317+AU317+AM317</f>
        <v>1.2</v>
      </c>
      <c r="BU317">
        <v>1</v>
      </c>
      <c r="BV317">
        <v>1</v>
      </c>
      <c r="BW317">
        <v>146.5</v>
      </c>
      <c r="BX317">
        <f>BW317/7</f>
        <v>20.928571428571427</v>
      </c>
      <c r="BY317">
        <f>0.77*BX317</f>
        <v>16.114999999999998</v>
      </c>
      <c r="BZ317">
        <f t="shared" si="4"/>
        <v>17.314999999999998</v>
      </c>
    </row>
    <row r="318" spans="1:78">
      <c r="A318" s="1">
        <v>45207.907799837965</v>
      </c>
      <c r="C318">
        <v>317</v>
      </c>
      <c r="D318" s="10">
        <v>34353</v>
      </c>
      <c r="E318">
        <v>29</v>
      </c>
      <c r="F318">
        <v>1</v>
      </c>
      <c r="G318">
        <v>1</v>
      </c>
      <c r="H318">
        <v>4</v>
      </c>
      <c r="I318" s="10">
        <v>44575</v>
      </c>
      <c r="J318">
        <v>1</v>
      </c>
      <c r="K318">
        <v>1</v>
      </c>
      <c r="L318">
        <v>2</v>
      </c>
      <c r="M318">
        <v>2930</v>
      </c>
      <c r="N318">
        <v>2</v>
      </c>
      <c r="O318" s="10">
        <v>44302</v>
      </c>
      <c r="P318">
        <v>1</v>
      </c>
      <c r="Q318">
        <v>39</v>
      </c>
      <c r="R318">
        <v>2</v>
      </c>
      <c r="S318">
        <v>54</v>
      </c>
      <c r="T318">
        <v>161</v>
      </c>
      <c r="U318">
        <v>64</v>
      </c>
      <c r="V318">
        <v>10</v>
      </c>
      <c r="W318">
        <v>1</v>
      </c>
      <c r="X318">
        <v>20.832529609197174</v>
      </c>
      <c r="Y318">
        <v>24.690405462752206</v>
      </c>
      <c r="Z318">
        <v>3.8578758535550328</v>
      </c>
      <c r="AA318">
        <v>2</v>
      </c>
      <c r="AB318">
        <v>2</v>
      </c>
      <c r="AC318" t="s">
        <v>33</v>
      </c>
      <c r="AD318">
        <v>3</v>
      </c>
      <c r="AE318">
        <v>0</v>
      </c>
      <c r="AG318">
        <v>5</v>
      </c>
      <c r="AH318">
        <v>1</v>
      </c>
      <c r="AI318">
        <v>4</v>
      </c>
      <c r="AJ318">
        <v>1</v>
      </c>
      <c r="AK318">
        <v>7</v>
      </c>
      <c r="AL318">
        <v>1</v>
      </c>
      <c r="AM318">
        <f>AJ318*AK318*AL318/7</f>
        <v>1</v>
      </c>
      <c r="AN318" t="s">
        <v>43</v>
      </c>
      <c r="AO318">
        <v>0</v>
      </c>
      <c r="AV318">
        <f>AU318+AM318</f>
        <v>1</v>
      </c>
      <c r="AX318">
        <v>0</v>
      </c>
      <c r="BE318">
        <f>AM318+AU318+BD318</f>
        <v>1</v>
      </c>
      <c r="BG318">
        <v>0</v>
      </c>
      <c r="BJ318" t="s">
        <v>28</v>
      </c>
      <c r="BK318">
        <v>3</v>
      </c>
      <c r="BL318">
        <v>3</v>
      </c>
      <c r="BM318">
        <v>1</v>
      </c>
      <c r="BN318" t="s">
        <v>55</v>
      </c>
      <c r="BO318">
        <v>2</v>
      </c>
      <c r="BP318">
        <v>67</v>
      </c>
      <c r="BQ318">
        <v>0.1</v>
      </c>
      <c r="BR318">
        <v>1</v>
      </c>
      <c r="BS318">
        <v>0.1</v>
      </c>
      <c r="BT318">
        <f>BS318+BD318+AU318+AM318</f>
        <v>1.1000000000000001</v>
      </c>
      <c r="BU318">
        <v>1</v>
      </c>
      <c r="BV318">
        <v>1</v>
      </c>
      <c r="BW318">
        <v>146.5</v>
      </c>
      <c r="BX318">
        <f>BW318/7</f>
        <v>20.928571428571427</v>
      </c>
      <c r="BY318">
        <f>0.77*BX318</f>
        <v>16.114999999999998</v>
      </c>
      <c r="BZ318">
        <f t="shared" si="4"/>
        <v>17.215</v>
      </c>
    </row>
    <row r="319" spans="1:78">
      <c r="A319" s="1">
        <v>45207.919111550931</v>
      </c>
      <c r="C319">
        <v>318</v>
      </c>
      <c r="D319" s="10">
        <v>32949</v>
      </c>
      <c r="E319">
        <v>33</v>
      </c>
      <c r="F319">
        <v>1</v>
      </c>
      <c r="G319">
        <v>1</v>
      </c>
      <c r="H319">
        <v>4</v>
      </c>
      <c r="I319" s="10">
        <v>44817</v>
      </c>
      <c r="J319">
        <v>2</v>
      </c>
      <c r="K319">
        <v>0</v>
      </c>
      <c r="L319">
        <v>2</v>
      </c>
      <c r="M319">
        <v>3260</v>
      </c>
      <c r="N319">
        <v>2</v>
      </c>
      <c r="O319" s="10">
        <v>44544</v>
      </c>
      <c r="P319">
        <v>0</v>
      </c>
      <c r="Q319">
        <v>39</v>
      </c>
      <c r="R319">
        <v>2</v>
      </c>
      <c r="S319">
        <v>68</v>
      </c>
      <c r="T319">
        <v>168</v>
      </c>
      <c r="U319">
        <v>79</v>
      </c>
      <c r="V319">
        <v>11</v>
      </c>
      <c r="W319">
        <v>1</v>
      </c>
      <c r="X319">
        <v>24.092970521541954</v>
      </c>
      <c r="Y319">
        <v>27.990362811791389</v>
      </c>
      <c r="Z319">
        <v>3.8973922902494351</v>
      </c>
      <c r="AA319">
        <v>2</v>
      </c>
      <c r="AB319">
        <v>3</v>
      </c>
      <c r="AC319" t="s">
        <v>33</v>
      </c>
      <c r="AD319">
        <v>3</v>
      </c>
      <c r="AE319">
        <v>0</v>
      </c>
      <c r="AG319">
        <v>5</v>
      </c>
      <c r="AH319">
        <v>1</v>
      </c>
      <c r="AI319">
        <v>2</v>
      </c>
      <c r="AJ319">
        <v>5</v>
      </c>
      <c r="AK319">
        <v>7</v>
      </c>
      <c r="AL319">
        <v>1</v>
      </c>
      <c r="AM319">
        <f>AJ319*AK319*AL319/7</f>
        <v>5</v>
      </c>
      <c r="AN319" t="s">
        <v>57</v>
      </c>
      <c r="AO319">
        <v>0</v>
      </c>
      <c r="AV319">
        <f>AU319+AM319</f>
        <v>5</v>
      </c>
      <c r="AX319">
        <v>0</v>
      </c>
      <c r="BE319">
        <f>AM319+AU319+BD319</f>
        <v>5</v>
      </c>
      <c r="BG319">
        <v>0</v>
      </c>
      <c r="BJ319" t="s">
        <v>42</v>
      </c>
      <c r="BK319">
        <v>6</v>
      </c>
      <c r="BL319">
        <v>1</v>
      </c>
      <c r="BM319">
        <v>1</v>
      </c>
      <c r="BN319" t="s">
        <v>30</v>
      </c>
      <c r="BO319">
        <v>1</v>
      </c>
      <c r="BP319">
        <v>84</v>
      </c>
      <c r="BQ319">
        <v>0.13</v>
      </c>
      <c r="BR319">
        <v>1</v>
      </c>
      <c r="BS319">
        <v>0.13</v>
      </c>
      <c r="BT319">
        <f>BS319+BD319+AU319+AM319</f>
        <v>5.13</v>
      </c>
      <c r="BU319">
        <v>1</v>
      </c>
      <c r="BV319">
        <v>1</v>
      </c>
      <c r="BW319">
        <v>146.5</v>
      </c>
      <c r="BX319">
        <f>BW319/7</f>
        <v>20.928571428571427</v>
      </c>
      <c r="BY319">
        <f>0.77*BX319</f>
        <v>16.114999999999998</v>
      </c>
      <c r="BZ319">
        <f t="shared" si="4"/>
        <v>21.244999999999997</v>
      </c>
    </row>
    <row r="320" spans="1:78">
      <c r="A320" s="1">
        <v>45207.920027187502</v>
      </c>
      <c r="C320">
        <v>319</v>
      </c>
      <c r="D320" s="10">
        <v>33494</v>
      </c>
      <c r="E320">
        <v>32</v>
      </c>
      <c r="F320">
        <v>1</v>
      </c>
      <c r="G320">
        <v>9</v>
      </c>
      <c r="H320">
        <v>4</v>
      </c>
      <c r="I320" s="10">
        <v>44873</v>
      </c>
      <c r="J320">
        <v>4</v>
      </c>
      <c r="K320">
        <v>0</v>
      </c>
      <c r="L320">
        <v>1</v>
      </c>
      <c r="M320">
        <v>2880</v>
      </c>
      <c r="N320">
        <v>2</v>
      </c>
      <c r="O320" s="10">
        <v>44607</v>
      </c>
      <c r="P320">
        <v>0</v>
      </c>
      <c r="Q320">
        <v>38</v>
      </c>
      <c r="R320">
        <v>2</v>
      </c>
      <c r="S320">
        <v>93</v>
      </c>
      <c r="T320">
        <v>163</v>
      </c>
      <c r="U320">
        <v>99</v>
      </c>
      <c r="V320">
        <v>6</v>
      </c>
      <c r="W320">
        <v>1</v>
      </c>
      <c r="X320">
        <v>35.003199217132753</v>
      </c>
      <c r="Y320">
        <v>37.261470134367123</v>
      </c>
      <c r="Z320">
        <v>2.2582709172343698</v>
      </c>
      <c r="AA320">
        <v>4</v>
      </c>
      <c r="AB320">
        <v>4</v>
      </c>
      <c r="AC320" t="s">
        <v>25</v>
      </c>
      <c r="AD320">
        <v>1</v>
      </c>
      <c r="AE320">
        <v>0</v>
      </c>
      <c r="AG320">
        <v>5</v>
      </c>
      <c r="AH320">
        <v>1</v>
      </c>
      <c r="AI320">
        <v>8</v>
      </c>
      <c r="AJ320">
        <v>1</v>
      </c>
      <c r="AK320">
        <v>7</v>
      </c>
      <c r="AL320">
        <v>1</v>
      </c>
      <c r="AM320">
        <f>AJ320*AK320*AL320/7</f>
        <v>1</v>
      </c>
      <c r="AN320" t="s">
        <v>260</v>
      </c>
      <c r="AO320">
        <v>0</v>
      </c>
      <c r="AV320">
        <f>AU320+AM320</f>
        <v>1</v>
      </c>
      <c r="AX320">
        <v>0</v>
      </c>
      <c r="BE320">
        <f>AM320+AU320+BD320</f>
        <v>1</v>
      </c>
      <c r="BG320">
        <v>0</v>
      </c>
      <c r="BJ320" t="s">
        <v>42</v>
      </c>
      <c r="BK320">
        <v>6</v>
      </c>
      <c r="BL320">
        <v>1</v>
      </c>
      <c r="BM320">
        <v>1</v>
      </c>
      <c r="BN320" t="s">
        <v>55</v>
      </c>
      <c r="BO320">
        <v>2</v>
      </c>
      <c r="BP320">
        <v>134</v>
      </c>
      <c r="BQ320">
        <v>0.1</v>
      </c>
      <c r="BR320">
        <v>2</v>
      </c>
      <c r="BS320">
        <v>0.2</v>
      </c>
      <c r="BT320">
        <f>BS320+BD320+AU320+AM320</f>
        <v>1.2</v>
      </c>
      <c r="BU320">
        <v>1</v>
      </c>
      <c r="BV320">
        <v>3</v>
      </c>
      <c r="BW320">
        <v>439.5</v>
      </c>
      <c r="BX320">
        <f>BW320/7</f>
        <v>62.785714285714285</v>
      </c>
      <c r="BY320">
        <f>0.77*BX320</f>
        <v>48.344999999999999</v>
      </c>
      <c r="BZ320">
        <f t="shared" si="4"/>
        <v>49.545000000000002</v>
      </c>
    </row>
    <row r="321" spans="1:78">
      <c r="A321" s="1">
        <v>45207.924833495374</v>
      </c>
      <c r="C321">
        <v>320</v>
      </c>
      <c r="D321" s="10">
        <v>32832</v>
      </c>
      <c r="E321">
        <v>33</v>
      </c>
      <c r="F321">
        <v>1</v>
      </c>
      <c r="G321">
        <v>6</v>
      </c>
      <c r="H321">
        <v>3</v>
      </c>
      <c r="I321" s="10">
        <v>44506</v>
      </c>
      <c r="J321">
        <v>1</v>
      </c>
      <c r="K321">
        <v>1</v>
      </c>
      <c r="L321">
        <v>1</v>
      </c>
      <c r="M321">
        <v>3850</v>
      </c>
      <c r="N321">
        <v>2</v>
      </c>
      <c r="O321" s="10">
        <v>44226</v>
      </c>
      <c r="P321">
        <v>1</v>
      </c>
      <c r="Q321">
        <v>40</v>
      </c>
      <c r="R321">
        <v>2</v>
      </c>
      <c r="S321">
        <v>76</v>
      </c>
      <c r="T321">
        <v>156</v>
      </c>
      <c r="U321">
        <v>88</v>
      </c>
      <c r="V321">
        <v>12</v>
      </c>
      <c r="W321">
        <v>3</v>
      </c>
      <c r="X321">
        <v>31.229454306377381</v>
      </c>
      <c r="Y321">
        <v>36.160420775805385</v>
      </c>
      <c r="Z321">
        <v>4.9309664694280038</v>
      </c>
      <c r="AA321">
        <v>4</v>
      </c>
      <c r="AB321">
        <v>4</v>
      </c>
      <c r="AC321" t="s">
        <v>44</v>
      </c>
      <c r="AD321">
        <v>1</v>
      </c>
      <c r="AE321">
        <v>0</v>
      </c>
      <c r="AG321">
        <v>5</v>
      </c>
      <c r="AH321">
        <v>1</v>
      </c>
      <c r="AI321">
        <v>13</v>
      </c>
      <c r="AJ321">
        <v>1</v>
      </c>
      <c r="AK321">
        <v>7</v>
      </c>
      <c r="AL321">
        <v>1</v>
      </c>
      <c r="AM321">
        <f>AJ321*AK321*AL321/7</f>
        <v>1</v>
      </c>
      <c r="AN321" t="s">
        <v>79</v>
      </c>
      <c r="AO321">
        <v>0</v>
      </c>
      <c r="AV321">
        <f>AU321+AM321</f>
        <v>1</v>
      </c>
      <c r="AX321">
        <v>0</v>
      </c>
      <c r="BE321">
        <f>AM321+AU321+BD321</f>
        <v>1</v>
      </c>
      <c r="BG321">
        <v>0</v>
      </c>
      <c r="BJ321" t="s">
        <v>42</v>
      </c>
      <c r="BK321">
        <v>6</v>
      </c>
      <c r="BL321">
        <v>1</v>
      </c>
      <c r="BM321">
        <v>1</v>
      </c>
      <c r="BN321" t="s">
        <v>30</v>
      </c>
      <c r="BO321">
        <v>1</v>
      </c>
      <c r="BP321">
        <v>168</v>
      </c>
      <c r="BQ321">
        <v>0.13</v>
      </c>
      <c r="BR321">
        <v>2</v>
      </c>
      <c r="BS321">
        <v>0.26</v>
      </c>
      <c r="BT321">
        <f>BS321+BD321+AU321+AM321</f>
        <v>1.26</v>
      </c>
      <c r="BU321">
        <v>1</v>
      </c>
      <c r="BV321">
        <v>2</v>
      </c>
      <c r="BW321">
        <v>293</v>
      </c>
      <c r="BX321">
        <f>BW321/7</f>
        <v>41.857142857142854</v>
      </c>
      <c r="BY321">
        <f>0.77*BX321</f>
        <v>32.229999999999997</v>
      </c>
      <c r="BZ321">
        <f t="shared" si="4"/>
        <v>33.489999999999995</v>
      </c>
    </row>
    <row r="322" spans="1:78">
      <c r="A322" s="1">
        <v>45207.926888078699</v>
      </c>
      <c r="C322">
        <v>321</v>
      </c>
      <c r="D322" s="10">
        <v>44881</v>
      </c>
      <c r="E322">
        <v>25</v>
      </c>
      <c r="F322">
        <v>1</v>
      </c>
      <c r="G322">
        <v>1</v>
      </c>
      <c r="H322">
        <v>4</v>
      </c>
      <c r="I322" s="10">
        <v>44881</v>
      </c>
      <c r="J322">
        <v>1</v>
      </c>
      <c r="K322">
        <v>1</v>
      </c>
      <c r="L322">
        <v>2</v>
      </c>
      <c r="M322">
        <v>3610</v>
      </c>
      <c r="N322">
        <v>2</v>
      </c>
      <c r="O322" s="10">
        <v>44615</v>
      </c>
      <c r="P322">
        <v>0</v>
      </c>
      <c r="Q322">
        <v>38</v>
      </c>
      <c r="R322">
        <v>2</v>
      </c>
      <c r="S322">
        <v>90</v>
      </c>
      <c r="T322">
        <v>164</v>
      </c>
      <c r="U322">
        <v>103</v>
      </c>
      <c r="V322">
        <v>13</v>
      </c>
      <c r="W322">
        <v>3</v>
      </c>
      <c r="X322">
        <v>33.462224866151104</v>
      </c>
      <c r="Y322">
        <v>38.295657346817379</v>
      </c>
      <c r="Z322">
        <v>4.833432480666275</v>
      </c>
      <c r="AA322">
        <v>4</v>
      </c>
      <c r="AB322">
        <v>4</v>
      </c>
      <c r="AC322" t="s">
        <v>50</v>
      </c>
      <c r="AD322">
        <v>2</v>
      </c>
      <c r="AE322">
        <v>0</v>
      </c>
      <c r="AG322">
        <v>5</v>
      </c>
      <c r="AH322">
        <v>1</v>
      </c>
      <c r="AI322">
        <v>13</v>
      </c>
      <c r="AJ322">
        <v>1</v>
      </c>
      <c r="AK322">
        <v>7</v>
      </c>
      <c r="AL322">
        <v>1</v>
      </c>
      <c r="AM322">
        <f>AJ322*AK322*AL322/7</f>
        <v>1</v>
      </c>
      <c r="AN322" t="s">
        <v>79</v>
      </c>
      <c r="AO322">
        <v>0</v>
      </c>
      <c r="AV322">
        <f>AU322+AM322</f>
        <v>1</v>
      </c>
      <c r="AW322" t="s">
        <v>261</v>
      </c>
      <c r="AX322">
        <v>1</v>
      </c>
      <c r="AY322" t="s">
        <v>261</v>
      </c>
      <c r="AZ322">
        <v>5</v>
      </c>
      <c r="BA322">
        <v>0.4</v>
      </c>
      <c r="BB322">
        <v>7</v>
      </c>
      <c r="BC322">
        <v>2</v>
      </c>
      <c r="BD322">
        <f>BA322*BB322*1/7</f>
        <v>0.4</v>
      </c>
      <c r="BE322">
        <f>AM322+AU322+BD322</f>
        <v>1.4</v>
      </c>
      <c r="BF322" t="s">
        <v>261</v>
      </c>
      <c r="BG322">
        <v>0</v>
      </c>
      <c r="BH322">
        <v>7</v>
      </c>
      <c r="BI322">
        <v>2</v>
      </c>
      <c r="BJ322" t="s">
        <v>42</v>
      </c>
      <c r="BK322">
        <v>6</v>
      </c>
      <c r="BL322">
        <v>3</v>
      </c>
      <c r="BM322">
        <v>1</v>
      </c>
      <c r="BN322" t="s">
        <v>30</v>
      </c>
      <c r="BO322">
        <v>1</v>
      </c>
      <c r="BP322">
        <v>84</v>
      </c>
      <c r="BQ322">
        <v>0.13</v>
      </c>
      <c r="BR322">
        <v>1</v>
      </c>
      <c r="BS322">
        <v>0.13</v>
      </c>
      <c r="BT322">
        <f>BS322+BD322+AU322+AM322</f>
        <v>1.53</v>
      </c>
      <c r="BU322">
        <v>1</v>
      </c>
      <c r="BV322">
        <v>1</v>
      </c>
      <c r="BW322">
        <v>146.5</v>
      </c>
      <c r="BX322">
        <f>BW322/7</f>
        <v>20.928571428571427</v>
      </c>
      <c r="BY322">
        <f>0.77*BX322</f>
        <v>16.114999999999998</v>
      </c>
      <c r="BZ322">
        <f t="shared" si="4"/>
        <v>17.645</v>
      </c>
    </row>
    <row r="323" spans="1:78">
      <c r="A323" s="1">
        <v>45207.926902673615</v>
      </c>
      <c r="B323" t="s">
        <v>865</v>
      </c>
      <c r="C323">
        <v>322</v>
      </c>
      <c r="D323" s="10">
        <v>34299</v>
      </c>
      <c r="E323">
        <v>29</v>
      </c>
      <c r="F323">
        <v>2</v>
      </c>
      <c r="G323">
        <v>1</v>
      </c>
      <c r="H323">
        <v>4</v>
      </c>
      <c r="I323" s="10">
        <v>44443</v>
      </c>
      <c r="J323">
        <v>1</v>
      </c>
      <c r="K323">
        <v>1</v>
      </c>
      <c r="L323">
        <v>2</v>
      </c>
      <c r="M323">
        <v>3600</v>
      </c>
      <c r="N323">
        <v>2</v>
      </c>
      <c r="O323" s="10">
        <v>44171</v>
      </c>
      <c r="P323">
        <v>1</v>
      </c>
      <c r="Q323">
        <v>38.857142857142854</v>
      </c>
      <c r="R323">
        <v>2</v>
      </c>
      <c r="S323">
        <v>78</v>
      </c>
      <c r="T323">
        <v>165</v>
      </c>
      <c r="U323">
        <v>96</v>
      </c>
      <c r="V323">
        <v>18</v>
      </c>
      <c r="W323">
        <v>3</v>
      </c>
      <c r="X323">
        <v>28.650137741046834</v>
      </c>
      <c r="Y323">
        <v>35.261707988980717</v>
      </c>
      <c r="Z323">
        <v>6.6115702479338836</v>
      </c>
      <c r="AA323">
        <v>3</v>
      </c>
      <c r="AB323">
        <v>4</v>
      </c>
      <c r="AC323" t="s">
        <v>33</v>
      </c>
      <c r="AD323">
        <v>3</v>
      </c>
      <c r="AE323">
        <v>0</v>
      </c>
      <c r="AG323">
        <v>5</v>
      </c>
      <c r="AH323">
        <v>1</v>
      </c>
      <c r="AI323">
        <v>5</v>
      </c>
      <c r="AJ323">
        <v>5</v>
      </c>
      <c r="AK323">
        <v>7</v>
      </c>
      <c r="AL323">
        <v>1</v>
      </c>
      <c r="AM323">
        <f>AJ323*AK323*AL323/7</f>
        <v>5</v>
      </c>
      <c r="AN323" t="s">
        <v>27</v>
      </c>
      <c r="AO323">
        <v>0</v>
      </c>
      <c r="AV323">
        <f>AU323+AM323</f>
        <v>5</v>
      </c>
      <c r="AW323" t="s">
        <v>737</v>
      </c>
      <c r="AX323">
        <v>1</v>
      </c>
      <c r="AY323" t="s">
        <v>737</v>
      </c>
      <c r="AZ323">
        <v>16</v>
      </c>
      <c r="BA323" t="s">
        <v>258</v>
      </c>
      <c r="BB323">
        <v>7</v>
      </c>
      <c r="BC323">
        <v>1</v>
      </c>
      <c r="BE323">
        <f>AM323+AU323+BD323</f>
        <v>5</v>
      </c>
      <c r="BF323" t="s">
        <v>737</v>
      </c>
      <c r="BG323" t="s">
        <v>258</v>
      </c>
      <c r="BH323">
        <v>7</v>
      </c>
      <c r="BI323">
        <v>1</v>
      </c>
      <c r="BJ323" t="s">
        <v>49</v>
      </c>
      <c r="BK323">
        <v>5</v>
      </c>
      <c r="BL323">
        <v>1</v>
      </c>
      <c r="BM323">
        <v>1</v>
      </c>
      <c r="BN323" t="s">
        <v>30</v>
      </c>
      <c r="BO323">
        <v>1</v>
      </c>
      <c r="BP323">
        <v>84</v>
      </c>
      <c r="BQ323">
        <v>0.13</v>
      </c>
      <c r="BR323">
        <v>1</v>
      </c>
      <c r="BS323">
        <v>0.13</v>
      </c>
      <c r="BT323">
        <f>BS323+BD323+AU323+AM323</f>
        <v>5.13</v>
      </c>
      <c r="BU323">
        <v>1</v>
      </c>
      <c r="BV323">
        <v>1</v>
      </c>
      <c r="BW323">
        <v>146.5</v>
      </c>
      <c r="BX323">
        <f>BW323/7</f>
        <v>20.928571428571427</v>
      </c>
      <c r="BY323">
        <f>0.77*BX323</f>
        <v>16.114999999999998</v>
      </c>
      <c r="BZ323">
        <f t="shared" si="4"/>
        <v>21.244999999999997</v>
      </c>
    </row>
    <row r="324" spans="1:78">
      <c r="A324" s="1">
        <v>45207.929723564812</v>
      </c>
      <c r="B324" t="s">
        <v>865</v>
      </c>
      <c r="C324">
        <v>323</v>
      </c>
      <c r="D324" s="10">
        <v>29493</v>
      </c>
      <c r="E324">
        <v>43</v>
      </c>
      <c r="F324">
        <v>1</v>
      </c>
      <c r="G324">
        <v>1</v>
      </c>
      <c r="H324">
        <v>4</v>
      </c>
      <c r="I324" s="10">
        <v>44754</v>
      </c>
      <c r="J324">
        <v>3</v>
      </c>
      <c r="K324">
        <v>0</v>
      </c>
      <c r="L324">
        <v>1</v>
      </c>
      <c r="M324">
        <v>2580</v>
      </c>
      <c r="N324">
        <v>2</v>
      </c>
      <c r="O324" s="10">
        <v>44495</v>
      </c>
      <c r="P324">
        <v>0</v>
      </c>
      <c r="Q324">
        <v>37</v>
      </c>
      <c r="R324">
        <v>2</v>
      </c>
      <c r="S324">
        <v>79</v>
      </c>
      <c r="T324">
        <v>160</v>
      </c>
      <c r="U324">
        <v>83</v>
      </c>
      <c r="V324">
        <v>4</v>
      </c>
      <c r="W324">
        <v>1</v>
      </c>
      <c r="X324">
        <v>30.859374999999993</v>
      </c>
      <c r="Y324">
        <v>32.421874999999993</v>
      </c>
      <c r="Z324">
        <v>1.5625</v>
      </c>
      <c r="AA324">
        <v>4</v>
      </c>
      <c r="AB324">
        <v>4</v>
      </c>
      <c r="AC324" t="s">
        <v>44</v>
      </c>
      <c r="AD324">
        <v>1</v>
      </c>
      <c r="AE324">
        <v>0</v>
      </c>
      <c r="AG324">
        <v>5</v>
      </c>
      <c r="AH324">
        <v>1</v>
      </c>
      <c r="AI324">
        <v>2</v>
      </c>
      <c r="AJ324">
        <v>5</v>
      </c>
      <c r="AK324">
        <v>5</v>
      </c>
      <c r="AL324">
        <v>1</v>
      </c>
      <c r="AM324">
        <f>AJ324*AK324*AL324/7</f>
        <v>3.5714285714285716</v>
      </c>
      <c r="AN324" t="s">
        <v>57</v>
      </c>
      <c r="AO324">
        <v>0</v>
      </c>
      <c r="AV324">
        <f>AU324+AM324</f>
        <v>3.5714285714285716</v>
      </c>
      <c r="AW324" t="s">
        <v>95</v>
      </c>
      <c r="AX324">
        <v>1</v>
      </c>
      <c r="AY324" t="s">
        <v>878</v>
      </c>
      <c r="AZ324">
        <v>16</v>
      </c>
      <c r="BA324" t="s">
        <v>258</v>
      </c>
      <c r="BB324">
        <v>5</v>
      </c>
      <c r="BC324">
        <v>1</v>
      </c>
      <c r="BE324">
        <f>AM324+AU324+BD324</f>
        <v>3.5714285714285716</v>
      </c>
      <c r="BF324" t="s">
        <v>878</v>
      </c>
      <c r="BG324" t="s">
        <v>258</v>
      </c>
      <c r="BH324">
        <v>5</v>
      </c>
      <c r="BI324">
        <v>1</v>
      </c>
      <c r="BJ324" t="s">
        <v>49</v>
      </c>
      <c r="BK324">
        <v>5</v>
      </c>
      <c r="BL324">
        <v>3</v>
      </c>
      <c r="BM324">
        <v>1</v>
      </c>
      <c r="BN324" t="s">
        <v>30</v>
      </c>
      <c r="BO324">
        <v>1</v>
      </c>
      <c r="BP324">
        <v>42</v>
      </c>
      <c r="BQ324">
        <v>0.13</v>
      </c>
      <c r="BR324">
        <v>0.5</v>
      </c>
      <c r="BS324">
        <v>6.5000000000000002E-2</v>
      </c>
      <c r="BT324">
        <f>BS324+BD324+AU324+AM324</f>
        <v>3.6364285714285716</v>
      </c>
      <c r="BU324">
        <v>1</v>
      </c>
      <c r="BV324">
        <v>4</v>
      </c>
      <c r="BW324">
        <v>586</v>
      </c>
      <c r="BX324">
        <f>BW324/7</f>
        <v>83.714285714285708</v>
      </c>
      <c r="BY324">
        <f>0.77*BX324</f>
        <v>64.459999999999994</v>
      </c>
      <c r="BZ324">
        <f t="shared" ref="BZ324:BZ387" si="5">BS324+BD324+AU324+AM324+BY324</f>
        <v>68.096428571428561</v>
      </c>
    </row>
    <row r="325" spans="1:78">
      <c r="A325" s="1">
        <v>45207.930047685186</v>
      </c>
      <c r="C325">
        <v>324</v>
      </c>
      <c r="D325" s="10">
        <v>34724</v>
      </c>
      <c r="E325">
        <v>29</v>
      </c>
      <c r="F325">
        <v>1</v>
      </c>
      <c r="G325">
        <v>1</v>
      </c>
      <c r="H325">
        <v>4</v>
      </c>
      <c r="I325" s="10">
        <v>44831</v>
      </c>
      <c r="J325">
        <v>3</v>
      </c>
      <c r="K325">
        <v>0</v>
      </c>
      <c r="L325">
        <v>1</v>
      </c>
      <c r="M325">
        <v>4250</v>
      </c>
      <c r="N325">
        <v>3</v>
      </c>
      <c r="O325" s="10">
        <v>44558</v>
      </c>
      <c r="P325">
        <v>0</v>
      </c>
      <c r="Q325">
        <v>39</v>
      </c>
      <c r="R325">
        <v>2</v>
      </c>
      <c r="S325">
        <v>53</v>
      </c>
      <c r="T325">
        <v>156</v>
      </c>
      <c r="U325">
        <v>70</v>
      </c>
      <c r="V325">
        <v>17</v>
      </c>
      <c r="W325">
        <v>3</v>
      </c>
      <c r="X325">
        <v>21.7784352399737</v>
      </c>
      <c r="Y325">
        <v>28.763971071663377</v>
      </c>
      <c r="Z325">
        <v>6.9855358316896776</v>
      </c>
      <c r="AA325">
        <v>2</v>
      </c>
      <c r="AB325">
        <v>3</v>
      </c>
      <c r="AC325" t="s">
        <v>50</v>
      </c>
      <c r="AD325">
        <v>2</v>
      </c>
      <c r="AE325">
        <v>0</v>
      </c>
      <c r="AG325">
        <v>5</v>
      </c>
      <c r="AH325">
        <v>1</v>
      </c>
      <c r="AI325">
        <v>2</v>
      </c>
      <c r="AJ325">
        <v>5</v>
      </c>
      <c r="AK325">
        <v>4</v>
      </c>
      <c r="AL325">
        <v>1</v>
      </c>
      <c r="AM325">
        <f>AJ325*AK325*AL325/7</f>
        <v>2.8571428571428572</v>
      </c>
      <c r="AN325" t="s">
        <v>57</v>
      </c>
      <c r="AO325">
        <v>0</v>
      </c>
      <c r="AV325">
        <f>AU325+AM325</f>
        <v>2.8571428571428572</v>
      </c>
      <c r="AX325">
        <v>0</v>
      </c>
      <c r="BE325">
        <f>AM325+AU325+BD325</f>
        <v>2.8571428571428572</v>
      </c>
      <c r="BG325">
        <v>0</v>
      </c>
      <c r="BJ325" t="s">
        <v>49</v>
      </c>
      <c r="BK325">
        <v>5</v>
      </c>
      <c r="BL325">
        <v>3</v>
      </c>
      <c r="BM325">
        <v>1</v>
      </c>
      <c r="BN325" t="s">
        <v>55</v>
      </c>
      <c r="BO325">
        <v>2</v>
      </c>
      <c r="BP325">
        <v>134</v>
      </c>
      <c r="BQ325">
        <v>0.1</v>
      </c>
      <c r="BR325">
        <v>2</v>
      </c>
      <c r="BS325">
        <v>0.2</v>
      </c>
      <c r="BT325">
        <f>BS325+BD325+AU325+AM325</f>
        <v>3.0571428571428574</v>
      </c>
      <c r="BU325">
        <v>1</v>
      </c>
      <c r="BV325">
        <v>2</v>
      </c>
      <c r="BW325">
        <v>293</v>
      </c>
      <c r="BX325">
        <f>BW325/7</f>
        <v>41.857142857142854</v>
      </c>
      <c r="BY325">
        <f>0.77*BX325</f>
        <v>32.229999999999997</v>
      </c>
      <c r="BZ325">
        <f t="shared" si="5"/>
        <v>35.287142857142854</v>
      </c>
    </row>
    <row r="326" spans="1:78">
      <c r="A326" s="1">
        <v>45207.931574479167</v>
      </c>
      <c r="C326">
        <v>325</v>
      </c>
      <c r="D326" s="10">
        <v>30035</v>
      </c>
      <c r="E326">
        <v>41</v>
      </c>
      <c r="F326">
        <v>1</v>
      </c>
      <c r="G326">
        <v>4</v>
      </c>
      <c r="H326">
        <v>4</v>
      </c>
      <c r="I326" s="10">
        <v>44272</v>
      </c>
      <c r="J326">
        <v>3</v>
      </c>
      <c r="K326">
        <v>0</v>
      </c>
      <c r="L326">
        <v>1</v>
      </c>
      <c r="M326">
        <v>3690</v>
      </c>
      <c r="N326">
        <v>2</v>
      </c>
      <c r="O326" s="10">
        <v>44006</v>
      </c>
      <c r="P326">
        <v>1</v>
      </c>
      <c r="Q326">
        <v>38</v>
      </c>
      <c r="R326">
        <v>2</v>
      </c>
      <c r="S326">
        <v>78</v>
      </c>
      <c r="T326">
        <v>157</v>
      </c>
      <c r="U326">
        <v>83</v>
      </c>
      <c r="V326">
        <v>5</v>
      </c>
      <c r="W326">
        <v>1</v>
      </c>
      <c r="X326">
        <v>31.644285772242281</v>
      </c>
      <c r="Y326">
        <v>33.672765629437301</v>
      </c>
      <c r="Z326">
        <v>2.0284798571950198</v>
      </c>
      <c r="AA326">
        <v>4</v>
      </c>
      <c r="AB326">
        <v>4</v>
      </c>
      <c r="AC326" t="s">
        <v>33</v>
      </c>
      <c r="AD326">
        <v>3</v>
      </c>
      <c r="AE326">
        <v>1</v>
      </c>
      <c r="AF326" t="s">
        <v>264</v>
      </c>
      <c r="AG326">
        <v>3</v>
      </c>
      <c r="AH326">
        <v>1</v>
      </c>
      <c r="AI326">
        <v>4</v>
      </c>
      <c r="AJ326">
        <v>1</v>
      </c>
      <c r="AK326">
        <v>7</v>
      </c>
      <c r="AL326">
        <v>1</v>
      </c>
      <c r="AM326">
        <f>AJ326*AK326*AL326/7</f>
        <v>1</v>
      </c>
      <c r="AN326" t="s">
        <v>43</v>
      </c>
      <c r="AO326">
        <v>0</v>
      </c>
      <c r="AV326">
        <f>AU326+AM326</f>
        <v>1</v>
      </c>
      <c r="AX326">
        <v>0</v>
      </c>
      <c r="BE326">
        <f>AM326+AU326+BD326</f>
        <v>1</v>
      </c>
      <c r="BG326">
        <v>0</v>
      </c>
      <c r="BJ326" t="s">
        <v>49</v>
      </c>
      <c r="BK326">
        <v>5</v>
      </c>
      <c r="BL326">
        <v>1</v>
      </c>
      <c r="BM326">
        <v>1</v>
      </c>
      <c r="BN326" t="s">
        <v>55</v>
      </c>
      <c r="BO326">
        <v>2</v>
      </c>
      <c r="BP326">
        <v>201</v>
      </c>
      <c r="BQ326">
        <v>0.1</v>
      </c>
      <c r="BR326">
        <v>3</v>
      </c>
      <c r="BS326">
        <v>0.30000000000000004</v>
      </c>
      <c r="BT326">
        <f>BS326+BD326+AU326+AM326</f>
        <v>1.3</v>
      </c>
      <c r="BU326">
        <v>1</v>
      </c>
      <c r="BV326">
        <v>2</v>
      </c>
      <c r="BW326">
        <v>293</v>
      </c>
      <c r="BX326">
        <f>BW326/7</f>
        <v>41.857142857142854</v>
      </c>
      <c r="BY326">
        <f>0.77*BX326</f>
        <v>32.229999999999997</v>
      </c>
      <c r="BZ326">
        <f t="shared" si="5"/>
        <v>33.529999999999994</v>
      </c>
    </row>
    <row r="327" spans="1:78">
      <c r="A327" s="1">
        <v>45207.939216678242</v>
      </c>
      <c r="C327">
        <v>326</v>
      </c>
      <c r="D327" s="10">
        <v>33104</v>
      </c>
      <c r="E327">
        <v>33</v>
      </c>
      <c r="F327">
        <v>1</v>
      </c>
      <c r="G327">
        <v>1</v>
      </c>
      <c r="H327">
        <v>2</v>
      </c>
      <c r="I327" s="10">
        <v>43920</v>
      </c>
      <c r="J327">
        <v>1</v>
      </c>
      <c r="K327">
        <v>1</v>
      </c>
      <c r="L327">
        <v>2</v>
      </c>
      <c r="M327">
        <v>2490</v>
      </c>
      <c r="N327">
        <v>1</v>
      </c>
      <c r="O327" s="10">
        <v>43654</v>
      </c>
      <c r="P327">
        <v>0</v>
      </c>
      <c r="Q327">
        <v>38</v>
      </c>
      <c r="R327">
        <v>2</v>
      </c>
      <c r="S327">
        <v>62.5</v>
      </c>
      <c r="T327">
        <v>159</v>
      </c>
      <c r="U327">
        <v>79</v>
      </c>
      <c r="V327">
        <v>16.5</v>
      </c>
      <c r="W327">
        <v>3</v>
      </c>
      <c r="X327">
        <v>24.722123333728884</v>
      </c>
      <c r="Y327">
        <v>31.24876389383331</v>
      </c>
      <c r="Z327">
        <v>6.5266405601044255</v>
      </c>
      <c r="AA327">
        <v>2</v>
      </c>
      <c r="AB327">
        <v>4</v>
      </c>
      <c r="AC327" t="s">
        <v>33</v>
      </c>
      <c r="AD327">
        <v>3</v>
      </c>
      <c r="AE327">
        <v>0</v>
      </c>
      <c r="AG327">
        <v>5</v>
      </c>
      <c r="AH327">
        <v>1</v>
      </c>
      <c r="AI327">
        <v>13</v>
      </c>
      <c r="AJ327">
        <v>1</v>
      </c>
      <c r="AK327">
        <v>7</v>
      </c>
      <c r="AL327">
        <v>1</v>
      </c>
      <c r="AM327">
        <f>AJ327*AK327*AL327/7</f>
        <v>1</v>
      </c>
      <c r="AN327" t="s">
        <v>79</v>
      </c>
      <c r="AO327">
        <v>0</v>
      </c>
      <c r="AV327">
        <f>AU327+AM327</f>
        <v>1</v>
      </c>
      <c r="AX327">
        <v>0</v>
      </c>
      <c r="BE327">
        <f>AM327+AU327+BD327</f>
        <v>1</v>
      </c>
      <c r="BG327">
        <v>0</v>
      </c>
      <c r="BJ327" t="s">
        <v>49</v>
      </c>
      <c r="BK327">
        <v>5</v>
      </c>
      <c r="BL327">
        <v>3</v>
      </c>
      <c r="BM327">
        <v>1</v>
      </c>
      <c r="BN327" t="s">
        <v>55</v>
      </c>
      <c r="BO327">
        <v>2</v>
      </c>
      <c r="BP327">
        <v>134</v>
      </c>
      <c r="BQ327">
        <v>0.1</v>
      </c>
      <c r="BR327">
        <v>2</v>
      </c>
      <c r="BS327">
        <v>0.2</v>
      </c>
      <c r="BT327">
        <f>BS327+BD327+AU327+AM327</f>
        <v>1.2</v>
      </c>
      <c r="BU327">
        <v>1</v>
      </c>
      <c r="BV327">
        <v>4</v>
      </c>
      <c r="BW327">
        <v>586</v>
      </c>
      <c r="BX327">
        <f>BW327/7</f>
        <v>83.714285714285708</v>
      </c>
      <c r="BY327">
        <f>0.77*BX327</f>
        <v>64.459999999999994</v>
      </c>
      <c r="BZ327">
        <f t="shared" si="5"/>
        <v>65.66</v>
      </c>
    </row>
    <row r="328" spans="1:78">
      <c r="A328" s="1">
        <v>45207.946135347222</v>
      </c>
      <c r="B328" s="9" t="s">
        <v>866</v>
      </c>
      <c r="C328">
        <v>327</v>
      </c>
      <c r="D328" s="10">
        <v>31453</v>
      </c>
      <c r="E328">
        <v>37</v>
      </c>
      <c r="F328">
        <v>1</v>
      </c>
      <c r="G328">
        <v>1</v>
      </c>
      <c r="H328">
        <v>4</v>
      </c>
      <c r="I328" s="10">
        <v>43871</v>
      </c>
      <c r="J328">
        <v>1</v>
      </c>
      <c r="K328">
        <v>1</v>
      </c>
      <c r="L328">
        <v>1</v>
      </c>
      <c r="M328">
        <v>2760</v>
      </c>
      <c r="N328">
        <v>2</v>
      </c>
      <c r="O328" s="10">
        <v>43605</v>
      </c>
      <c r="P328">
        <v>0</v>
      </c>
      <c r="Q328">
        <v>38</v>
      </c>
      <c r="R328">
        <v>2</v>
      </c>
      <c r="S328">
        <v>46</v>
      </c>
      <c r="T328">
        <v>148</v>
      </c>
      <c r="U328">
        <v>51</v>
      </c>
      <c r="V328">
        <v>5</v>
      </c>
      <c r="W328">
        <v>1</v>
      </c>
      <c r="X328">
        <v>21.000730460189921</v>
      </c>
      <c r="Y328">
        <v>23.283418553688826</v>
      </c>
      <c r="Z328">
        <v>2.2826880934989049</v>
      </c>
      <c r="AA328">
        <v>2</v>
      </c>
      <c r="AB328">
        <v>2</v>
      </c>
      <c r="AC328" t="s">
        <v>33</v>
      </c>
      <c r="AD328">
        <v>3</v>
      </c>
      <c r="AE328">
        <v>0</v>
      </c>
      <c r="AG328">
        <v>5</v>
      </c>
      <c r="AH328">
        <v>1</v>
      </c>
      <c r="AI328" t="s">
        <v>258</v>
      </c>
      <c r="AJ328" t="s">
        <v>258</v>
      </c>
      <c r="AK328">
        <v>7</v>
      </c>
      <c r="AL328">
        <v>1</v>
      </c>
      <c r="AM328" t="s">
        <v>258</v>
      </c>
      <c r="AN328" t="s">
        <v>738</v>
      </c>
      <c r="AO328">
        <v>0</v>
      </c>
      <c r="AX328">
        <v>0</v>
      </c>
      <c r="BE328" t="s">
        <v>258</v>
      </c>
      <c r="BG328">
        <v>0</v>
      </c>
      <c r="BJ328" t="s">
        <v>28</v>
      </c>
      <c r="BK328">
        <v>3</v>
      </c>
      <c r="BL328">
        <v>1</v>
      </c>
      <c r="BM328">
        <v>1</v>
      </c>
      <c r="BN328" t="s">
        <v>55</v>
      </c>
      <c r="BO328">
        <v>2</v>
      </c>
      <c r="BP328">
        <v>134</v>
      </c>
      <c r="BQ328">
        <v>0.1</v>
      </c>
      <c r="BR328">
        <v>2</v>
      </c>
      <c r="BS328">
        <v>0.2</v>
      </c>
      <c r="BT328" t="e">
        <f>BS328+BD328+AU328+AM328</f>
        <v>#VALUE!</v>
      </c>
      <c r="BU328">
        <v>1</v>
      </c>
      <c r="BV328">
        <v>3</v>
      </c>
      <c r="BW328">
        <v>439.5</v>
      </c>
      <c r="BX328">
        <f>BW328/7</f>
        <v>62.785714285714285</v>
      </c>
      <c r="BY328">
        <f>0.77*BX328</f>
        <v>48.344999999999999</v>
      </c>
      <c r="BZ328" t="e">
        <f t="shared" si="5"/>
        <v>#VALUE!</v>
      </c>
    </row>
    <row r="329" spans="1:78">
      <c r="A329" s="1">
        <v>45207.951420613426</v>
      </c>
      <c r="C329">
        <v>328</v>
      </c>
      <c r="D329" s="10">
        <v>29182</v>
      </c>
      <c r="E329">
        <v>43</v>
      </c>
      <c r="F329">
        <v>1</v>
      </c>
      <c r="G329">
        <v>2</v>
      </c>
      <c r="H329">
        <v>4</v>
      </c>
      <c r="I329" s="10">
        <v>44929</v>
      </c>
      <c r="J329">
        <v>3</v>
      </c>
      <c r="K329">
        <v>0</v>
      </c>
      <c r="L329">
        <v>1</v>
      </c>
      <c r="M329">
        <v>3146</v>
      </c>
      <c r="N329">
        <v>2</v>
      </c>
      <c r="O329" s="10">
        <v>44656</v>
      </c>
      <c r="P329">
        <v>0</v>
      </c>
      <c r="Q329">
        <v>39</v>
      </c>
      <c r="R329">
        <v>2</v>
      </c>
      <c r="S329">
        <v>62</v>
      </c>
      <c r="T329">
        <v>155</v>
      </c>
      <c r="U329">
        <v>74</v>
      </c>
      <c r="V329">
        <v>12</v>
      </c>
      <c r="W329">
        <v>3</v>
      </c>
      <c r="X329">
        <v>25.806451612903224</v>
      </c>
      <c r="Y329">
        <v>30.801248699271589</v>
      </c>
      <c r="Z329">
        <v>4.9947970863683651</v>
      </c>
      <c r="AA329">
        <v>3</v>
      </c>
      <c r="AB329">
        <v>4</v>
      </c>
      <c r="AC329" t="s">
        <v>33</v>
      </c>
      <c r="AD329">
        <v>3</v>
      </c>
      <c r="AE329">
        <v>0</v>
      </c>
      <c r="AG329">
        <v>5</v>
      </c>
      <c r="AH329">
        <v>1</v>
      </c>
      <c r="AI329">
        <v>5</v>
      </c>
      <c r="AJ329">
        <v>5</v>
      </c>
      <c r="AK329">
        <v>7</v>
      </c>
      <c r="AL329">
        <v>1</v>
      </c>
      <c r="AM329">
        <f>AJ329*AK329*AL329/7</f>
        <v>5</v>
      </c>
      <c r="AN329" t="s">
        <v>27</v>
      </c>
      <c r="AO329">
        <v>0</v>
      </c>
      <c r="AV329">
        <f>AU329+AM329</f>
        <v>5</v>
      </c>
      <c r="AW329" t="s">
        <v>58</v>
      </c>
      <c r="AX329">
        <v>1</v>
      </c>
      <c r="AY329" t="s">
        <v>58</v>
      </c>
      <c r="AZ329">
        <v>1</v>
      </c>
      <c r="BA329">
        <v>0.8</v>
      </c>
      <c r="BB329">
        <v>7</v>
      </c>
      <c r="BC329">
        <v>1</v>
      </c>
      <c r="BD329">
        <f>BA329*BB329*1/7</f>
        <v>0.8</v>
      </c>
      <c r="BE329">
        <f>AM329+AU329+BD329</f>
        <v>5.8</v>
      </c>
      <c r="BF329" t="s">
        <v>58</v>
      </c>
      <c r="BG329">
        <v>0</v>
      </c>
      <c r="BH329">
        <v>7</v>
      </c>
      <c r="BI329">
        <v>1</v>
      </c>
      <c r="BJ329" t="s">
        <v>36</v>
      </c>
      <c r="BK329">
        <v>4</v>
      </c>
      <c r="BL329">
        <v>1</v>
      </c>
      <c r="BM329">
        <v>1</v>
      </c>
      <c r="BN329" t="s">
        <v>30</v>
      </c>
      <c r="BO329">
        <v>1</v>
      </c>
      <c r="BP329">
        <v>84</v>
      </c>
      <c r="BQ329">
        <v>0.13</v>
      </c>
      <c r="BR329">
        <v>1</v>
      </c>
      <c r="BS329">
        <v>0.13</v>
      </c>
      <c r="BT329">
        <f>BS329+BD329+AU329+AM329</f>
        <v>5.93</v>
      </c>
      <c r="BU329">
        <v>1</v>
      </c>
      <c r="BV329">
        <v>2</v>
      </c>
      <c r="BW329">
        <v>293</v>
      </c>
      <c r="BX329">
        <f>BW329/7</f>
        <v>41.857142857142854</v>
      </c>
      <c r="BY329">
        <f>0.77*BX329</f>
        <v>32.229999999999997</v>
      </c>
      <c r="BZ329">
        <f t="shared" si="5"/>
        <v>38.159999999999997</v>
      </c>
    </row>
    <row r="330" spans="1:78">
      <c r="A330" s="1">
        <v>45207.95158331019</v>
      </c>
      <c r="C330">
        <v>329</v>
      </c>
      <c r="D330" s="10">
        <v>33452</v>
      </c>
      <c r="E330">
        <v>32</v>
      </c>
      <c r="F330">
        <v>1</v>
      </c>
      <c r="G330">
        <v>1</v>
      </c>
      <c r="H330">
        <v>2</v>
      </c>
      <c r="I330" s="10">
        <v>44101</v>
      </c>
      <c r="J330">
        <v>2</v>
      </c>
      <c r="K330">
        <v>0</v>
      </c>
      <c r="L330">
        <v>1</v>
      </c>
      <c r="M330">
        <v>3620</v>
      </c>
      <c r="N330">
        <v>2</v>
      </c>
      <c r="O330" s="10">
        <v>43835</v>
      </c>
      <c r="P330">
        <v>0</v>
      </c>
      <c r="Q330">
        <v>38</v>
      </c>
      <c r="R330">
        <v>2</v>
      </c>
      <c r="S330">
        <v>59</v>
      </c>
      <c r="T330">
        <v>160</v>
      </c>
      <c r="U330">
        <v>69</v>
      </c>
      <c r="V330">
        <v>10</v>
      </c>
      <c r="W330">
        <v>1</v>
      </c>
      <c r="X330">
        <v>23.046874999999996</v>
      </c>
      <c r="Y330">
        <v>26.953124999999996</v>
      </c>
      <c r="Z330">
        <v>3.90625</v>
      </c>
      <c r="AA330">
        <v>2</v>
      </c>
      <c r="AB330">
        <v>3</v>
      </c>
      <c r="AC330" t="s">
        <v>50</v>
      </c>
      <c r="AD330">
        <v>2</v>
      </c>
      <c r="AE330">
        <v>0</v>
      </c>
      <c r="AG330">
        <v>5</v>
      </c>
      <c r="AH330">
        <v>1</v>
      </c>
      <c r="AI330">
        <v>13</v>
      </c>
      <c r="AJ330">
        <v>1</v>
      </c>
      <c r="AK330">
        <v>7</v>
      </c>
      <c r="AL330">
        <v>1</v>
      </c>
      <c r="AM330">
        <f>AJ330*AK330*AL330/7</f>
        <v>1</v>
      </c>
      <c r="AN330" t="s">
        <v>79</v>
      </c>
      <c r="AO330">
        <v>0</v>
      </c>
      <c r="AV330">
        <f>AU330+AM330</f>
        <v>1</v>
      </c>
      <c r="AX330">
        <v>0</v>
      </c>
      <c r="BE330">
        <f>AM330+AU330+BD330</f>
        <v>1</v>
      </c>
      <c r="BG330">
        <v>0</v>
      </c>
      <c r="BJ330" t="s">
        <v>49</v>
      </c>
      <c r="BK330">
        <v>5</v>
      </c>
      <c r="BL330">
        <v>1</v>
      </c>
      <c r="BM330">
        <v>1</v>
      </c>
      <c r="BN330" t="s">
        <v>55</v>
      </c>
      <c r="BO330">
        <v>2</v>
      </c>
      <c r="BP330">
        <v>134</v>
      </c>
      <c r="BQ330">
        <v>0.1</v>
      </c>
      <c r="BR330">
        <v>2</v>
      </c>
      <c r="BS330">
        <v>0.2</v>
      </c>
      <c r="BT330">
        <f>BS330+BD330+AU330+AM330</f>
        <v>1.2</v>
      </c>
      <c r="BU330">
        <v>1</v>
      </c>
      <c r="BV330">
        <v>4</v>
      </c>
      <c r="BW330">
        <v>586</v>
      </c>
      <c r="BX330">
        <f>BW330/7</f>
        <v>83.714285714285708</v>
      </c>
      <c r="BY330">
        <f>0.77*BX330</f>
        <v>64.459999999999994</v>
      </c>
      <c r="BZ330">
        <f t="shared" si="5"/>
        <v>65.66</v>
      </c>
    </row>
    <row r="331" spans="1:78">
      <c r="A331" s="1">
        <v>45207.953442372687</v>
      </c>
      <c r="C331">
        <v>330</v>
      </c>
      <c r="D331" s="10">
        <v>33721</v>
      </c>
      <c r="E331">
        <v>31</v>
      </c>
      <c r="F331">
        <v>1</v>
      </c>
      <c r="G331">
        <v>1</v>
      </c>
      <c r="H331">
        <v>4</v>
      </c>
      <c r="I331" s="10">
        <v>44107</v>
      </c>
      <c r="J331">
        <v>1</v>
      </c>
      <c r="K331">
        <v>1</v>
      </c>
      <c r="L331">
        <v>1</v>
      </c>
      <c r="M331">
        <v>3850</v>
      </c>
      <c r="N331">
        <v>2</v>
      </c>
      <c r="O331" s="10">
        <v>43820</v>
      </c>
      <c r="P331">
        <v>0</v>
      </c>
      <c r="Q331">
        <v>41</v>
      </c>
      <c r="R331">
        <v>2</v>
      </c>
      <c r="S331">
        <v>60</v>
      </c>
      <c r="T331">
        <v>155</v>
      </c>
      <c r="U331">
        <v>75</v>
      </c>
      <c r="V331">
        <v>15</v>
      </c>
      <c r="W331">
        <v>2</v>
      </c>
      <c r="X331">
        <v>24.973985431841829</v>
      </c>
      <c r="Y331">
        <v>31.217481789802285</v>
      </c>
      <c r="Z331">
        <v>6.2434963579604563</v>
      </c>
      <c r="AA331">
        <v>2</v>
      </c>
      <c r="AB331">
        <v>4</v>
      </c>
      <c r="AC331" t="s">
        <v>33</v>
      </c>
      <c r="AD331">
        <v>3</v>
      </c>
      <c r="AE331">
        <v>1</v>
      </c>
      <c r="AF331" t="s">
        <v>265</v>
      </c>
      <c r="AG331" t="e">
        <v>#N/A</v>
      </c>
      <c r="AH331">
        <v>1</v>
      </c>
      <c r="AI331">
        <v>13</v>
      </c>
      <c r="AJ331">
        <v>1</v>
      </c>
      <c r="AK331">
        <v>6</v>
      </c>
      <c r="AL331">
        <v>1</v>
      </c>
      <c r="AM331">
        <f>AJ331*AK331*AL331/7</f>
        <v>0.8571428571428571</v>
      </c>
      <c r="AN331" t="s">
        <v>79</v>
      </c>
      <c r="AO331">
        <v>0</v>
      </c>
      <c r="AV331">
        <f>AU331+AM331</f>
        <v>0.8571428571428571</v>
      </c>
      <c r="AX331">
        <v>0</v>
      </c>
      <c r="BE331">
        <f>AM331+AU331+BD331</f>
        <v>0.8571428571428571</v>
      </c>
      <c r="BG331">
        <v>0</v>
      </c>
      <c r="BJ331" t="s">
        <v>49</v>
      </c>
      <c r="BK331">
        <v>5</v>
      </c>
      <c r="BL331">
        <v>1</v>
      </c>
      <c r="BM331">
        <v>1</v>
      </c>
      <c r="BN331" t="s">
        <v>55</v>
      </c>
      <c r="BO331">
        <v>2</v>
      </c>
      <c r="BP331">
        <v>134</v>
      </c>
      <c r="BQ331">
        <v>0.1</v>
      </c>
      <c r="BR331">
        <v>2</v>
      </c>
      <c r="BS331">
        <v>0.2</v>
      </c>
      <c r="BT331">
        <f>BS331+BD331+AU331+AM331</f>
        <v>1.0571428571428572</v>
      </c>
      <c r="BU331">
        <v>1</v>
      </c>
      <c r="BV331">
        <v>2</v>
      </c>
      <c r="BW331">
        <v>293</v>
      </c>
      <c r="BX331">
        <f>BW331/7</f>
        <v>41.857142857142854</v>
      </c>
      <c r="BY331">
        <f>0.77*BX331</f>
        <v>32.229999999999997</v>
      </c>
      <c r="BZ331">
        <f t="shared" si="5"/>
        <v>33.287142857142854</v>
      </c>
    </row>
    <row r="332" spans="1:78">
      <c r="A332" s="1">
        <v>45207.953734537034</v>
      </c>
      <c r="C332">
        <v>331</v>
      </c>
      <c r="D332" s="10">
        <v>33280</v>
      </c>
      <c r="E332">
        <v>32</v>
      </c>
      <c r="F332">
        <v>1</v>
      </c>
      <c r="G332">
        <v>1</v>
      </c>
      <c r="H332">
        <v>5</v>
      </c>
      <c r="I332" s="10">
        <v>44349</v>
      </c>
      <c r="J332">
        <v>1</v>
      </c>
      <c r="K332">
        <v>1</v>
      </c>
      <c r="L332">
        <v>2</v>
      </c>
      <c r="M332">
        <v>3850</v>
      </c>
      <c r="N332">
        <v>2</v>
      </c>
      <c r="O332" s="10">
        <v>44064</v>
      </c>
      <c r="P332">
        <v>1</v>
      </c>
      <c r="Q332">
        <v>40.714285714285715</v>
      </c>
      <c r="R332">
        <v>2</v>
      </c>
      <c r="S332">
        <v>76</v>
      </c>
      <c r="T332">
        <v>165</v>
      </c>
      <c r="U332">
        <v>89</v>
      </c>
      <c r="V332">
        <v>13</v>
      </c>
      <c r="W332">
        <v>3</v>
      </c>
      <c r="X332">
        <v>27.915518824609737</v>
      </c>
      <c r="Y332">
        <v>32.690541781450875</v>
      </c>
      <c r="Z332">
        <v>4.7750229568411378</v>
      </c>
      <c r="AA332">
        <v>3</v>
      </c>
      <c r="AB332">
        <v>4</v>
      </c>
      <c r="AC332" t="s">
        <v>33</v>
      </c>
      <c r="AD332">
        <v>3</v>
      </c>
      <c r="AE332">
        <v>0</v>
      </c>
      <c r="AG332">
        <v>5</v>
      </c>
      <c r="AH332">
        <v>1</v>
      </c>
      <c r="AI332">
        <v>13</v>
      </c>
      <c r="AJ332">
        <v>1</v>
      </c>
      <c r="AK332">
        <v>7</v>
      </c>
      <c r="AL332">
        <v>1</v>
      </c>
      <c r="AM332">
        <f>AJ332*AK332*AL332/7</f>
        <v>1</v>
      </c>
      <c r="AN332" t="s">
        <v>79</v>
      </c>
      <c r="AO332">
        <v>0</v>
      </c>
      <c r="AV332">
        <f>AU332+AM332</f>
        <v>1</v>
      </c>
      <c r="AW332" t="s">
        <v>186</v>
      </c>
      <c r="AX332">
        <v>1</v>
      </c>
      <c r="AY332" t="s">
        <v>186</v>
      </c>
      <c r="AZ332">
        <v>5</v>
      </c>
      <c r="BA332">
        <v>0.4</v>
      </c>
      <c r="BB332">
        <v>7</v>
      </c>
      <c r="BC332">
        <v>1</v>
      </c>
      <c r="BD332">
        <f>BA332*BB332*1/7</f>
        <v>0.4</v>
      </c>
      <c r="BE332">
        <f>AM332+AU332+BD332</f>
        <v>1.4</v>
      </c>
      <c r="BF332" t="s">
        <v>186</v>
      </c>
      <c r="BG332">
        <v>0</v>
      </c>
      <c r="BH332">
        <v>7</v>
      </c>
      <c r="BI332">
        <v>1</v>
      </c>
      <c r="BJ332" t="s">
        <v>49</v>
      </c>
      <c r="BK332">
        <v>5</v>
      </c>
      <c r="BL332">
        <v>1</v>
      </c>
      <c r="BM332">
        <v>1</v>
      </c>
      <c r="BN332" t="s">
        <v>55</v>
      </c>
      <c r="BO332">
        <v>2</v>
      </c>
      <c r="BP332">
        <v>67</v>
      </c>
      <c r="BQ332">
        <v>0.1</v>
      </c>
      <c r="BR332">
        <v>1</v>
      </c>
      <c r="BS332">
        <v>0.1</v>
      </c>
      <c r="BT332">
        <f>BS332+BD332+AU332+AM332</f>
        <v>1.5</v>
      </c>
      <c r="BU332">
        <v>1</v>
      </c>
      <c r="BV332">
        <v>3</v>
      </c>
      <c r="BW332">
        <v>439.5</v>
      </c>
      <c r="BX332">
        <f>BW332/7</f>
        <v>62.785714285714285</v>
      </c>
      <c r="BY332">
        <f>0.77*BX332</f>
        <v>48.344999999999999</v>
      </c>
      <c r="BZ332">
        <f t="shared" si="5"/>
        <v>49.844999999999999</v>
      </c>
    </row>
    <row r="333" spans="1:78">
      <c r="A333" s="1">
        <v>45207.957576180561</v>
      </c>
      <c r="C333">
        <v>332</v>
      </c>
      <c r="D333" s="10">
        <v>31208</v>
      </c>
      <c r="E333">
        <v>38</v>
      </c>
      <c r="F333">
        <v>1</v>
      </c>
      <c r="G333">
        <v>10</v>
      </c>
      <c r="H333">
        <v>4</v>
      </c>
      <c r="I333" s="10">
        <v>45044</v>
      </c>
      <c r="J333">
        <v>3</v>
      </c>
      <c r="K333">
        <v>0</v>
      </c>
      <c r="L333">
        <v>1</v>
      </c>
      <c r="M333">
        <v>3045</v>
      </c>
      <c r="N333">
        <v>2</v>
      </c>
      <c r="O333" s="10">
        <v>44777</v>
      </c>
      <c r="P333">
        <v>0</v>
      </c>
      <c r="Q333">
        <v>38.142857142857146</v>
      </c>
      <c r="R333">
        <v>2</v>
      </c>
      <c r="S333">
        <v>56</v>
      </c>
      <c r="T333">
        <v>158</v>
      </c>
      <c r="U333">
        <v>65</v>
      </c>
      <c r="V333">
        <v>9</v>
      </c>
      <c r="W333">
        <v>1</v>
      </c>
      <c r="X333">
        <v>22.432302515622492</v>
      </c>
      <c r="Y333">
        <v>26.037493991347535</v>
      </c>
      <c r="Z333">
        <v>3.6051914757250429</v>
      </c>
      <c r="AA333">
        <v>2</v>
      </c>
      <c r="AB333">
        <v>3</v>
      </c>
      <c r="AC333" t="s">
        <v>50</v>
      </c>
      <c r="AD333">
        <v>2</v>
      </c>
      <c r="AE333">
        <v>0</v>
      </c>
      <c r="AG333">
        <v>5</v>
      </c>
      <c r="AH333">
        <v>1</v>
      </c>
      <c r="AI333">
        <v>1</v>
      </c>
      <c r="AJ333">
        <v>1</v>
      </c>
      <c r="AK333">
        <v>7</v>
      </c>
      <c r="AL333">
        <v>1</v>
      </c>
      <c r="AM333">
        <f>AJ333*AK333*AL333/7</f>
        <v>1</v>
      </c>
      <c r="AN333" t="s">
        <v>56</v>
      </c>
      <c r="AO333">
        <v>1</v>
      </c>
      <c r="AP333">
        <v>21</v>
      </c>
      <c r="AQ333" t="s">
        <v>238</v>
      </c>
      <c r="AR333">
        <v>0.35499999999999998</v>
      </c>
      <c r="AS333">
        <v>7</v>
      </c>
      <c r="AT333">
        <v>1</v>
      </c>
      <c r="AU333">
        <f>AR333*AS333*AT333/7</f>
        <v>0.35499999999999998</v>
      </c>
      <c r="AV333">
        <f>AU333+AM333</f>
        <v>1.355</v>
      </c>
      <c r="AW333" t="s">
        <v>266</v>
      </c>
      <c r="AX333">
        <v>0</v>
      </c>
      <c r="BE333">
        <f>AM333+AU333+BD333</f>
        <v>1.355</v>
      </c>
      <c r="BF333" t="s">
        <v>893</v>
      </c>
      <c r="BG333">
        <v>1</v>
      </c>
      <c r="BH333">
        <v>7</v>
      </c>
      <c r="BI333">
        <v>1</v>
      </c>
      <c r="BJ333" t="s">
        <v>42</v>
      </c>
      <c r="BK333">
        <v>6</v>
      </c>
      <c r="BL333">
        <v>1</v>
      </c>
      <c r="BM333">
        <v>1</v>
      </c>
      <c r="BN333" t="s">
        <v>63</v>
      </c>
      <c r="BO333">
        <v>5</v>
      </c>
      <c r="BP333">
        <v>96</v>
      </c>
      <c r="BQ333">
        <v>0.06</v>
      </c>
      <c r="BR333">
        <v>2</v>
      </c>
      <c r="BS333">
        <v>0.12</v>
      </c>
      <c r="BT333">
        <f>BS333+BD333+AU333+AM333</f>
        <v>1.4750000000000001</v>
      </c>
      <c r="BU333">
        <v>1</v>
      </c>
      <c r="BV333">
        <v>2</v>
      </c>
      <c r="BW333">
        <v>293</v>
      </c>
      <c r="BX333">
        <f>BW333/7</f>
        <v>41.857142857142854</v>
      </c>
      <c r="BY333">
        <f>0.77*BX333</f>
        <v>32.229999999999997</v>
      </c>
      <c r="BZ333">
        <f t="shared" si="5"/>
        <v>33.704999999999998</v>
      </c>
    </row>
    <row r="334" spans="1:78">
      <c r="A334" s="1">
        <v>45207.960731793981</v>
      </c>
      <c r="B334" s="9" t="s">
        <v>866</v>
      </c>
      <c r="C334">
        <v>333</v>
      </c>
      <c r="D334" s="10">
        <v>32903</v>
      </c>
      <c r="E334">
        <v>33</v>
      </c>
      <c r="F334">
        <v>1</v>
      </c>
      <c r="G334">
        <v>1</v>
      </c>
      <c r="H334">
        <v>4</v>
      </c>
      <c r="I334" s="10">
        <v>44092</v>
      </c>
      <c r="J334">
        <v>3</v>
      </c>
      <c r="K334">
        <v>0</v>
      </c>
      <c r="L334">
        <v>1</v>
      </c>
      <c r="M334">
        <v>3044</v>
      </c>
      <c r="N334">
        <v>2</v>
      </c>
      <c r="O334" s="10">
        <v>43833</v>
      </c>
      <c r="P334">
        <v>0</v>
      </c>
      <c r="Q334">
        <v>37</v>
      </c>
      <c r="R334">
        <v>2</v>
      </c>
      <c r="S334">
        <v>70</v>
      </c>
      <c r="T334">
        <v>158</v>
      </c>
      <c r="U334">
        <v>85</v>
      </c>
      <c r="V334">
        <v>15</v>
      </c>
      <c r="W334">
        <v>3</v>
      </c>
      <c r="X334">
        <v>28.040378144528116</v>
      </c>
      <c r="Y334">
        <v>34.049030604069856</v>
      </c>
      <c r="Z334">
        <v>6.0086524595417394</v>
      </c>
      <c r="AA334">
        <v>3</v>
      </c>
      <c r="AB334">
        <v>4</v>
      </c>
      <c r="AC334" t="s">
        <v>25</v>
      </c>
      <c r="AD334">
        <v>1</v>
      </c>
      <c r="AE334">
        <v>0</v>
      </c>
      <c r="AG334">
        <v>5</v>
      </c>
      <c r="AH334">
        <v>1</v>
      </c>
      <c r="AI334" t="s">
        <v>258</v>
      </c>
      <c r="AJ334" t="s">
        <v>258</v>
      </c>
      <c r="AK334">
        <v>7</v>
      </c>
      <c r="AL334">
        <v>1</v>
      </c>
      <c r="AM334" t="s">
        <v>258</v>
      </c>
      <c r="AN334" t="s">
        <v>740</v>
      </c>
      <c r="AO334">
        <v>0</v>
      </c>
      <c r="AW334" t="s">
        <v>684</v>
      </c>
      <c r="AX334">
        <v>1</v>
      </c>
      <c r="AY334" t="s">
        <v>684</v>
      </c>
      <c r="AZ334">
        <v>16</v>
      </c>
      <c r="BA334" t="s">
        <v>258</v>
      </c>
      <c r="BB334">
        <v>7</v>
      </c>
      <c r="BC334">
        <v>1</v>
      </c>
      <c r="BE334" t="s">
        <v>258</v>
      </c>
      <c r="BF334" t="s">
        <v>684</v>
      </c>
      <c r="BG334" t="s">
        <v>258</v>
      </c>
      <c r="BH334">
        <v>7</v>
      </c>
      <c r="BI334">
        <v>1</v>
      </c>
      <c r="BJ334" t="s">
        <v>49</v>
      </c>
      <c r="BK334">
        <v>5</v>
      </c>
      <c r="BL334">
        <v>1</v>
      </c>
      <c r="BM334">
        <v>1</v>
      </c>
      <c r="BN334" t="s">
        <v>55</v>
      </c>
      <c r="BO334">
        <v>2</v>
      </c>
      <c r="BP334">
        <v>134</v>
      </c>
      <c r="BQ334">
        <v>0.1</v>
      </c>
      <c r="BR334">
        <v>2</v>
      </c>
      <c r="BS334">
        <v>0.2</v>
      </c>
      <c r="BT334" t="e">
        <f>BS334+BD334+AU334+AM334</f>
        <v>#VALUE!</v>
      </c>
      <c r="BU334">
        <v>1</v>
      </c>
      <c r="BV334">
        <v>2</v>
      </c>
      <c r="BW334">
        <v>293</v>
      </c>
      <c r="BX334">
        <f>BW334/7</f>
        <v>41.857142857142854</v>
      </c>
      <c r="BY334">
        <f>0.77*BX334</f>
        <v>32.229999999999997</v>
      </c>
      <c r="BZ334" t="e">
        <f t="shared" si="5"/>
        <v>#VALUE!</v>
      </c>
    </row>
    <row r="335" spans="1:78">
      <c r="A335" s="1">
        <v>45207.963119942127</v>
      </c>
      <c r="C335">
        <v>334</v>
      </c>
      <c r="D335" s="10">
        <v>31905</v>
      </c>
      <c r="E335">
        <v>36</v>
      </c>
      <c r="F335">
        <v>1</v>
      </c>
      <c r="G335">
        <v>10</v>
      </c>
      <c r="H335">
        <v>5</v>
      </c>
      <c r="I335" s="10">
        <v>44636</v>
      </c>
      <c r="J335">
        <v>1</v>
      </c>
      <c r="K335">
        <v>1</v>
      </c>
      <c r="L335">
        <v>2</v>
      </c>
      <c r="M335">
        <v>3010</v>
      </c>
      <c r="N335">
        <v>2</v>
      </c>
      <c r="O335" s="10">
        <v>44377</v>
      </c>
      <c r="P335">
        <v>1</v>
      </c>
      <c r="Q335">
        <v>37</v>
      </c>
      <c r="R335">
        <v>2</v>
      </c>
      <c r="S335">
        <v>70</v>
      </c>
      <c r="T335">
        <v>166</v>
      </c>
      <c r="U335">
        <v>77</v>
      </c>
      <c r="V335">
        <v>7</v>
      </c>
      <c r="W335">
        <v>2</v>
      </c>
      <c r="X335">
        <v>25.402816083611555</v>
      </c>
      <c r="Y335">
        <v>27.94309769197271</v>
      </c>
      <c r="Z335">
        <v>2.5402816083611555</v>
      </c>
      <c r="AA335">
        <v>3</v>
      </c>
      <c r="AB335">
        <v>3</v>
      </c>
      <c r="AC335" t="s">
        <v>33</v>
      </c>
      <c r="AD335">
        <v>3</v>
      </c>
      <c r="AE335">
        <v>0</v>
      </c>
      <c r="AG335">
        <v>5</v>
      </c>
      <c r="AH335">
        <v>0</v>
      </c>
      <c r="AI335">
        <v>0</v>
      </c>
      <c r="AN335" t="s">
        <v>97</v>
      </c>
      <c r="AO335">
        <v>0</v>
      </c>
      <c r="AW335" t="s">
        <v>97</v>
      </c>
      <c r="AX335">
        <v>1</v>
      </c>
      <c r="AY335" t="s">
        <v>97</v>
      </c>
      <c r="AZ335">
        <v>11</v>
      </c>
      <c r="BA335">
        <v>0.2</v>
      </c>
      <c r="BB335">
        <v>7</v>
      </c>
      <c r="BC335">
        <v>1</v>
      </c>
      <c r="BD335">
        <f>BA335*BB335*1/7</f>
        <v>0.2</v>
      </c>
      <c r="BE335">
        <f>AM335+AU335+BD335</f>
        <v>0.2</v>
      </c>
      <c r="BF335" t="s">
        <v>97</v>
      </c>
      <c r="BG335">
        <v>0</v>
      </c>
      <c r="BH335">
        <v>7</v>
      </c>
      <c r="BI335">
        <v>1</v>
      </c>
      <c r="BJ335" t="s">
        <v>49</v>
      </c>
      <c r="BK335">
        <v>5</v>
      </c>
      <c r="BL335">
        <v>3</v>
      </c>
      <c r="BM335">
        <v>1</v>
      </c>
      <c r="BN335" t="s">
        <v>268</v>
      </c>
      <c r="BO335">
        <v>4</v>
      </c>
      <c r="BP335">
        <v>45</v>
      </c>
      <c r="BQ335">
        <v>0.05</v>
      </c>
      <c r="BR335">
        <v>1</v>
      </c>
      <c r="BS335">
        <v>0.05</v>
      </c>
      <c r="BT335">
        <f>BS335+BD335+AU335+AM335</f>
        <v>0.25</v>
      </c>
      <c r="BU335">
        <v>0</v>
      </c>
      <c r="BW335">
        <v>0</v>
      </c>
      <c r="BX335">
        <f>BW335/7</f>
        <v>0</v>
      </c>
      <c r="BY335">
        <f>0.77*BX335</f>
        <v>0</v>
      </c>
      <c r="BZ335">
        <f t="shared" si="5"/>
        <v>0.25</v>
      </c>
    </row>
    <row r="336" spans="1:78">
      <c r="A336" s="1">
        <v>45207.963262245372</v>
      </c>
      <c r="C336">
        <v>335</v>
      </c>
      <c r="D336" s="10">
        <v>35315</v>
      </c>
      <c r="E336">
        <v>27</v>
      </c>
      <c r="F336">
        <v>1</v>
      </c>
      <c r="G336">
        <v>11</v>
      </c>
      <c r="H336">
        <v>4</v>
      </c>
      <c r="I336" s="10">
        <v>44333</v>
      </c>
      <c r="J336">
        <v>1</v>
      </c>
      <c r="K336">
        <v>1</v>
      </c>
      <c r="L336">
        <v>2</v>
      </c>
      <c r="M336">
        <v>2900</v>
      </c>
      <c r="N336">
        <v>2</v>
      </c>
      <c r="O336" s="10">
        <v>44067</v>
      </c>
      <c r="P336">
        <v>1</v>
      </c>
      <c r="Q336">
        <v>38</v>
      </c>
      <c r="R336">
        <v>2</v>
      </c>
      <c r="S336">
        <v>57</v>
      </c>
      <c r="T336">
        <v>158</v>
      </c>
      <c r="U336">
        <v>70</v>
      </c>
      <c r="V336">
        <v>13</v>
      </c>
      <c r="W336">
        <v>2</v>
      </c>
      <c r="X336">
        <v>22.832879346258608</v>
      </c>
      <c r="Y336">
        <v>28.040378144528116</v>
      </c>
      <c r="Z336">
        <v>5.2074987982695085</v>
      </c>
      <c r="AA336">
        <v>2</v>
      </c>
      <c r="AB336">
        <v>3</v>
      </c>
      <c r="AC336" t="s">
        <v>44</v>
      </c>
      <c r="AD336">
        <v>1</v>
      </c>
      <c r="AE336">
        <v>0</v>
      </c>
      <c r="AG336">
        <v>5</v>
      </c>
      <c r="AH336">
        <v>1</v>
      </c>
      <c r="AI336">
        <v>13</v>
      </c>
      <c r="AJ336">
        <v>1</v>
      </c>
      <c r="AK336">
        <v>7</v>
      </c>
      <c r="AL336">
        <v>1</v>
      </c>
      <c r="AM336">
        <f>AJ336*AK336*AL336/7</f>
        <v>1</v>
      </c>
      <c r="AN336" t="s">
        <v>79</v>
      </c>
      <c r="AO336">
        <v>0</v>
      </c>
      <c r="AV336">
        <f>AU336+AM336</f>
        <v>1</v>
      </c>
      <c r="AX336">
        <v>0</v>
      </c>
      <c r="BE336">
        <f>AM336+AU336+BD336</f>
        <v>1</v>
      </c>
      <c r="BG336">
        <v>0</v>
      </c>
      <c r="BJ336" t="s">
        <v>28</v>
      </c>
      <c r="BK336">
        <v>3</v>
      </c>
      <c r="BL336">
        <v>1</v>
      </c>
      <c r="BM336">
        <v>1</v>
      </c>
      <c r="BN336" t="s">
        <v>63</v>
      </c>
      <c r="BO336">
        <v>5</v>
      </c>
      <c r="BP336">
        <v>96</v>
      </c>
      <c r="BQ336">
        <v>0.06</v>
      </c>
      <c r="BR336">
        <v>2</v>
      </c>
      <c r="BS336">
        <v>0.12</v>
      </c>
      <c r="BT336">
        <f>BS336+BD336+AU336+AM336</f>
        <v>1.1200000000000001</v>
      </c>
      <c r="BU336">
        <v>1</v>
      </c>
      <c r="BV336">
        <v>3</v>
      </c>
      <c r="BW336">
        <v>439.5</v>
      </c>
      <c r="BX336">
        <f>BW336/7</f>
        <v>62.785714285714285</v>
      </c>
      <c r="BY336">
        <f>0.77*BX336</f>
        <v>48.344999999999999</v>
      </c>
      <c r="BZ336">
        <f t="shared" si="5"/>
        <v>49.464999999999996</v>
      </c>
    </row>
    <row r="337" spans="1:78">
      <c r="A337" s="1">
        <v>45207.963869097221</v>
      </c>
      <c r="C337">
        <v>336</v>
      </c>
      <c r="D337" s="10">
        <v>32280</v>
      </c>
      <c r="E337">
        <v>35</v>
      </c>
      <c r="F337">
        <v>1</v>
      </c>
      <c r="G337">
        <v>4</v>
      </c>
      <c r="H337">
        <v>4</v>
      </c>
      <c r="I337" s="10">
        <v>44578</v>
      </c>
      <c r="J337">
        <v>2</v>
      </c>
      <c r="K337">
        <v>0</v>
      </c>
      <c r="L337">
        <v>2</v>
      </c>
      <c r="M337">
        <v>3675</v>
      </c>
      <c r="N337">
        <v>2</v>
      </c>
      <c r="O337" s="10">
        <v>44312</v>
      </c>
      <c r="P337">
        <v>1</v>
      </c>
      <c r="Q337">
        <v>38</v>
      </c>
      <c r="R337">
        <v>2</v>
      </c>
      <c r="S337">
        <v>101</v>
      </c>
      <c r="T337">
        <v>174</v>
      </c>
      <c r="U337">
        <v>112</v>
      </c>
      <c r="V337">
        <v>11</v>
      </c>
      <c r="W337">
        <v>2</v>
      </c>
      <c r="X337">
        <v>33.359756903157617</v>
      </c>
      <c r="Y337">
        <v>36.992997753996562</v>
      </c>
      <c r="Z337">
        <v>3.6332408508389449</v>
      </c>
      <c r="AA337">
        <v>4</v>
      </c>
      <c r="AB337">
        <v>4</v>
      </c>
      <c r="AC337" t="s">
        <v>269</v>
      </c>
      <c r="AD337">
        <v>2</v>
      </c>
      <c r="AE337">
        <v>0</v>
      </c>
      <c r="AG337">
        <v>5</v>
      </c>
      <c r="AH337">
        <v>1</v>
      </c>
      <c r="AI337">
        <v>10</v>
      </c>
      <c r="AJ337">
        <v>1</v>
      </c>
      <c r="AK337">
        <v>7</v>
      </c>
      <c r="AL337">
        <v>1</v>
      </c>
      <c r="AM337">
        <f>AJ337*AK337*AL337/7</f>
        <v>1</v>
      </c>
      <c r="AN337" t="s">
        <v>166</v>
      </c>
      <c r="AO337">
        <v>0</v>
      </c>
      <c r="AV337">
        <f>AU337+AM337</f>
        <v>1</v>
      </c>
      <c r="AW337" t="s">
        <v>71</v>
      </c>
      <c r="AX337">
        <v>1</v>
      </c>
      <c r="AY337" t="s">
        <v>71</v>
      </c>
      <c r="AZ337">
        <v>5</v>
      </c>
      <c r="BA337">
        <v>0.4</v>
      </c>
      <c r="BB337">
        <v>7</v>
      </c>
      <c r="BC337">
        <v>1</v>
      </c>
      <c r="BD337">
        <f>BA337*BB337*1/7</f>
        <v>0.4</v>
      </c>
      <c r="BE337">
        <f>AM337+AU337+BD337</f>
        <v>1.4</v>
      </c>
      <c r="BF337" t="s">
        <v>71</v>
      </c>
      <c r="BG337">
        <v>0</v>
      </c>
      <c r="BH337">
        <v>7</v>
      </c>
      <c r="BI337">
        <v>1</v>
      </c>
      <c r="BJ337" t="s">
        <v>49</v>
      </c>
      <c r="BK337">
        <v>5</v>
      </c>
      <c r="BL337">
        <v>1</v>
      </c>
      <c r="BM337">
        <v>1</v>
      </c>
      <c r="BN337" t="s">
        <v>63</v>
      </c>
      <c r="BO337">
        <v>5</v>
      </c>
      <c r="BP337">
        <v>144</v>
      </c>
      <c r="BQ337">
        <v>0.06</v>
      </c>
      <c r="BR337">
        <v>3</v>
      </c>
      <c r="BS337">
        <v>0.18</v>
      </c>
      <c r="BT337">
        <f>BS337+BD337+AU337+AM337</f>
        <v>1.58</v>
      </c>
      <c r="BU337">
        <v>1</v>
      </c>
      <c r="BV337">
        <v>1</v>
      </c>
      <c r="BW337">
        <v>146.5</v>
      </c>
      <c r="BX337">
        <f>BW337/7</f>
        <v>20.928571428571427</v>
      </c>
      <c r="BY337">
        <f>0.77*BX337</f>
        <v>16.114999999999998</v>
      </c>
      <c r="BZ337">
        <f t="shared" si="5"/>
        <v>17.695</v>
      </c>
    </row>
    <row r="338" spans="1:78">
      <c r="A338" s="1">
        <v>45207.970395046301</v>
      </c>
      <c r="C338">
        <v>337</v>
      </c>
      <c r="D338" s="10">
        <v>36657</v>
      </c>
      <c r="E338">
        <v>23</v>
      </c>
      <c r="F338">
        <v>1</v>
      </c>
      <c r="G338">
        <v>6</v>
      </c>
      <c r="H338">
        <v>2</v>
      </c>
      <c r="I338" s="10">
        <v>44998</v>
      </c>
      <c r="J338">
        <v>1</v>
      </c>
      <c r="K338">
        <v>1</v>
      </c>
      <c r="L338">
        <v>1</v>
      </c>
      <c r="M338">
        <v>2780</v>
      </c>
      <c r="N338">
        <v>2</v>
      </c>
      <c r="O338" s="10">
        <v>44732</v>
      </c>
      <c r="P338">
        <v>0</v>
      </c>
      <c r="Q338">
        <v>38</v>
      </c>
      <c r="R338">
        <v>2</v>
      </c>
      <c r="S338">
        <v>60</v>
      </c>
      <c r="T338">
        <v>147</v>
      </c>
      <c r="U338">
        <v>76</v>
      </c>
      <c r="V338">
        <v>16</v>
      </c>
      <c r="W338">
        <v>3</v>
      </c>
      <c r="X338">
        <v>27.76620852422602</v>
      </c>
      <c r="Y338">
        <v>35.17053079735296</v>
      </c>
      <c r="Z338">
        <v>7.4043222731269402</v>
      </c>
      <c r="AA338">
        <v>3</v>
      </c>
      <c r="AB338">
        <v>4</v>
      </c>
      <c r="AC338" t="s">
        <v>50</v>
      </c>
      <c r="AD338">
        <v>2</v>
      </c>
      <c r="AE338">
        <v>0</v>
      </c>
      <c r="AG338">
        <v>5</v>
      </c>
      <c r="AH338">
        <v>0</v>
      </c>
      <c r="AI338">
        <v>0</v>
      </c>
      <c r="AO338">
        <v>0</v>
      </c>
      <c r="AW338" t="s">
        <v>270</v>
      </c>
      <c r="AX338">
        <v>1</v>
      </c>
      <c r="AY338" t="s">
        <v>128</v>
      </c>
      <c r="AZ338">
        <v>4</v>
      </c>
      <c r="BA338">
        <v>0.2</v>
      </c>
      <c r="BB338">
        <v>7</v>
      </c>
      <c r="BC338">
        <v>1</v>
      </c>
      <c r="BD338">
        <f>BA338*BB338*1/7</f>
        <v>0.2</v>
      </c>
      <c r="BE338">
        <f>AM338+AU338+BD338</f>
        <v>0.2</v>
      </c>
      <c r="BF338" t="s">
        <v>270</v>
      </c>
      <c r="BG338">
        <v>1</v>
      </c>
      <c r="BH338">
        <v>7</v>
      </c>
      <c r="BI338">
        <v>1</v>
      </c>
      <c r="BJ338" t="s">
        <v>51</v>
      </c>
      <c r="BK338">
        <v>1</v>
      </c>
      <c r="BL338">
        <v>3</v>
      </c>
      <c r="BM338">
        <v>1</v>
      </c>
      <c r="BN338" t="s">
        <v>55</v>
      </c>
      <c r="BO338">
        <v>2</v>
      </c>
      <c r="BP338">
        <v>67</v>
      </c>
      <c r="BQ338">
        <v>0.1</v>
      </c>
      <c r="BR338">
        <v>1</v>
      </c>
      <c r="BS338">
        <v>0.1</v>
      </c>
      <c r="BT338">
        <f>BS338+BD338+AU338+AM338</f>
        <v>0.30000000000000004</v>
      </c>
      <c r="BU338">
        <v>1</v>
      </c>
      <c r="BV338">
        <v>3</v>
      </c>
      <c r="BW338">
        <v>439.5</v>
      </c>
      <c r="BX338">
        <f>BW338/7</f>
        <v>62.785714285714285</v>
      </c>
      <c r="BY338">
        <f>0.77*BX338</f>
        <v>48.344999999999999</v>
      </c>
      <c r="BZ338">
        <f t="shared" si="5"/>
        <v>48.644999999999996</v>
      </c>
    </row>
    <row r="339" spans="1:78">
      <c r="A339" s="1">
        <v>45207.977488263889</v>
      </c>
      <c r="B339" t="s">
        <v>870</v>
      </c>
      <c r="C339">
        <v>338</v>
      </c>
      <c r="D339" s="10">
        <v>29104</v>
      </c>
      <c r="E339">
        <v>44</v>
      </c>
      <c r="F339">
        <v>1</v>
      </c>
      <c r="G339">
        <v>10</v>
      </c>
      <c r="H339">
        <v>4</v>
      </c>
      <c r="I339" s="10">
        <v>43211</v>
      </c>
      <c r="J339">
        <v>2</v>
      </c>
      <c r="K339">
        <v>0</v>
      </c>
      <c r="L339">
        <v>2</v>
      </c>
      <c r="M339">
        <v>1810</v>
      </c>
      <c r="N339">
        <v>1</v>
      </c>
      <c r="O339" s="10">
        <v>42938</v>
      </c>
      <c r="P339">
        <v>0</v>
      </c>
      <c r="Q339">
        <v>39</v>
      </c>
      <c r="R339">
        <v>2</v>
      </c>
      <c r="S339">
        <v>73</v>
      </c>
      <c r="T339">
        <v>165</v>
      </c>
      <c r="U339">
        <v>80</v>
      </c>
      <c r="V339">
        <v>7</v>
      </c>
      <c r="W339">
        <v>2</v>
      </c>
      <c r="X339">
        <v>26.813590449954088</v>
      </c>
      <c r="Y339">
        <v>29.384756657483933</v>
      </c>
      <c r="Z339">
        <v>2.5711662075298456</v>
      </c>
      <c r="AA339">
        <v>3</v>
      </c>
      <c r="AB339">
        <v>3</v>
      </c>
      <c r="AC339" t="s">
        <v>742</v>
      </c>
      <c r="AD339">
        <v>4</v>
      </c>
      <c r="AE339">
        <v>1</v>
      </c>
      <c r="AF339" t="s">
        <v>743</v>
      </c>
      <c r="AG339" t="e">
        <v>#N/A</v>
      </c>
      <c r="AH339">
        <v>1</v>
      </c>
      <c r="AI339">
        <v>7</v>
      </c>
      <c r="AJ339">
        <v>5</v>
      </c>
      <c r="AK339">
        <v>7</v>
      </c>
      <c r="AL339">
        <v>1</v>
      </c>
      <c r="AM339">
        <f>AJ339*AK339*AL339/7</f>
        <v>5</v>
      </c>
      <c r="AN339" t="s">
        <v>206</v>
      </c>
      <c r="AO339">
        <v>0</v>
      </c>
      <c r="AV339">
        <f>AU339+AM339</f>
        <v>5</v>
      </c>
      <c r="AX339">
        <v>0</v>
      </c>
      <c r="BE339">
        <f>AM339+AU339+BD339</f>
        <v>5</v>
      </c>
      <c r="BG339">
        <v>0</v>
      </c>
      <c r="BJ339" t="s">
        <v>49</v>
      </c>
      <c r="BK339">
        <v>5</v>
      </c>
      <c r="BL339">
        <v>1</v>
      </c>
      <c r="BM339">
        <v>1</v>
      </c>
      <c r="BN339" t="s">
        <v>30</v>
      </c>
      <c r="BO339">
        <v>1</v>
      </c>
      <c r="BP339">
        <v>168</v>
      </c>
      <c r="BQ339">
        <v>0.13</v>
      </c>
      <c r="BR339">
        <v>2</v>
      </c>
      <c r="BS339">
        <v>0.26</v>
      </c>
      <c r="BT339">
        <f>BS339+BD339+AU339+AM339</f>
        <v>5.26</v>
      </c>
      <c r="BU339">
        <v>1</v>
      </c>
      <c r="BV339">
        <v>2</v>
      </c>
      <c r="BW339">
        <v>293</v>
      </c>
      <c r="BX339">
        <f>BW339/7</f>
        <v>41.857142857142854</v>
      </c>
      <c r="BY339">
        <f>0.77*BX339</f>
        <v>32.229999999999997</v>
      </c>
      <c r="BZ339">
        <f t="shared" si="5"/>
        <v>37.489999999999995</v>
      </c>
    </row>
    <row r="340" spans="1:78">
      <c r="A340" s="1">
        <v>45207.979760752314</v>
      </c>
      <c r="C340">
        <v>339</v>
      </c>
      <c r="D340" s="10">
        <v>33324</v>
      </c>
      <c r="E340">
        <v>32</v>
      </c>
      <c r="F340">
        <v>1</v>
      </c>
      <c r="G340">
        <v>1</v>
      </c>
      <c r="H340">
        <v>4</v>
      </c>
      <c r="I340" s="10">
        <v>43962</v>
      </c>
      <c r="J340">
        <v>1</v>
      </c>
      <c r="K340">
        <v>1</v>
      </c>
      <c r="L340">
        <v>2</v>
      </c>
      <c r="M340">
        <v>3110</v>
      </c>
      <c r="N340">
        <v>2</v>
      </c>
      <c r="O340" s="10">
        <v>43697</v>
      </c>
      <c r="P340">
        <v>0</v>
      </c>
      <c r="Q340">
        <v>37.857142857142854</v>
      </c>
      <c r="R340">
        <v>2</v>
      </c>
      <c r="S340">
        <v>69</v>
      </c>
      <c r="T340">
        <v>157</v>
      </c>
      <c r="U340">
        <v>68.3</v>
      </c>
      <c r="V340">
        <v>-0.70000000000000284</v>
      </c>
      <c r="W340">
        <v>1</v>
      </c>
      <c r="X340">
        <v>27.993022029291247</v>
      </c>
      <c r="Y340">
        <v>27.709034849283945</v>
      </c>
      <c r="Z340">
        <v>-0.28398718000730128</v>
      </c>
      <c r="AA340">
        <v>3</v>
      </c>
      <c r="AB340">
        <v>3</v>
      </c>
      <c r="AC340" t="s">
        <v>33</v>
      </c>
      <c r="AD340">
        <v>3</v>
      </c>
      <c r="AE340">
        <v>0</v>
      </c>
      <c r="AG340">
        <v>5</v>
      </c>
      <c r="AH340">
        <v>1</v>
      </c>
      <c r="AI340">
        <v>4</v>
      </c>
      <c r="AJ340">
        <v>1</v>
      </c>
      <c r="AK340">
        <v>7</v>
      </c>
      <c r="AL340">
        <v>1</v>
      </c>
      <c r="AM340">
        <f>AJ340*AK340*AL340/7</f>
        <v>1</v>
      </c>
      <c r="AN340" t="s">
        <v>43</v>
      </c>
      <c r="AO340">
        <v>0</v>
      </c>
      <c r="AV340">
        <f>AU340+AM340</f>
        <v>1</v>
      </c>
      <c r="AX340">
        <v>0</v>
      </c>
      <c r="BE340">
        <f>AM340+AU340+BD340</f>
        <v>1</v>
      </c>
      <c r="BG340">
        <v>0</v>
      </c>
      <c r="BJ340" t="s">
        <v>42</v>
      </c>
      <c r="BK340">
        <v>6</v>
      </c>
      <c r="BL340">
        <v>1</v>
      </c>
      <c r="BM340">
        <v>1</v>
      </c>
      <c r="BN340" t="s">
        <v>30</v>
      </c>
      <c r="BO340">
        <v>1</v>
      </c>
      <c r="BP340">
        <v>84</v>
      </c>
      <c r="BQ340">
        <v>0.13</v>
      </c>
      <c r="BR340">
        <v>1</v>
      </c>
      <c r="BS340">
        <v>0.13</v>
      </c>
      <c r="BT340">
        <f>BS340+BD340+AU340+AM340</f>
        <v>1.1299999999999999</v>
      </c>
      <c r="BU340">
        <v>1</v>
      </c>
      <c r="BV340">
        <v>3</v>
      </c>
      <c r="BW340">
        <v>439.5</v>
      </c>
      <c r="BX340">
        <f>BW340/7</f>
        <v>62.785714285714285</v>
      </c>
      <c r="BY340">
        <f>0.77*BX340</f>
        <v>48.344999999999999</v>
      </c>
      <c r="BZ340">
        <f t="shared" si="5"/>
        <v>49.475000000000001</v>
      </c>
    </row>
    <row r="341" spans="1:78">
      <c r="A341" s="1">
        <v>45207.98090599537</v>
      </c>
      <c r="B341" t="s">
        <v>870</v>
      </c>
      <c r="C341">
        <v>340</v>
      </c>
      <c r="D341" s="10">
        <v>34887</v>
      </c>
      <c r="E341">
        <v>28</v>
      </c>
      <c r="F341">
        <v>1</v>
      </c>
      <c r="G341">
        <v>7</v>
      </c>
      <c r="H341">
        <v>3</v>
      </c>
      <c r="I341" s="10">
        <v>44211</v>
      </c>
      <c r="J341">
        <v>1</v>
      </c>
      <c r="K341">
        <v>1</v>
      </c>
      <c r="L341">
        <v>1</v>
      </c>
      <c r="M341">
        <v>1695</v>
      </c>
      <c r="N341">
        <v>1</v>
      </c>
      <c r="O341" s="10">
        <v>43994</v>
      </c>
      <c r="P341">
        <v>1</v>
      </c>
      <c r="Q341">
        <v>31</v>
      </c>
      <c r="R341">
        <v>4</v>
      </c>
      <c r="S341">
        <v>67</v>
      </c>
      <c r="T341">
        <v>170</v>
      </c>
      <c r="U341">
        <v>72</v>
      </c>
      <c r="V341">
        <v>5</v>
      </c>
      <c r="W341">
        <v>1</v>
      </c>
      <c r="X341">
        <v>23.183391003460208</v>
      </c>
      <c r="Y341">
        <v>24.913494809688583</v>
      </c>
      <c r="Z341">
        <v>1.7301038062283745</v>
      </c>
      <c r="AA341">
        <v>2</v>
      </c>
      <c r="AB341">
        <v>2</v>
      </c>
      <c r="AC341" t="s">
        <v>745</v>
      </c>
      <c r="AD341">
        <v>4</v>
      </c>
      <c r="AE341">
        <v>1</v>
      </c>
      <c r="AF341" t="s">
        <v>746</v>
      </c>
      <c r="AG341" t="e">
        <v>#N/A</v>
      </c>
      <c r="AH341">
        <v>1</v>
      </c>
      <c r="AI341">
        <v>13</v>
      </c>
      <c r="AJ341">
        <v>1</v>
      </c>
      <c r="AK341">
        <v>7</v>
      </c>
      <c r="AL341">
        <v>1</v>
      </c>
      <c r="AM341">
        <f>AJ341*AK341*AL341/7</f>
        <v>1</v>
      </c>
      <c r="AN341" t="s">
        <v>79</v>
      </c>
      <c r="AO341">
        <v>0</v>
      </c>
      <c r="AV341">
        <f>AU341+AM341</f>
        <v>1</v>
      </c>
      <c r="AX341">
        <v>0</v>
      </c>
      <c r="BE341">
        <f>AM341+AU341+BD341</f>
        <v>1</v>
      </c>
      <c r="BG341">
        <v>0</v>
      </c>
      <c r="BJ341" t="s">
        <v>42</v>
      </c>
      <c r="BK341">
        <v>6</v>
      </c>
      <c r="BL341">
        <v>1</v>
      </c>
      <c r="BM341">
        <v>1</v>
      </c>
      <c r="BN341" t="s">
        <v>55</v>
      </c>
      <c r="BO341">
        <v>2</v>
      </c>
      <c r="BP341">
        <v>268</v>
      </c>
      <c r="BQ341">
        <v>0.1</v>
      </c>
      <c r="BR341">
        <v>4</v>
      </c>
      <c r="BS341">
        <v>0.4</v>
      </c>
      <c r="BT341">
        <f>BS341+BD341+AU341+AM341</f>
        <v>1.4</v>
      </c>
      <c r="BU341">
        <v>1</v>
      </c>
      <c r="BV341">
        <v>2</v>
      </c>
      <c r="BW341">
        <v>293</v>
      </c>
      <c r="BX341">
        <f>BW341/7</f>
        <v>41.857142857142854</v>
      </c>
      <c r="BY341">
        <f>0.77*BX341</f>
        <v>32.229999999999997</v>
      </c>
      <c r="BZ341">
        <f t="shared" si="5"/>
        <v>33.629999999999995</v>
      </c>
    </row>
    <row r="342" spans="1:78">
      <c r="A342" s="1">
        <v>45207.993919976856</v>
      </c>
      <c r="C342">
        <v>341</v>
      </c>
      <c r="D342" s="10">
        <v>32645</v>
      </c>
      <c r="E342">
        <v>34</v>
      </c>
      <c r="F342">
        <v>1</v>
      </c>
      <c r="G342">
        <v>10</v>
      </c>
      <c r="H342">
        <v>4</v>
      </c>
      <c r="I342" s="10">
        <v>44662</v>
      </c>
      <c r="J342">
        <v>3</v>
      </c>
      <c r="K342">
        <v>0</v>
      </c>
      <c r="L342">
        <v>1</v>
      </c>
      <c r="M342">
        <v>3455</v>
      </c>
      <c r="N342">
        <v>2</v>
      </c>
      <c r="O342" s="10">
        <v>44396</v>
      </c>
      <c r="P342">
        <v>1</v>
      </c>
      <c r="Q342">
        <v>38</v>
      </c>
      <c r="R342">
        <v>2</v>
      </c>
      <c r="S342">
        <v>89.9</v>
      </c>
      <c r="T342">
        <v>156</v>
      </c>
      <c r="U342">
        <v>86.4</v>
      </c>
      <c r="V342">
        <v>-3.5</v>
      </c>
      <c r="W342">
        <v>1</v>
      </c>
      <c r="X342">
        <v>36.941157133464827</v>
      </c>
      <c r="Y342">
        <v>35.502958579881657</v>
      </c>
      <c r="Z342">
        <v>-1.4381985535831703</v>
      </c>
      <c r="AA342">
        <v>4</v>
      </c>
      <c r="AB342">
        <v>4</v>
      </c>
      <c r="AC342" t="s">
        <v>50</v>
      </c>
      <c r="AD342">
        <v>2</v>
      </c>
      <c r="AE342">
        <v>0</v>
      </c>
      <c r="AG342">
        <v>5</v>
      </c>
      <c r="AH342">
        <v>1</v>
      </c>
      <c r="AI342">
        <v>4</v>
      </c>
      <c r="AJ342">
        <v>1</v>
      </c>
      <c r="AK342">
        <v>2</v>
      </c>
      <c r="AL342">
        <v>1</v>
      </c>
      <c r="AM342">
        <f>AJ342*AK342*AL342/7</f>
        <v>0.2857142857142857</v>
      </c>
      <c r="AN342" t="s">
        <v>43</v>
      </c>
      <c r="AO342">
        <v>0</v>
      </c>
      <c r="AV342">
        <f>AU342+AM342</f>
        <v>0.2857142857142857</v>
      </c>
      <c r="AX342">
        <v>0</v>
      </c>
      <c r="BE342">
        <f>AM342+AU342+BD342</f>
        <v>0.2857142857142857</v>
      </c>
      <c r="BG342">
        <v>0</v>
      </c>
      <c r="BJ342" t="s">
        <v>49</v>
      </c>
      <c r="BK342">
        <v>5</v>
      </c>
      <c r="BL342">
        <v>3</v>
      </c>
      <c r="BM342">
        <v>1</v>
      </c>
      <c r="BN342" t="s">
        <v>30</v>
      </c>
      <c r="BO342">
        <v>1</v>
      </c>
      <c r="BP342">
        <v>84</v>
      </c>
      <c r="BQ342">
        <v>0.13</v>
      </c>
      <c r="BR342">
        <v>1</v>
      </c>
      <c r="BS342">
        <v>0.13</v>
      </c>
      <c r="BT342">
        <f>BS342+BD342+AU342+AM342</f>
        <v>0.4157142857142857</v>
      </c>
      <c r="BU342">
        <v>1</v>
      </c>
      <c r="BV342">
        <v>2</v>
      </c>
      <c r="BW342">
        <v>293</v>
      </c>
      <c r="BX342">
        <f>BW342/7</f>
        <v>41.857142857142854</v>
      </c>
      <c r="BY342">
        <f>0.77*BX342</f>
        <v>32.229999999999997</v>
      </c>
      <c r="BZ342">
        <f t="shared" si="5"/>
        <v>32.645714285714284</v>
      </c>
    </row>
    <row r="343" spans="1:78">
      <c r="A343" s="1">
        <v>45208.000017129627</v>
      </c>
      <c r="C343">
        <v>342</v>
      </c>
      <c r="D343" s="10">
        <v>35666</v>
      </c>
      <c r="E343">
        <v>26</v>
      </c>
      <c r="F343">
        <v>1</v>
      </c>
      <c r="G343">
        <v>12</v>
      </c>
      <c r="H343">
        <v>4</v>
      </c>
      <c r="I343" s="10">
        <v>44231</v>
      </c>
      <c r="J343">
        <v>1</v>
      </c>
      <c r="K343">
        <v>1</v>
      </c>
      <c r="L343">
        <v>1</v>
      </c>
      <c r="M343">
        <v>3115</v>
      </c>
      <c r="N343">
        <v>2</v>
      </c>
      <c r="O343" s="10">
        <v>43961</v>
      </c>
      <c r="P343">
        <v>1</v>
      </c>
      <c r="Q343">
        <v>38.571428571428569</v>
      </c>
      <c r="R343">
        <v>2</v>
      </c>
      <c r="S343">
        <v>80</v>
      </c>
      <c r="T343">
        <v>160</v>
      </c>
      <c r="U343">
        <v>95</v>
      </c>
      <c r="V343">
        <v>15</v>
      </c>
      <c r="W343">
        <v>3</v>
      </c>
      <c r="X343">
        <v>31.249999999999993</v>
      </c>
      <c r="Y343">
        <v>37.109374999999993</v>
      </c>
      <c r="Z343">
        <v>5.859375</v>
      </c>
      <c r="AA343">
        <v>4</v>
      </c>
      <c r="AB343">
        <v>4</v>
      </c>
      <c r="AC343" t="s">
        <v>33</v>
      </c>
      <c r="AD343">
        <v>3</v>
      </c>
      <c r="AE343">
        <v>0</v>
      </c>
      <c r="AG343">
        <v>5</v>
      </c>
      <c r="AH343">
        <v>1</v>
      </c>
      <c r="AI343">
        <v>13</v>
      </c>
      <c r="AJ343">
        <v>1</v>
      </c>
      <c r="AK343">
        <v>7</v>
      </c>
      <c r="AL343">
        <v>1</v>
      </c>
      <c r="AM343">
        <f>AJ343*AK343*AL343/7</f>
        <v>1</v>
      </c>
      <c r="AN343" t="s">
        <v>79</v>
      </c>
      <c r="AO343">
        <v>0</v>
      </c>
      <c r="AV343">
        <f>AU343+AM343</f>
        <v>1</v>
      </c>
      <c r="AX343">
        <v>0</v>
      </c>
      <c r="BE343">
        <f>AM343+AU343+BD343</f>
        <v>1</v>
      </c>
      <c r="BG343">
        <v>0</v>
      </c>
      <c r="BJ343" t="s">
        <v>42</v>
      </c>
      <c r="BK343">
        <v>6</v>
      </c>
      <c r="BL343">
        <v>1</v>
      </c>
      <c r="BM343">
        <v>1</v>
      </c>
      <c r="BN343" t="s">
        <v>55</v>
      </c>
      <c r="BO343">
        <v>2</v>
      </c>
      <c r="BP343">
        <v>67</v>
      </c>
      <c r="BQ343">
        <v>0.1</v>
      </c>
      <c r="BR343">
        <v>1</v>
      </c>
      <c r="BS343">
        <v>0.1</v>
      </c>
      <c r="BT343">
        <f>BS343+BD343+AU343+AM343</f>
        <v>1.1000000000000001</v>
      </c>
      <c r="BU343">
        <v>1</v>
      </c>
      <c r="BV343">
        <v>1</v>
      </c>
      <c r="BW343">
        <v>146.5</v>
      </c>
      <c r="BX343">
        <f>BW343/7</f>
        <v>20.928571428571427</v>
      </c>
      <c r="BY343">
        <f>0.77*BX343</f>
        <v>16.114999999999998</v>
      </c>
      <c r="BZ343">
        <f t="shared" si="5"/>
        <v>17.215</v>
      </c>
    </row>
    <row r="344" spans="1:78">
      <c r="A344" s="1">
        <v>45208.021884201386</v>
      </c>
      <c r="C344">
        <v>343</v>
      </c>
      <c r="D344" s="10">
        <v>35191</v>
      </c>
      <c r="E344">
        <v>27</v>
      </c>
      <c r="F344">
        <v>1</v>
      </c>
      <c r="G344">
        <v>13</v>
      </c>
      <c r="H344">
        <v>4</v>
      </c>
      <c r="I344" s="10">
        <v>44233</v>
      </c>
      <c r="J344">
        <v>1</v>
      </c>
      <c r="K344">
        <v>1</v>
      </c>
      <c r="L344">
        <v>2</v>
      </c>
      <c r="M344">
        <v>4020</v>
      </c>
      <c r="N344">
        <v>3</v>
      </c>
      <c r="O344" s="10">
        <v>43963</v>
      </c>
      <c r="P344">
        <v>1</v>
      </c>
      <c r="Q344">
        <v>38.571428571428569</v>
      </c>
      <c r="R344">
        <v>2</v>
      </c>
      <c r="S344">
        <v>84</v>
      </c>
      <c r="T344">
        <v>159</v>
      </c>
      <c r="U344">
        <v>71</v>
      </c>
      <c r="V344">
        <v>-13</v>
      </c>
      <c r="W344">
        <v>1</v>
      </c>
      <c r="X344">
        <v>33.226533760531623</v>
      </c>
      <c r="Y344">
        <v>28.084332107116012</v>
      </c>
      <c r="Z344">
        <v>-5.1422016534156114</v>
      </c>
      <c r="AA344">
        <v>4</v>
      </c>
      <c r="AB344">
        <v>3</v>
      </c>
      <c r="AC344" t="s">
        <v>33</v>
      </c>
      <c r="AD344">
        <v>3</v>
      </c>
      <c r="AE344">
        <v>1</v>
      </c>
      <c r="AF344" t="s">
        <v>271</v>
      </c>
      <c r="AG344" t="e">
        <v>#N/A</v>
      </c>
      <c r="AH344">
        <v>1</v>
      </c>
      <c r="AI344">
        <v>13</v>
      </c>
      <c r="AJ344">
        <v>1</v>
      </c>
      <c r="AK344">
        <v>7</v>
      </c>
      <c r="AL344">
        <v>1</v>
      </c>
      <c r="AM344">
        <f>AJ344*AK344*AL344/7</f>
        <v>1</v>
      </c>
      <c r="AN344" t="s">
        <v>79</v>
      </c>
      <c r="AO344">
        <v>0</v>
      </c>
      <c r="AV344">
        <f>AU344+AM344</f>
        <v>1</v>
      </c>
      <c r="AX344">
        <v>0</v>
      </c>
      <c r="BE344">
        <f>AM344+AU344+BD344</f>
        <v>1</v>
      </c>
      <c r="BG344">
        <v>0</v>
      </c>
      <c r="BJ344" t="s">
        <v>49</v>
      </c>
      <c r="BK344">
        <v>5</v>
      </c>
      <c r="BL344">
        <v>3</v>
      </c>
      <c r="BM344">
        <v>1</v>
      </c>
      <c r="BN344" t="s">
        <v>273</v>
      </c>
      <c r="BO344">
        <v>7</v>
      </c>
      <c r="BP344">
        <v>300</v>
      </c>
      <c r="BQ344">
        <v>0.23</v>
      </c>
      <c r="BR344">
        <v>2</v>
      </c>
      <c r="BS344">
        <v>0.46</v>
      </c>
      <c r="BT344">
        <f>BS344+BD344+AU344+AM344</f>
        <v>1.46</v>
      </c>
      <c r="BU344">
        <v>1</v>
      </c>
      <c r="BV344">
        <v>2</v>
      </c>
      <c r="BW344">
        <v>293</v>
      </c>
      <c r="BX344">
        <f>BW344/7</f>
        <v>41.857142857142854</v>
      </c>
      <c r="BY344">
        <f>0.77*BX344</f>
        <v>32.229999999999997</v>
      </c>
      <c r="BZ344">
        <f t="shared" si="5"/>
        <v>33.69</v>
      </c>
    </row>
    <row r="345" spans="1:78">
      <c r="A345" s="1">
        <v>45208.034898923608</v>
      </c>
      <c r="C345">
        <v>344</v>
      </c>
      <c r="D345" s="10">
        <v>35999</v>
      </c>
      <c r="E345">
        <v>25</v>
      </c>
      <c r="F345">
        <v>1</v>
      </c>
      <c r="G345">
        <v>3</v>
      </c>
      <c r="H345">
        <v>2</v>
      </c>
      <c r="I345" s="10">
        <v>43424</v>
      </c>
      <c r="J345">
        <v>1</v>
      </c>
      <c r="K345">
        <v>1</v>
      </c>
      <c r="L345">
        <v>1</v>
      </c>
      <c r="M345">
        <v>3810</v>
      </c>
      <c r="N345">
        <v>2</v>
      </c>
      <c r="O345" s="10">
        <v>43151</v>
      </c>
      <c r="P345">
        <v>0</v>
      </c>
      <c r="Q345">
        <v>39</v>
      </c>
      <c r="R345">
        <v>2</v>
      </c>
      <c r="S345">
        <v>53</v>
      </c>
      <c r="T345">
        <v>162</v>
      </c>
      <c r="U345">
        <v>53</v>
      </c>
      <c r="V345">
        <v>0</v>
      </c>
      <c r="W345">
        <v>1</v>
      </c>
      <c r="X345">
        <v>20.195092211553114</v>
      </c>
      <c r="Y345">
        <v>20.195092211553114</v>
      </c>
      <c r="Z345">
        <v>0</v>
      </c>
      <c r="AA345">
        <v>2</v>
      </c>
      <c r="AB345">
        <v>2</v>
      </c>
      <c r="AC345" t="s">
        <v>33</v>
      </c>
      <c r="AD345">
        <v>3</v>
      </c>
      <c r="AE345">
        <v>0</v>
      </c>
      <c r="AG345">
        <v>5</v>
      </c>
      <c r="AH345">
        <v>1</v>
      </c>
      <c r="AI345">
        <v>13</v>
      </c>
      <c r="AJ345">
        <v>1</v>
      </c>
      <c r="AK345">
        <v>6</v>
      </c>
      <c r="AL345">
        <v>1</v>
      </c>
      <c r="AM345">
        <f>AJ345*AK345*AL345/7</f>
        <v>0.8571428571428571</v>
      </c>
      <c r="AN345" t="s">
        <v>79</v>
      </c>
      <c r="AO345">
        <v>0</v>
      </c>
      <c r="AV345">
        <f>AU345+AM345</f>
        <v>0.8571428571428571</v>
      </c>
      <c r="AX345">
        <v>0</v>
      </c>
      <c r="BE345">
        <f>AM345+AU345+BD345</f>
        <v>0.8571428571428571</v>
      </c>
      <c r="BG345">
        <v>0</v>
      </c>
      <c r="BJ345" t="s">
        <v>42</v>
      </c>
      <c r="BK345">
        <v>6</v>
      </c>
      <c r="BL345">
        <v>1</v>
      </c>
      <c r="BM345">
        <v>1</v>
      </c>
      <c r="BN345" t="s">
        <v>55</v>
      </c>
      <c r="BO345">
        <v>2</v>
      </c>
      <c r="BP345">
        <v>134</v>
      </c>
      <c r="BQ345">
        <v>0.1</v>
      </c>
      <c r="BR345">
        <v>2</v>
      </c>
      <c r="BS345">
        <v>0.2</v>
      </c>
      <c r="BT345">
        <f>BS345+BD345+AU345+AM345</f>
        <v>1.0571428571428572</v>
      </c>
      <c r="BU345">
        <v>1</v>
      </c>
      <c r="BV345">
        <v>1</v>
      </c>
      <c r="BW345">
        <v>146.5</v>
      </c>
      <c r="BX345">
        <f>BW345/7</f>
        <v>20.928571428571427</v>
      </c>
      <c r="BY345">
        <f>0.77*BX345</f>
        <v>16.114999999999998</v>
      </c>
      <c r="BZ345">
        <f t="shared" si="5"/>
        <v>17.172142857142855</v>
      </c>
    </row>
    <row r="346" spans="1:78">
      <c r="A346" s="1">
        <v>45208.055253541665</v>
      </c>
      <c r="B346" t="s">
        <v>868</v>
      </c>
      <c r="C346">
        <v>345</v>
      </c>
      <c r="D346" s="10">
        <v>32986</v>
      </c>
      <c r="E346">
        <v>33</v>
      </c>
      <c r="F346">
        <v>1</v>
      </c>
      <c r="G346">
        <v>1</v>
      </c>
      <c r="H346">
        <v>4</v>
      </c>
      <c r="I346" s="10">
        <v>44026</v>
      </c>
      <c r="J346">
        <v>2</v>
      </c>
      <c r="K346">
        <v>0</v>
      </c>
      <c r="L346">
        <v>1</v>
      </c>
      <c r="M346" t="s">
        <v>655</v>
      </c>
      <c r="N346">
        <v>3</v>
      </c>
      <c r="O346" s="10">
        <v>43746</v>
      </c>
      <c r="P346">
        <v>0</v>
      </c>
      <c r="Q346">
        <v>40</v>
      </c>
      <c r="R346">
        <v>2</v>
      </c>
      <c r="S346">
        <v>61</v>
      </c>
      <c r="T346">
        <v>161</v>
      </c>
      <c r="U346">
        <v>81</v>
      </c>
      <c r="V346">
        <v>20</v>
      </c>
      <c r="W346">
        <v>3</v>
      </c>
      <c r="X346">
        <v>23.533042706685695</v>
      </c>
      <c r="Y346">
        <v>31.248794413795761</v>
      </c>
      <c r="Z346">
        <v>7.7157517071100656</v>
      </c>
      <c r="AA346">
        <v>2</v>
      </c>
      <c r="AB346">
        <v>4</v>
      </c>
      <c r="AC346" t="s">
        <v>123</v>
      </c>
      <c r="AD346">
        <v>2</v>
      </c>
      <c r="AE346">
        <v>1</v>
      </c>
      <c r="AF346" t="s">
        <v>748</v>
      </c>
      <c r="AG346" t="e">
        <v>#N/A</v>
      </c>
      <c r="AH346">
        <v>1</v>
      </c>
      <c r="AI346" t="s">
        <v>258</v>
      </c>
      <c r="AJ346" t="s">
        <v>258</v>
      </c>
      <c r="AK346">
        <v>7</v>
      </c>
      <c r="AL346">
        <v>1</v>
      </c>
      <c r="AM346" t="s">
        <v>258</v>
      </c>
      <c r="AO346">
        <v>0</v>
      </c>
      <c r="AX346">
        <v>1</v>
      </c>
      <c r="AY346" t="s">
        <v>878</v>
      </c>
      <c r="AZ346">
        <v>16</v>
      </c>
      <c r="BA346" t="s">
        <v>258</v>
      </c>
      <c r="BB346">
        <v>7</v>
      </c>
      <c r="BC346">
        <v>1</v>
      </c>
      <c r="BE346" t="s">
        <v>258</v>
      </c>
      <c r="BF346" t="s">
        <v>878</v>
      </c>
      <c r="BG346" t="s">
        <v>258</v>
      </c>
      <c r="BH346">
        <v>7</v>
      </c>
      <c r="BI346">
        <v>1</v>
      </c>
      <c r="BJ346" t="s">
        <v>49</v>
      </c>
      <c r="BK346">
        <v>5</v>
      </c>
      <c r="BL346" t="e">
        <v>#N/A</v>
      </c>
      <c r="BM346">
        <v>1</v>
      </c>
      <c r="BN346" t="s">
        <v>63</v>
      </c>
      <c r="BO346">
        <v>5</v>
      </c>
      <c r="BP346">
        <v>192</v>
      </c>
      <c r="BQ346">
        <v>0.06</v>
      </c>
      <c r="BR346">
        <v>4</v>
      </c>
      <c r="BS346">
        <v>0.24</v>
      </c>
      <c r="BT346" t="e">
        <f>BS346+BD346+AU346+AM346</f>
        <v>#VALUE!</v>
      </c>
      <c r="BU346">
        <v>1</v>
      </c>
      <c r="BV346">
        <v>4</v>
      </c>
      <c r="BW346">
        <v>586</v>
      </c>
      <c r="BX346">
        <f>BW346/7</f>
        <v>83.714285714285708</v>
      </c>
      <c r="BY346">
        <f>0.77*BX346</f>
        <v>64.459999999999994</v>
      </c>
      <c r="BZ346" t="e">
        <f t="shared" si="5"/>
        <v>#VALUE!</v>
      </c>
    </row>
    <row r="347" spans="1:78">
      <c r="A347" s="1">
        <v>45208.05574275463</v>
      </c>
      <c r="C347">
        <v>346</v>
      </c>
      <c r="D347" s="10">
        <v>34244</v>
      </c>
      <c r="E347">
        <v>30</v>
      </c>
      <c r="F347">
        <v>1</v>
      </c>
      <c r="G347">
        <v>12</v>
      </c>
      <c r="H347">
        <v>3</v>
      </c>
      <c r="I347" s="10">
        <v>44905</v>
      </c>
      <c r="J347">
        <v>1</v>
      </c>
      <c r="K347">
        <v>1</v>
      </c>
      <c r="L347">
        <v>2</v>
      </c>
      <c r="M347">
        <v>3400</v>
      </c>
      <c r="N347">
        <v>2</v>
      </c>
      <c r="O347" s="10">
        <v>44632</v>
      </c>
      <c r="P347">
        <v>0</v>
      </c>
      <c r="Q347">
        <v>39</v>
      </c>
      <c r="R347">
        <v>2</v>
      </c>
      <c r="S347">
        <v>87</v>
      </c>
      <c r="T347">
        <v>152</v>
      </c>
      <c r="U347">
        <v>81</v>
      </c>
      <c r="V347">
        <v>-6</v>
      </c>
      <c r="W347">
        <v>1</v>
      </c>
      <c r="X347">
        <v>37.655817174515235</v>
      </c>
      <c r="Y347">
        <v>35.05886426592798</v>
      </c>
      <c r="Z347">
        <v>-2.5969529085872551</v>
      </c>
      <c r="AA347">
        <v>4</v>
      </c>
      <c r="AB347">
        <v>4</v>
      </c>
      <c r="AC347" t="s">
        <v>33</v>
      </c>
      <c r="AD347">
        <v>3</v>
      </c>
      <c r="AE347">
        <v>0</v>
      </c>
      <c r="AG347">
        <v>5</v>
      </c>
      <c r="AH347">
        <v>1</v>
      </c>
      <c r="AI347">
        <v>13</v>
      </c>
      <c r="AJ347">
        <v>1</v>
      </c>
      <c r="AK347">
        <v>7</v>
      </c>
      <c r="AL347">
        <v>1</v>
      </c>
      <c r="AM347">
        <f>AJ347*AK347*AL347/7</f>
        <v>1</v>
      </c>
      <c r="AN347" t="s">
        <v>79</v>
      </c>
      <c r="AO347">
        <v>0</v>
      </c>
      <c r="AV347">
        <f>AU347+AM347</f>
        <v>1</v>
      </c>
      <c r="AW347" t="s">
        <v>274</v>
      </c>
      <c r="AX347">
        <v>1</v>
      </c>
      <c r="AY347" t="s">
        <v>274</v>
      </c>
      <c r="AZ347">
        <v>6</v>
      </c>
      <c r="BA347">
        <v>0.3</v>
      </c>
      <c r="BB347">
        <v>7</v>
      </c>
      <c r="BC347">
        <v>1</v>
      </c>
      <c r="BD347">
        <f>BA347*BB347*1/7</f>
        <v>0.3</v>
      </c>
      <c r="BE347">
        <f>AM347+AU347+BD347</f>
        <v>1.3</v>
      </c>
      <c r="BF347" t="s">
        <v>274</v>
      </c>
      <c r="BG347">
        <v>0</v>
      </c>
      <c r="BH347">
        <v>7</v>
      </c>
      <c r="BI347">
        <v>1</v>
      </c>
      <c r="BJ347" t="s">
        <v>49</v>
      </c>
      <c r="BK347">
        <v>5</v>
      </c>
      <c r="BL347">
        <v>1</v>
      </c>
      <c r="BM347">
        <v>1</v>
      </c>
      <c r="BN347" t="s">
        <v>55</v>
      </c>
      <c r="BO347">
        <v>2</v>
      </c>
      <c r="BP347">
        <v>134</v>
      </c>
      <c r="BQ347">
        <v>0.1</v>
      </c>
      <c r="BR347">
        <v>2</v>
      </c>
      <c r="BS347">
        <v>0.2</v>
      </c>
      <c r="BT347">
        <f>BS347+BD347+AU347+AM347</f>
        <v>1.5</v>
      </c>
      <c r="BU347">
        <v>1</v>
      </c>
      <c r="BV347">
        <v>3</v>
      </c>
      <c r="BW347">
        <v>439.5</v>
      </c>
      <c r="BX347">
        <f>BW347/7</f>
        <v>62.785714285714285</v>
      </c>
      <c r="BY347">
        <f>0.77*BX347</f>
        <v>48.344999999999999</v>
      </c>
      <c r="BZ347">
        <f t="shared" si="5"/>
        <v>49.844999999999999</v>
      </c>
    </row>
    <row r="348" spans="1:78">
      <c r="A348" s="1">
        <v>45208.088501493054</v>
      </c>
      <c r="C348">
        <v>347</v>
      </c>
      <c r="D348" s="10">
        <v>32996</v>
      </c>
      <c r="E348">
        <v>33</v>
      </c>
      <c r="F348">
        <v>1</v>
      </c>
      <c r="G348">
        <v>1</v>
      </c>
      <c r="H348">
        <v>2</v>
      </c>
      <c r="I348" s="10">
        <v>44857</v>
      </c>
      <c r="J348">
        <v>3</v>
      </c>
      <c r="K348">
        <v>0</v>
      </c>
      <c r="L348">
        <v>1</v>
      </c>
      <c r="M348">
        <v>3510</v>
      </c>
      <c r="N348">
        <v>2</v>
      </c>
      <c r="O348" s="10">
        <v>44591</v>
      </c>
      <c r="P348">
        <v>0</v>
      </c>
      <c r="Q348">
        <v>38</v>
      </c>
      <c r="R348">
        <v>2</v>
      </c>
      <c r="S348">
        <v>51</v>
      </c>
      <c r="T348">
        <v>157</v>
      </c>
      <c r="U348">
        <v>63</v>
      </c>
      <c r="V348">
        <v>12</v>
      </c>
      <c r="W348">
        <v>2</v>
      </c>
      <c r="X348">
        <v>20.690494543389182</v>
      </c>
      <c r="Y348">
        <v>25.558846200657225</v>
      </c>
      <c r="Z348">
        <v>4.8683516572680432</v>
      </c>
      <c r="AA348">
        <v>2</v>
      </c>
      <c r="AB348">
        <v>3</v>
      </c>
      <c r="AC348" t="s">
        <v>44</v>
      </c>
      <c r="AD348">
        <v>1</v>
      </c>
      <c r="AE348">
        <v>0</v>
      </c>
      <c r="AG348">
        <v>5</v>
      </c>
      <c r="AH348">
        <v>1</v>
      </c>
      <c r="AI348">
        <v>5</v>
      </c>
      <c r="AJ348">
        <v>5</v>
      </c>
      <c r="AK348">
        <v>7</v>
      </c>
      <c r="AL348">
        <v>1</v>
      </c>
      <c r="AM348">
        <f>AJ348*AK348*AL348/7</f>
        <v>5</v>
      </c>
      <c r="AN348" t="s">
        <v>27</v>
      </c>
      <c r="AO348">
        <v>1</v>
      </c>
      <c r="AP348">
        <v>19</v>
      </c>
      <c r="AQ348" t="s">
        <v>184</v>
      </c>
      <c r="AR348">
        <v>2</v>
      </c>
      <c r="AS348">
        <v>7</v>
      </c>
      <c r="AT348">
        <v>1</v>
      </c>
      <c r="AU348">
        <f>AR348*AS348*AT348/7</f>
        <v>2</v>
      </c>
      <c r="AV348">
        <f>AU348+AM348</f>
        <v>7</v>
      </c>
      <c r="AW348" t="s">
        <v>275</v>
      </c>
      <c r="AX348">
        <v>0</v>
      </c>
      <c r="BE348">
        <f>AM348+AU348+BD348</f>
        <v>7</v>
      </c>
      <c r="BG348">
        <v>0</v>
      </c>
      <c r="BJ348" t="s">
        <v>49</v>
      </c>
      <c r="BK348">
        <v>5</v>
      </c>
      <c r="BL348">
        <v>1</v>
      </c>
      <c r="BM348">
        <v>1</v>
      </c>
      <c r="BN348" t="s">
        <v>30</v>
      </c>
      <c r="BO348">
        <v>1</v>
      </c>
      <c r="BP348">
        <v>84</v>
      </c>
      <c r="BQ348">
        <v>0.13</v>
      </c>
      <c r="BR348">
        <v>1</v>
      </c>
      <c r="BS348">
        <v>0.13</v>
      </c>
      <c r="BT348">
        <f>BS348+BD348+AU348+AM348</f>
        <v>7.13</v>
      </c>
      <c r="BU348">
        <v>1</v>
      </c>
      <c r="BV348">
        <v>1</v>
      </c>
      <c r="BW348">
        <v>146.5</v>
      </c>
      <c r="BX348">
        <f>BW348/7</f>
        <v>20.928571428571427</v>
      </c>
      <c r="BY348">
        <f>0.77*BX348</f>
        <v>16.114999999999998</v>
      </c>
      <c r="BZ348">
        <f t="shared" si="5"/>
        <v>23.244999999999997</v>
      </c>
    </row>
    <row r="349" spans="1:78">
      <c r="A349" s="1">
        <v>45208.093461481483</v>
      </c>
      <c r="C349">
        <v>348</v>
      </c>
      <c r="D349" s="10">
        <v>34460</v>
      </c>
      <c r="E349">
        <v>29</v>
      </c>
      <c r="F349">
        <v>1</v>
      </c>
      <c r="G349">
        <v>1</v>
      </c>
      <c r="H349">
        <v>4</v>
      </c>
      <c r="I349" s="10">
        <v>45008</v>
      </c>
      <c r="J349">
        <v>1</v>
      </c>
      <c r="K349">
        <v>1</v>
      </c>
      <c r="L349">
        <v>1</v>
      </c>
      <c r="M349">
        <v>4150</v>
      </c>
      <c r="N349">
        <v>3</v>
      </c>
      <c r="O349" s="10">
        <v>44733</v>
      </c>
      <c r="P349">
        <v>0</v>
      </c>
      <c r="Q349">
        <v>39.285714285714285</v>
      </c>
      <c r="R349">
        <v>2</v>
      </c>
      <c r="S349">
        <v>77.5</v>
      </c>
      <c r="T349">
        <v>159</v>
      </c>
      <c r="U349">
        <v>92</v>
      </c>
      <c r="V349">
        <v>14.5</v>
      </c>
      <c r="W349">
        <v>3</v>
      </c>
      <c r="X349">
        <v>30.655432933823818</v>
      </c>
      <c r="Y349">
        <v>36.390965547248918</v>
      </c>
      <c r="Z349">
        <v>5.7355326134251001</v>
      </c>
      <c r="AA349">
        <v>4</v>
      </c>
      <c r="AB349">
        <v>4</v>
      </c>
      <c r="AC349" t="s">
        <v>44</v>
      </c>
      <c r="AD349">
        <v>1</v>
      </c>
      <c r="AE349">
        <v>0</v>
      </c>
      <c r="AG349">
        <v>5</v>
      </c>
      <c r="AH349">
        <v>1</v>
      </c>
      <c r="AI349">
        <v>13</v>
      </c>
      <c r="AJ349">
        <v>1</v>
      </c>
      <c r="AK349">
        <v>7</v>
      </c>
      <c r="AL349">
        <v>1</v>
      </c>
      <c r="AM349">
        <f>AJ349*AK349*AL349/7</f>
        <v>1</v>
      </c>
      <c r="AN349" t="s">
        <v>79</v>
      </c>
      <c r="AO349">
        <v>0</v>
      </c>
      <c r="AV349">
        <f>AU349+AM349</f>
        <v>1</v>
      </c>
      <c r="AX349">
        <v>0</v>
      </c>
      <c r="BE349">
        <f>AM349+AU349+BD349</f>
        <v>1</v>
      </c>
      <c r="BG349">
        <v>0</v>
      </c>
      <c r="BJ349" t="s">
        <v>42</v>
      </c>
      <c r="BK349">
        <v>6</v>
      </c>
      <c r="BL349">
        <v>3</v>
      </c>
      <c r="BM349">
        <v>1</v>
      </c>
      <c r="BN349" t="s">
        <v>30</v>
      </c>
      <c r="BO349">
        <v>1</v>
      </c>
      <c r="BP349">
        <v>84</v>
      </c>
      <c r="BQ349">
        <v>0.13</v>
      </c>
      <c r="BR349">
        <v>1</v>
      </c>
      <c r="BS349">
        <v>0.13</v>
      </c>
      <c r="BT349">
        <f>BS349+BD349+AU349+AM349</f>
        <v>1.1299999999999999</v>
      </c>
      <c r="BU349">
        <v>1</v>
      </c>
      <c r="BV349">
        <v>0.5</v>
      </c>
      <c r="BW349">
        <v>73.25</v>
      </c>
      <c r="BX349">
        <f>BW349/7</f>
        <v>10.464285714285714</v>
      </c>
      <c r="BY349">
        <f>0.77*BX349</f>
        <v>8.0574999999999992</v>
      </c>
      <c r="BZ349">
        <f t="shared" si="5"/>
        <v>9.1875</v>
      </c>
    </row>
    <row r="350" spans="1:78">
      <c r="A350" s="1">
        <v>45208.093573391205</v>
      </c>
      <c r="C350">
        <v>349</v>
      </c>
      <c r="D350" s="10">
        <v>32825</v>
      </c>
      <c r="E350">
        <v>33</v>
      </c>
      <c r="F350">
        <v>1</v>
      </c>
      <c r="G350">
        <v>4</v>
      </c>
      <c r="H350">
        <v>4</v>
      </c>
      <c r="I350" s="10">
        <v>43544</v>
      </c>
      <c r="J350">
        <v>1</v>
      </c>
      <c r="K350">
        <v>1</v>
      </c>
      <c r="L350">
        <v>1</v>
      </c>
      <c r="M350">
        <v>1960</v>
      </c>
      <c r="N350">
        <v>1</v>
      </c>
      <c r="O350" s="10">
        <v>43292</v>
      </c>
      <c r="P350">
        <v>0</v>
      </c>
      <c r="Q350">
        <v>36</v>
      </c>
      <c r="R350">
        <v>3</v>
      </c>
      <c r="S350">
        <v>86</v>
      </c>
      <c r="T350">
        <v>162</v>
      </c>
      <c r="U350">
        <v>100</v>
      </c>
      <c r="V350">
        <v>14</v>
      </c>
      <c r="W350">
        <v>3</v>
      </c>
      <c r="X350">
        <v>32.769394909312595</v>
      </c>
      <c r="Y350">
        <v>38.103947568968138</v>
      </c>
      <c r="Z350">
        <v>5.334552659655543</v>
      </c>
      <c r="AA350">
        <v>4</v>
      </c>
      <c r="AB350">
        <v>4</v>
      </c>
      <c r="AC350" t="s">
        <v>25</v>
      </c>
      <c r="AD350">
        <v>1</v>
      </c>
      <c r="AE350">
        <v>0</v>
      </c>
      <c r="AG350">
        <v>5</v>
      </c>
      <c r="AH350">
        <v>1</v>
      </c>
      <c r="AI350">
        <v>13</v>
      </c>
      <c r="AJ350">
        <v>1</v>
      </c>
      <c r="AK350">
        <v>7</v>
      </c>
      <c r="AL350">
        <v>1</v>
      </c>
      <c r="AM350">
        <f>AJ350*AK350*AL350/7</f>
        <v>1</v>
      </c>
      <c r="AN350" t="s">
        <v>79</v>
      </c>
      <c r="AO350">
        <v>0</v>
      </c>
      <c r="AV350">
        <f>AU350+AM350</f>
        <v>1</v>
      </c>
      <c r="AW350" t="s">
        <v>277</v>
      </c>
      <c r="AX350">
        <v>1</v>
      </c>
      <c r="AY350" t="s">
        <v>277</v>
      </c>
      <c r="AZ350">
        <v>14</v>
      </c>
      <c r="BA350">
        <v>0.5</v>
      </c>
      <c r="BB350">
        <v>7</v>
      </c>
      <c r="BC350">
        <v>1</v>
      </c>
      <c r="BD350">
        <f>BA350*BB350*1/7</f>
        <v>0.5</v>
      </c>
      <c r="BE350">
        <f>AM350+AU350+BD350</f>
        <v>1.5</v>
      </c>
      <c r="BF350" t="s">
        <v>277</v>
      </c>
      <c r="BG350">
        <v>0</v>
      </c>
      <c r="BH350">
        <v>7</v>
      </c>
      <c r="BI350">
        <v>1</v>
      </c>
      <c r="BJ350" t="s">
        <v>42</v>
      </c>
      <c r="BK350">
        <v>6</v>
      </c>
      <c r="BL350">
        <v>3</v>
      </c>
      <c r="BM350">
        <v>1</v>
      </c>
      <c r="BN350" t="s">
        <v>30</v>
      </c>
      <c r="BO350">
        <v>1</v>
      </c>
      <c r="BP350">
        <v>168</v>
      </c>
      <c r="BQ350">
        <v>0.13</v>
      </c>
      <c r="BR350">
        <v>2</v>
      </c>
      <c r="BS350">
        <v>0.26</v>
      </c>
      <c r="BT350">
        <f>BS350+BD350+AU350+AM350</f>
        <v>1.76</v>
      </c>
      <c r="BU350">
        <v>1</v>
      </c>
      <c r="BV350">
        <v>4</v>
      </c>
      <c r="BW350">
        <v>586</v>
      </c>
      <c r="BX350">
        <f>BW350/7</f>
        <v>83.714285714285708</v>
      </c>
      <c r="BY350">
        <f>0.77*BX350</f>
        <v>64.459999999999994</v>
      </c>
      <c r="BZ350">
        <f t="shared" si="5"/>
        <v>66.22</v>
      </c>
    </row>
    <row r="351" spans="1:78">
      <c r="A351" s="1">
        <v>45208.095083148146</v>
      </c>
      <c r="C351">
        <v>350</v>
      </c>
      <c r="D351" s="10">
        <v>31382</v>
      </c>
      <c r="E351">
        <v>37</v>
      </c>
      <c r="F351">
        <v>1</v>
      </c>
      <c r="G351">
        <v>2</v>
      </c>
      <c r="H351">
        <v>4</v>
      </c>
      <c r="I351" s="10">
        <v>44612</v>
      </c>
      <c r="J351">
        <v>3</v>
      </c>
      <c r="K351">
        <v>0</v>
      </c>
      <c r="L351">
        <v>2</v>
      </c>
      <c r="M351">
        <v>4270</v>
      </c>
      <c r="N351">
        <v>3</v>
      </c>
      <c r="O351" s="10">
        <v>44339</v>
      </c>
      <c r="P351">
        <v>1</v>
      </c>
      <c r="Q351">
        <v>39</v>
      </c>
      <c r="R351">
        <v>2</v>
      </c>
      <c r="S351">
        <v>70</v>
      </c>
      <c r="T351">
        <v>162</v>
      </c>
      <c r="U351">
        <v>78</v>
      </c>
      <c r="V351">
        <v>8</v>
      </c>
      <c r="W351">
        <v>2</v>
      </c>
      <c r="X351">
        <v>26.672763298277697</v>
      </c>
      <c r="Y351">
        <v>29.721079103795148</v>
      </c>
      <c r="Z351">
        <v>3.0483158055174506</v>
      </c>
      <c r="AA351">
        <v>3</v>
      </c>
      <c r="AB351">
        <v>3</v>
      </c>
      <c r="AC351" t="s">
        <v>33</v>
      </c>
      <c r="AD351">
        <v>3</v>
      </c>
      <c r="AE351">
        <v>0</v>
      </c>
      <c r="AG351">
        <v>5</v>
      </c>
      <c r="AH351">
        <v>1</v>
      </c>
      <c r="AI351">
        <v>5</v>
      </c>
      <c r="AJ351">
        <v>5</v>
      </c>
      <c r="AK351">
        <v>7</v>
      </c>
      <c r="AL351">
        <v>1</v>
      </c>
      <c r="AM351">
        <f>AJ351*AK351*AL351/7</f>
        <v>5</v>
      </c>
      <c r="AN351" t="s">
        <v>27</v>
      </c>
      <c r="AO351">
        <v>0</v>
      </c>
      <c r="AV351">
        <f>AU351+AM351</f>
        <v>5</v>
      </c>
      <c r="AX351">
        <v>0</v>
      </c>
      <c r="BE351">
        <f>AM351+AU351+BD351</f>
        <v>5</v>
      </c>
      <c r="BG351">
        <v>0</v>
      </c>
      <c r="BJ351" t="s">
        <v>28</v>
      </c>
      <c r="BK351">
        <v>3</v>
      </c>
      <c r="BL351">
        <v>1</v>
      </c>
      <c r="BM351">
        <v>1</v>
      </c>
      <c r="BN351" t="s">
        <v>30</v>
      </c>
      <c r="BO351">
        <v>1</v>
      </c>
      <c r="BP351">
        <v>42</v>
      </c>
      <c r="BQ351">
        <v>0.13</v>
      </c>
      <c r="BR351">
        <v>0.5</v>
      </c>
      <c r="BS351">
        <v>6.5000000000000002E-2</v>
      </c>
      <c r="BT351">
        <f>BS351+BD351+AU351+AM351</f>
        <v>5.0650000000000004</v>
      </c>
      <c r="BU351">
        <v>1</v>
      </c>
      <c r="BV351">
        <v>1</v>
      </c>
      <c r="BW351">
        <v>146.5</v>
      </c>
      <c r="BX351">
        <f>BW351/7</f>
        <v>20.928571428571427</v>
      </c>
      <c r="BY351">
        <f>0.77*BX351</f>
        <v>16.114999999999998</v>
      </c>
      <c r="BZ351">
        <f t="shared" si="5"/>
        <v>21.18</v>
      </c>
    </row>
    <row r="352" spans="1:78">
      <c r="A352" s="1">
        <v>45208.095345486116</v>
      </c>
      <c r="C352">
        <v>351</v>
      </c>
      <c r="D352" s="10">
        <v>31530</v>
      </c>
      <c r="E352">
        <v>37</v>
      </c>
      <c r="F352">
        <v>1</v>
      </c>
      <c r="G352">
        <v>9</v>
      </c>
      <c r="H352">
        <v>4</v>
      </c>
      <c r="I352" s="10">
        <v>44201</v>
      </c>
      <c r="J352">
        <v>1</v>
      </c>
      <c r="K352">
        <v>1</v>
      </c>
      <c r="L352">
        <v>2</v>
      </c>
      <c r="M352">
        <v>3210</v>
      </c>
      <c r="N352">
        <v>2</v>
      </c>
      <c r="O352" s="10">
        <v>43936</v>
      </c>
      <c r="P352">
        <v>1</v>
      </c>
      <c r="Q352">
        <v>37.857142857142854</v>
      </c>
      <c r="R352">
        <v>2</v>
      </c>
      <c r="S352">
        <v>57</v>
      </c>
      <c r="T352">
        <v>160</v>
      </c>
      <c r="U352">
        <v>68</v>
      </c>
      <c r="V352">
        <v>11</v>
      </c>
      <c r="W352">
        <v>1</v>
      </c>
      <c r="X352">
        <v>22.265624999999996</v>
      </c>
      <c r="Y352">
        <v>26.562499999999996</v>
      </c>
      <c r="Z352">
        <v>4.296875</v>
      </c>
      <c r="AA352">
        <v>2</v>
      </c>
      <c r="AB352">
        <v>3</v>
      </c>
      <c r="AC352" t="s">
        <v>33</v>
      </c>
      <c r="AD352">
        <v>3</v>
      </c>
      <c r="AE352">
        <v>0</v>
      </c>
      <c r="AG352">
        <v>5</v>
      </c>
      <c r="AH352">
        <v>0</v>
      </c>
      <c r="AI352">
        <v>0</v>
      </c>
      <c r="AN352" t="s">
        <v>98</v>
      </c>
      <c r="AO352">
        <v>0</v>
      </c>
      <c r="AX352">
        <v>1</v>
      </c>
      <c r="AY352" t="s">
        <v>98</v>
      </c>
      <c r="AZ352">
        <v>14</v>
      </c>
      <c r="BA352">
        <v>0.5</v>
      </c>
      <c r="BB352">
        <v>7</v>
      </c>
      <c r="BC352">
        <v>1</v>
      </c>
      <c r="BD352">
        <f>BA352*BB352*1/7</f>
        <v>0.5</v>
      </c>
      <c r="BE352">
        <f>AM352+AU352+BD352</f>
        <v>0.5</v>
      </c>
      <c r="BF352" t="s">
        <v>98</v>
      </c>
      <c r="BG352">
        <v>0</v>
      </c>
      <c r="BH352">
        <v>7</v>
      </c>
      <c r="BI352">
        <v>1</v>
      </c>
      <c r="BJ352" t="s">
        <v>42</v>
      </c>
      <c r="BK352">
        <v>6</v>
      </c>
      <c r="BL352">
        <v>1</v>
      </c>
      <c r="BM352">
        <v>1</v>
      </c>
      <c r="BN352" t="s">
        <v>30</v>
      </c>
      <c r="BO352">
        <v>1</v>
      </c>
      <c r="BP352">
        <v>84</v>
      </c>
      <c r="BQ352">
        <v>0.13</v>
      </c>
      <c r="BR352">
        <v>1</v>
      </c>
      <c r="BS352">
        <v>0.13</v>
      </c>
      <c r="BT352">
        <f>BS352+BD352+AU352+AM352</f>
        <v>0.63</v>
      </c>
      <c r="BU352">
        <v>1</v>
      </c>
      <c r="BV352">
        <v>0.5</v>
      </c>
      <c r="BW352">
        <v>73.25</v>
      </c>
      <c r="BX352">
        <f>BW352/7</f>
        <v>10.464285714285714</v>
      </c>
      <c r="BY352">
        <f>0.77*BX352</f>
        <v>8.0574999999999992</v>
      </c>
      <c r="BZ352">
        <f t="shared" si="5"/>
        <v>8.6875</v>
      </c>
    </row>
    <row r="353" spans="1:78">
      <c r="A353" s="1">
        <v>45208.104770069447</v>
      </c>
      <c r="C353">
        <v>352</v>
      </c>
      <c r="D353" s="10">
        <v>34993</v>
      </c>
      <c r="E353">
        <v>27</v>
      </c>
      <c r="F353">
        <v>1</v>
      </c>
      <c r="G353">
        <v>12</v>
      </c>
      <c r="H353">
        <v>5</v>
      </c>
      <c r="I353" s="10">
        <v>43715</v>
      </c>
      <c r="J353">
        <v>1</v>
      </c>
      <c r="K353">
        <v>1</v>
      </c>
      <c r="L353">
        <v>2</v>
      </c>
      <c r="M353">
        <v>2950</v>
      </c>
      <c r="N353">
        <v>2</v>
      </c>
      <c r="O353" s="10">
        <v>43456</v>
      </c>
      <c r="P353">
        <v>0</v>
      </c>
      <c r="Q353">
        <v>37</v>
      </c>
      <c r="R353">
        <v>2</v>
      </c>
      <c r="S353">
        <v>65</v>
      </c>
      <c r="T353">
        <v>160</v>
      </c>
      <c r="U353">
        <v>83</v>
      </c>
      <c r="V353">
        <v>18</v>
      </c>
      <c r="W353">
        <v>3</v>
      </c>
      <c r="X353">
        <v>25.390624999999996</v>
      </c>
      <c r="Y353">
        <v>32.421874999999993</v>
      </c>
      <c r="Z353">
        <v>7.0312499999999964</v>
      </c>
      <c r="AA353">
        <v>3</v>
      </c>
      <c r="AB353">
        <v>4</v>
      </c>
      <c r="AC353" t="s">
        <v>33</v>
      </c>
      <c r="AD353">
        <v>3</v>
      </c>
      <c r="AE353">
        <v>0</v>
      </c>
      <c r="AG353">
        <v>5</v>
      </c>
      <c r="AH353">
        <v>1</v>
      </c>
      <c r="AI353">
        <v>5</v>
      </c>
      <c r="AJ353">
        <v>5</v>
      </c>
      <c r="AK353">
        <v>7</v>
      </c>
      <c r="AL353">
        <v>1</v>
      </c>
      <c r="AM353">
        <f>AJ353*AK353*AL353/7</f>
        <v>5</v>
      </c>
      <c r="AN353" t="s">
        <v>27</v>
      </c>
      <c r="AO353">
        <v>0</v>
      </c>
      <c r="AV353">
        <f>AU353+AM353</f>
        <v>5</v>
      </c>
      <c r="AW353" t="s">
        <v>58</v>
      </c>
      <c r="AX353">
        <v>1</v>
      </c>
      <c r="AY353" t="s">
        <v>58</v>
      </c>
      <c r="AZ353">
        <v>1</v>
      </c>
      <c r="BA353">
        <v>0.8</v>
      </c>
      <c r="BB353">
        <v>7</v>
      </c>
      <c r="BC353">
        <v>1</v>
      </c>
      <c r="BD353">
        <f>BA353*BB353*1/7</f>
        <v>0.8</v>
      </c>
      <c r="BE353">
        <f>AM353+AU353+BD353</f>
        <v>5.8</v>
      </c>
      <c r="BF353" t="s">
        <v>58</v>
      </c>
      <c r="BG353">
        <v>0</v>
      </c>
      <c r="BH353">
        <v>7</v>
      </c>
      <c r="BI353">
        <v>1</v>
      </c>
      <c r="BJ353" t="s">
        <v>49</v>
      </c>
      <c r="BK353">
        <v>5</v>
      </c>
      <c r="BL353">
        <v>1</v>
      </c>
      <c r="BM353">
        <v>1</v>
      </c>
      <c r="BN353" t="s">
        <v>55</v>
      </c>
      <c r="BO353">
        <v>2</v>
      </c>
      <c r="BP353">
        <v>67</v>
      </c>
      <c r="BQ353">
        <v>0.1</v>
      </c>
      <c r="BR353">
        <v>1</v>
      </c>
      <c r="BS353">
        <v>0.1</v>
      </c>
      <c r="BT353">
        <f>BS353+BD353+AU353+AM353</f>
        <v>5.9</v>
      </c>
      <c r="BU353">
        <v>1</v>
      </c>
      <c r="BV353">
        <v>4</v>
      </c>
      <c r="BW353">
        <v>586</v>
      </c>
      <c r="BX353">
        <f>BW353/7</f>
        <v>83.714285714285708</v>
      </c>
      <c r="BY353">
        <f>0.77*BX353</f>
        <v>64.459999999999994</v>
      </c>
      <c r="BZ353">
        <f t="shared" si="5"/>
        <v>70.36</v>
      </c>
    </row>
    <row r="354" spans="1:78">
      <c r="A354" s="1">
        <v>45208.105657615743</v>
      </c>
      <c r="C354">
        <v>353</v>
      </c>
      <c r="D354" s="10">
        <v>29963</v>
      </c>
      <c r="E354">
        <v>41</v>
      </c>
      <c r="F354">
        <v>1</v>
      </c>
      <c r="G354">
        <v>1</v>
      </c>
      <c r="H354">
        <v>4</v>
      </c>
      <c r="I354" s="10">
        <v>44725</v>
      </c>
      <c r="J354">
        <v>1</v>
      </c>
      <c r="K354">
        <v>1</v>
      </c>
      <c r="L354">
        <v>2</v>
      </c>
      <c r="M354">
        <v>2600</v>
      </c>
      <c r="N354">
        <v>2</v>
      </c>
      <c r="O354" s="10">
        <v>44473</v>
      </c>
      <c r="P354">
        <v>1</v>
      </c>
      <c r="Q354">
        <v>36</v>
      </c>
      <c r="R354">
        <v>3</v>
      </c>
      <c r="S354">
        <v>56</v>
      </c>
      <c r="T354">
        <v>154</v>
      </c>
      <c r="U354">
        <v>72</v>
      </c>
      <c r="V354">
        <v>16</v>
      </c>
      <c r="W354">
        <v>2</v>
      </c>
      <c r="X354">
        <v>23.61275088547816</v>
      </c>
      <c r="Y354">
        <v>30.359251138471919</v>
      </c>
      <c r="Z354">
        <v>6.7465002529937586</v>
      </c>
      <c r="AA354">
        <v>2</v>
      </c>
      <c r="AB354">
        <v>4</v>
      </c>
      <c r="AC354" t="s">
        <v>33</v>
      </c>
      <c r="AD354">
        <v>3</v>
      </c>
      <c r="AE354">
        <v>0</v>
      </c>
      <c r="AG354">
        <v>5</v>
      </c>
      <c r="AH354">
        <v>1</v>
      </c>
      <c r="AI354">
        <v>5</v>
      </c>
      <c r="AJ354">
        <v>5</v>
      </c>
      <c r="AK354">
        <v>7</v>
      </c>
      <c r="AL354">
        <v>1</v>
      </c>
      <c r="AM354">
        <f>AJ354*AK354*AL354/7</f>
        <v>5</v>
      </c>
      <c r="AN354" t="s">
        <v>27</v>
      </c>
      <c r="AO354">
        <v>0</v>
      </c>
      <c r="AV354">
        <f>AU354+AM354</f>
        <v>5</v>
      </c>
      <c r="AX354">
        <v>0</v>
      </c>
      <c r="BE354">
        <f>AM354+AU354+BD354</f>
        <v>5</v>
      </c>
      <c r="BG354">
        <v>0</v>
      </c>
      <c r="BJ354" t="s">
        <v>54</v>
      </c>
      <c r="BK354">
        <v>2</v>
      </c>
      <c r="BL354">
        <v>1</v>
      </c>
      <c r="BM354">
        <v>1</v>
      </c>
      <c r="BN354" t="s">
        <v>37</v>
      </c>
      <c r="BO354">
        <v>4</v>
      </c>
      <c r="BP354">
        <v>110</v>
      </c>
      <c r="BQ354">
        <v>0.05</v>
      </c>
      <c r="BR354">
        <v>2</v>
      </c>
      <c r="BS354">
        <v>0.1</v>
      </c>
      <c r="BT354">
        <f>BS354+BD354+AU354+AM354</f>
        <v>5.0999999999999996</v>
      </c>
      <c r="BU354">
        <v>1</v>
      </c>
      <c r="BV354">
        <v>1</v>
      </c>
      <c r="BW354">
        <v>146.5</v>
      </c>
      <c r="BX354">
        <f>BW354/7</f>
        <v>20.928571428571427</v>
      </c>
      <c r="BY354">
        <f>0.77*BX354</f>
        <v>16.114999999999998</v>
      </c>
      <c r="BZ354">
        <f t="shared" si="5"/>
        <v>21.214999999999996</v>
      </c>
    </row>
    <row r="355" spans="1:78">
      <c r="A355" s="1">
        <v>45208.121160104165</v>
      </c>
      <c r="B355" t="s">
        <v>865</v>
      </c>
      <c r="C355">
        <v>354</v>
      </c>
      <c r="D355" s="10">
        <v>30320</v>
      </c>
      <c r="E355">
        <v>40</v>
      </c>
      <c r="F355">
        <v>1</v>
      </c>
      <c r="G355">
        <v>3</v>
      </c>
      <c r="H355">
        <v>4</v>
      </c>
      <c r="I355" s="10">
        <v>44838</v>
      </c>
      <c r="J355">
        <v>2</v>
      </c>
      <c r="K355">
        <v>0</v>
      </c>
      <c r="L355">
        <v>1</v>
      </c>
      <c r="M355">
        <v>3850</v>
      </c>
      <c r="N355">
        <v>2</v>
      </c>
      <c r="O355" s="10">
        <v>44572</v>
      </c>
      <c r="P355">
        <v>0</v>
      </c>
      <c r="Q355">
        <v>38</v>
      </c>
      <c r="R355">
        <v>2</v>
      </c>
      <c r="S355">
        <v>87</v>
      </c>
      <c r="T355">
        <v>158</v>
      </c>
      <c r="U355">
        <v>65</v>
      </c>
      <c r="V355">
        <v>-22</v>
      </c>
      <c r="W355">
        <v>1</v>
      </c>
      <c r="X355">
        <v>34.850184265342087</v>
      </c>
      <c r="Y355">
        <v>26.037493991347535</v>
      </c>
      <c r="Z355">
        <v>-8.8126902739945514</v>
      </c>
      <c r="AA355">
        <v>4</v>
      </c>
      <c r="AB355">
        <v>3</v>
      </c>
      <c r="AC355" t="s">
        <v>33</v>
      </c>
      <c r="AD355">
        <v>3</v>
      </c>
      <c r="AE355">
        <v>0</v>
      </c>
      <c r="AG355">
        <v>5</v>
      </c>
      <c r="AH355">
        <v>1</v>
      </c>
      <c r="AI355">
        <v>5</v>
      </c>
      <c r="AJ355">
        <v>5</v>
      </c>
      <c r="AK355">
        <v>7</v>
      </c>
      <c r="AL355">
        <v>1</v>
      </c>
      <c r="AM355">
        <f>AJ355*AK355*AL355/7</f>
        <v>5</v>
      </c>
      <c r="AN355" t="s">
        <v>27</v>
      </c>
      <c r="AO355">
        <v>0</v>
      </c>
      <c r="AV355">
        <f>AU355+AM355</f>
        <v>5</v>
      </c>
      <c r="AW355" t="s">
        <v>632</v>
      </c>
      <c r="AX355">
        <v>1</v>
      </c>
      <c r="AY355" t="s">
        <v>632</v>
      </c>
      <c r="AZ355">
        <v>16</v>
      </c>
      <c r="BA355" t="s">
        <v>258</v>
      </c>
      <c r="BB355">
        <v>7</v>
      </c>
      <c r="BC355">
        <v>1</v>
      </c>
      <c r="BE355">
        <f>AM355+AU355+BD355</f>
        <v>5</v>
      </c>
      <c r="BF355" t="s">
        <v>632</v>
      </c>
      <c r="BG355" t="s">
        <v>258</v>
      </c>
      <c r="BH355">
        <v>7</v>
      </c>
      <c r="BI355">
        <v>1</v>
      </c>
      <c r="BJ355" t="s">
        <v>49</v>
      </c>
      <c r="BK355">
        <v>5</v>
      </c>
      <c r="BL355">
        <v>1</v>
      </c>
      <c r="BM355">
        <v>1</v>
      </c>
      <c r="BN355" t="s">
        <v>55</v>
      </c>
      <c r="BO355">
        <v>2</v>
      </c>
      <c r="BP355">
        <v>134</v>
      </c>
      <c r="BQ355">
        <v>0.1</v>
      </c>
      <c r="BR355">
        <v>2</v>
      </c>
      <c r="BS355">
        <v>0.2</v>
      </c>
      <c r="BT355">
        <f>BS355+BD355+AU355+AM355</f>
        <v>5.2</v>
      </c>
      <c r="BU355">
        <v>1</v>
      </c>
      <c r="BV355">
        <v>4</v>
      </c>
      <c r="BW355">
        <v>586</v>
      </c>
      <c r="BX355">
        <f>BW355/7</f>
        <v>83.714285714285708</v>
      </c>
      <c r="BY355">
        <f>0.77*BX355</f>
        <v>64.459999999999994</v>
      </c>
      <c r="BZ355">
        <f t="shared" si="5"/>
        <v>69.66</v>
      </c>
    </row>
    <row r="356" spans="1:78">
      <c r="A356" s="1">
        <v>45208.122253009264</v>
      </c>
      <c r="C356">
        <v>355</v>
      </c>
      <c r="D356" s="10">
        <v>34656</v>
      </c>
      <c r="E356">
        <v>28</v>
      </c>
      <c r="F356">
        <v>1</v>
      </c>
      <c r="G356">
        <v>11</v>
      </c>
      <c r="H356">
        <v>4</v>
      </c>
      <c r="I356" s="10">
        <v>44505</v>
      </c>
      <c r="J356">
        <v>1</v>
      </c>
      <c r="K356">
        <v>1</v>
      </c>
      <c r="L356">
        <v>1</v>
      </c>
      <c r="M356">
        <v>2860</v>
      </c>
      <c r="N356">
        <v>2</v>
      </c>
      <c r="O356" s="10">
        <v>44253</v>
      </c>
      <c r="P356">
        <v>1</v>
      </c>
      <c r="Q356">
        <v>36</v>
      </c>
      <c r="R356">
        <v>3</v>
      </c>
      <c r="S356">
        <v>80</v>
      </c>
      <c r="T356">
        <v>169</v>
      </c>
      <c r="U356">
        <v>83</v>
      </c>
      <c r="V356">
        <v>3</v>
      </c>
      <c r="W356">
        <v>1</v>
      </c>
      <c r="X356">
        <v>28.010223731662059</v>
      </c>
      <c r="Y356">
        <v>29.060607121599386</v>
      </c>
      <c r="Z356">
        <v>1.0503833899373269</v>
      </c>
      <c r="AA356">
        <v>3</v>
      </c>
      <c r="AB356">
        <v>3</v>
      </c>
      <c r="AC356" t="s">
        <v>50</v>
      </c>
      <c r="AD356">
        <v>2</v>
      </c>
      <c r="AE356">
        <v>0</v>
      </c>
      <c r="AG356">
        <v>5</v>
      </c>
      <c r="AH356">
        <v>1</v>
      </c>
      <c r="AI356">
        <v>13</v>
      </c>
      <c r="AJ356">
        <v>1</v>
      </c>
      <c r="AK356">
        <v>7</v>
      </c>
      <c r="AL356">
        <v>1</v>
      </c>
      <c r="AM356">
        <f>AJ356*AK356*AL356/7</f>
        <v>1</v>
      </c>
      <c r="AN356" t="s">
        <v>79</v>
      </c>
      <c r="AO356">
        <v>0</v>
      </c>
      <c r="AV356">
        <f>AU356+AM356</f>
        <v>1</v>
      </c>
      <c r="AW356" t="s">
        <v>71</v>
      </c>
      <c r="AX356">
        <v>1</v>
      </c>
      <c r="AY356" t="s">
        <v>71</v>
      </c>
      <c r="AZ356">
        <v>5</v>
      </c>
      <c r="BA356">
        <v>0.4</v>
      </c>
      <c r="BB356">
        <v>7</v>
      </c>
      <c r="BC356">
        <v>1</v>
      </c>
      <c r="BD356">
        <f>BA356*BB356*1/7</f>
        <v>0.4</v>
      </c>
      <c r="BE356">
        <f>AM356+AU356+BD356</f>
        <v>1.4</v>
      </c>
      <c r="BF356" t="s">
        <v>71</v>
      </c>
      <c r="BG356">
        <v>0</v>
      </c>
      <c r="BH356">
        <v>7</v>
      </c>
      <c r="BI356">
        <v>1</v>
      </c>
      <c r="BJ356" t="s">
        <v>49</v>
      </c>
      <c r="BK356">
        <v>5</v>
      </c>
      <c r="BL356">
        <v>1</v>
      </c>
      <c r="BM356">
        <v>1</v>
      </c>
      <c r="BN356" t="s">
        <v>55</v>
      </c>
      <c r="BO356">
        <v>2</v>
      </c>
      <c r="BP356">
        <v>134</v>
      </c>
      <c r="BQ356">
        <v>0.1</v>
      </c>
      <c r="BR356">
        <v>2</v>
      </c>
      <c r="BS356">
        <v>0.2</v>
      </c>
      <c r="BT356">
        <f>BS356+BD356+AU356+AM356</f>
        <v>1.6</v>
      </c>
      <c r="BU356">
        <v>1</v>
      </c>
      <c r="BV356">
        <v>3</v>
      </c>
      <c r="BW356">
        <v>439.5</v>
      </c>
      <c r="BX356">
        <f>BW356/7</f>
        <v>62.785714285714285</v>
      </c>
      <c r="BY356">
        <f>0.77*BX356</f>
        <v>48.344999999999999</v>
      </c>
      <c r="BZ356">
        <f t="shared" si="5"/>
        <v>49.945</v>
      </c>
    </row>
    <row r="357" spans="1:78">
      <c r="A357" s="1">
        <v>45208.158414004633</v>
      </c>
      <c r="C357">
        <v>356</v>
      </c>
      <c r="D357" s="10">
        <v>32823</v>
      </c>
      <c r="E357">
        <v>33</v>
      </c>
      <c r="F357">
        <v>1</v>
      </c>
      <c r="G357">
        <v>10</v>
      </c>
      <c r="H357">
        <v>5</v>
      </c>
      <c r="I357" s="10">
        <v>45016</v>
      </c>
      <c r="J357">
        <v>2</v>
      </c>
      <c r="K357">
        <v>0</v>
      </c>
      <c r="L357">
        <v>1</v>
      </c>
      <c r="M357">
        <v>2780</v>
      </c>
      <c r="N357">
        <v>2</v>
      </c>
      <c r="O357" s="10">
        <v>44771</v>
      </c>
      <c r="P357">
        <v>0</v>
      </c>
      <c r="Q357">
        <v>35</v>
      </c>
      <c r="R357">
        <v>3</v>
      </c>
      <c r="S357">
        <v>97</v>
      </c>
      <c r="T357">
        <v>173</v>
      </c>
      <c r="U357">
        <v>106</v>
      </c>
      <c r="V357">
        <v>9</v>
      </c>
      <c r="W357">
        <v>2</v>
      </c>
      <c r="X357">
        <v>32.410037087774398</v>
      </c>
      <c r="Y357">
        <v>35.41715393096996</v>
      </c>
      <c r="Z357">
        <v>3.0071168431955613</v>
      </c>
      <c r="AA357">
        <v>4</v>
      </c>
      <c r="AB357">
        <v>4</v>
      </c>
      <c r="AC357" t="s">
        <v>173</v>
      </c>
      <c r="AD357">
        <v>1</v>
      </c>
      <c r="AE357">
        <v>0</v>
      </c>
      <c r="AG357">
        <v>5</v>
      </c>
      <c r="AH357">
        <v>1</v>
      </c>
      <c r="AI357">
        <v>5</v>
      </c>
      <c r="AJ357">
        <v>5</v>
      </c>
      <c r="AK357">
        <v>7</v>
      </c>
      <c r="AL357">
        <v>1</v>
      </c>
      <c r="AM357">
        <f>AJ357*AK357*AL357/7</f>
        <v>5</v>
      </c>
      <c r="AN357" t="s">
        <v>27</v>
      </c>
      <c r="AO357">
        <v>0</v>
      </c>
      <c r="AV357">
        <f>AU357+AM357</f>
        <v>5</v>
      </c>
      <c r="AW357" t="s">
        <v>279</v>
      </c>
      <c r="AX357">
        <v>0</v>
      </c>
      <c r="BE357">
        <f>AM357+AU357+BD357</f>
        <v>5</v>
      </c>
      <c r="BF357" t="s">
        <v>279</v>
      </c>
      <c r="BG357">
        <v>1</v>
      </c>
      <c r="BH357">
        <v>7</v>
      </c>
      <c r="BI357">
        <v>1</v>
      </c>
      <c r="BJ357" t="s">
        <v>49</v>
      </c>
      <c r="BK357">
        <v>5</v>
      </c>
      <c r="BL357">
        <v>1</v>
      </c>
      <c r="BM357">
        <v>1</v>
      </c>
      <c r="BN357" t="s">
        <v>37</v>
      </c>
      <c r="BO357">
        <v>4</v>
      </c>
      <c r="BP357">
        <v>110</v>
      </c>
      <c r="BQ357">
        <v>0.05</v>
      </c>
      <c r="BR357">
        <v>2</v>
      </c>
      <c r="BS357">
        <v>0.1</v>
      </c>
      <c r="BT357">
        <f>BS357+BD357+AU357+AM357</f>
        <v>5.0999999999999996</v>
      </c>
      <c r="BU357">
        <v>1</v>
      </c>
      <c r="BV357">
        <v>0.5</v>
      </c>
      <c r="BW357">
        <v>73.25</v>
      </c>
      <c r="BX357">
        <f>BW357/7</f>
        <v>10.464285714285714</v>
      </c>
      <c r="BY357">
        <f>0.77*BX357</f>
        <v>8.0574999999999992</v>
      </c>
      <c r="BZ357">
        <f t="shared" si="5"/>
        <v>13.157499999999999</v>
      </c>
    </row>
    <row r="358" spans="1:78">
      <c r="A358" s="1">
        <v>45208.199252488426</v>
      </c>
      <c r="C358">
        <v>357</v>
      </c>
      <c r="D358" s="10">
        <v>33079</v>
      </c>
      <c r="E358">
        <v>33</v>
      </c>
      <c r="F358">
        <v>1</v>
      </c>
      <c r="G358">
        <v>3</v>
      </c>
      <c r="H358">
        <v>4</v>
      </c>
      <c r="I358" s="10">
        <v>43512</v>
      </c>
      <c r="J358">
        <v>1</v>
      </c>
      <c r="K358">
        <v>1</v>
      </c>
      <c r="L358">
        <v>1</v>
      </c>
      <c r="M358">
        <v>2040</v>
      </c>
      <c r="N358">
        <v>1</v>
      </c>
      <c r="O358" s="10">
        <v>43274</v>
      </c>
      <c r="P358">
        <v>0</v>
      </c>
      <c r="Q358">
        <v>34</v>
      </c>
      <c r="R358">
        <v>3</v>
      </c>
      <c r="S358">
        <v>54</v>
      </c>
      <c r="T358">
        <v>157</v>
      </c>
      <c r="U358">
        <v>54</v>
      </c>
      <c r="V358">
        <v>0</v>
      </c>
      <c r="W358">
        <v>1</v>
      </c>
      <c r="X358">
        <v>21.907582457706194</v>
      </c>
      <c r="Y358">
        <v>21.907582457706194</v>
      </c>
      <c r="Z358">
        <v>0</v>
      </c>
      <c r="AA358">
        <v>2</v>
      </c>
      <c r="AB358">
        <v>2</v>
      </c>
      <c r="AC358" t="s">
        <v>33</v>
      </c>
      <c r="AD358">
        <v>3</v>
      </c>
      <c r="AE358">
        <v>0</v>
      </c>
      <c r="AG358">
        <v>5</v>
      </c>
      <c r="AH358">
        <v>0</v>
      </c>
      <c r="AI358">
        <v>0</v>
      </c>
      <c r="AN358" t="s">
        <v>35</v>
      </c>
      <c r="AO358">
        <v>0</v>
      </c>
      <c r="AW358" t="s">
        <v>35</v>
      </c>
      <c r="AX358">
        <v>1</v>
      </c>
      <c r="AY358" t="s">
        <v>35</v>
      </c>
      <c r="AZ358">
        <v>12</v>
      </c>
      <c r="BA358">
        <v>0.4</v>
      </c>
      <c r="BB358">
        <v>7</v>
      </c>
      <c r="BC358">
        <v>1</v>
      </c>
      <c r="BD358">
        <f>BA358*BB358*1/7</f>
        <v>0.4</v>
      </c>
      <c r="BE358">
        <f>AM358+AU358+BD358</f>
        <v>0.4</v>
      </c>
      <c r="BF358" t="s">
        <v>35</v>
      </c>
      <c r="BG358">
        <v>0</v>
      </c>
      <c r="BH358">
        <v>7</v>
      </c>
      <c r="BI358">
        <v>1</v>
      </c>
      <c r="BJ358" t="s">
        <v>42</v>
      </c>
      <c r="BK358">
        <v>6</v>
      </c>
      <c r="BL358">
        <v>1</v>
      </c>
      <c r="BM358">
        <v>1</v>
      </c>
      <c r="BN358" t="s">
        <v>55</v>
      </c>
      <c r="BO358">
        <v>2</v>
      </c>
      <c r="BP358">
        <v>134</v>
      </c>
      <c r="BQ358">
        <v>0.1</v>
      </c>
      <c r="BR358">
        <v>2</v>
      </c>
      <c r="BS358">
        <v>0.2</v>
      </c>
      <c r="BT358">
        <f>BS358+BD358+AU358+AM358</f>
        <v>0.60000000000000009</v>
      </c>
      <c r="BU358">
        <v>1</v>
      </c>
      <c r="BV358">
        <v>2</v>
      </c>
      <c r="BW358">
        <v>293</v>
      </c>
      <c r="BX358">
        <f>BW358/7</f>
        <v>41.857142857142854</v>
      </c>
      <c r="BY358">
        <f>0.77*BX358</f>
        <v>32.229999999999997</v>
      </c>
      <c r="BZ358">
        <f t="shared" si="5"/>
        <v>32.83</v>
      </c>
    </row>
    <row r="359" spans="1:78">
      <c r="A359" s="1">
        <v>45208.264346574069</v>
      </c>
      <c r="B359" t="s">
        <v>865</v>
      </c>
      <c r="C359">
        <v>358</v>
      </c>
      <c r="D359" s="10">
        <v>31471</v>
      </c>
      <c r="E359">
        <v>36</v>
      </c>
      <c r="F359">
        <v>2</v>
      </c>
      <c r="G359">
        <v>1</v>
      </c>
      <c r="H359">
        <v>4</v>
      </c>
      <c r="I359" s="10">
        <v>44547</v>
      </c>
      <c r="J359">
        <v>2</v>
      </c>
      <c r="K359">
        <v>0</v>
      </c>
      <c r="L359">
        <v>1</v>
      </c>
      <c r="M359">
        <v>3680</v>
      </c>
      <c r="N359">
        <v>2</v>
      </c>
      <c r="O359" s="10">
        <v>44295</v>
      </c>
      <c r="P359">
        <v>1</v>
      </c>
      <c r="Q359">
        <v>36</v>
      </c>
      <c r="R359">
        <v>3</v>
      </c>
      <c r="S359">
        <v>69</v>
      </c>
      <c r="T359">
        <v>155</v>
      </c>
      <c r="U359">
        <v>79</v>
      </c>
      <c r="V359">
        <v>10</v>
      </c>
      <c r="W359">
        <v>2</v>
      </c>
      <c r="X359">
        <v>28.720083246618103</v>
      </c>
      <c r="Y359">
        <v>32.882414151925076</v>
      </c>
      <c r="Z359">
        <v>4.1623309053069732</v>
      </c>
      <c r="AA359">
        <v>3</v>
      </c>
      <c r="AB359">
        <v>4</v>
      </c>
      <c r="AC359" t="s">
        <v>44</v>
      </c>
      <c r="AD359">
        <v>1</v>
      </c>
      <c r="AE359">
        <v>0</v>
      </c>
      <c r="AG359">
        <v>5</v>
      </c>
      <c r="AH359">
        <v>1</v>
      </c>
      <c r="AI359">
        <v>2</v>
      </c>
      <c r="AJ359">
        <v>5</v>
      </c>
      <c r="AK359">
        <v>7</v>
      </c>
      <c r="AL359">
        <v>1</v>
      </c>
      <c r="AM359">
        <f>AJ359*AK359*AL359/7</f>
        <v>5</v>
      </c>
      <c r="AN359" t="s">
        <v>57</v>
      </c>
      <c r="AO359">
        <v>0</v>
      </c>
      <c r="AV359">
        <f>AU359+AM359</f>
        <v>5</v>
      </c>
      <c r="AW359" t="s">
        <v>632</v>
      </c>
      <c r="AX359">
        <v>1</v>
      </c>
      <c r="AY359" t="s">
        <v>632</v>
      </c>
      <c r="AZ359">
        <v>16</v>
      </c>
      <c r="BA359" t="s">
        <v>258</v>
      </c>
      <c r="BB359">
        <v>7</v>
      </c>
      <c r="BC359">
        <v>1</v>
      </c>
      <c r="BE359">
        <f>AM359+AU359+BD359</f>
        <v>5</v>
      </c>
      <c r="BF359" t="s">
        <v>632</v>
      </c>
      <c r="BG359" t="s">
        <v>258</v>
      </c>
      <c r="BH359">
        <v>7</v>
      </c>
      <c r="BI359">
        <v>1</v>
      </c>
      <c r="BJ359" t="s">
        <v>49</v>
      </c>
      <c r="BK359">
        <v>5</v>
      </c>
      <c r="BL359">
        <v>1</v>
      </c>
      <c r="BM359">
        <v>1</v>
      </c>
      <c r="BN359" t="s">
        <v>30</v>
      </c>
      <c r="BO359">
        <v>1</v>
      </c>
      <c r="BP359">
        <v>84</v>
      </c>
      <c r="BQ359">
        <v>0.13</v>
      </c>
      <c r="BR359">
        <v>1</v>
      </c>
      <c r="BS359">
        <v>0.13</v>
      </c>
      <c r="BT359">
        <f>BS359+BD359+AU359+AM359</f>
        <v>5.13</v>
      </c>
      <c r="BU359">
        <v>1</v>
      </c>
      <c r="BV359">
        <v>1</v>
      </c>
      <c r="BW359">
        <v>146.5</v>
      </c>
      <c r="BX359">
        <f>BW359/7</f>
        <v>20.928571428571427</v>
      </c>
      <c r="BY359">
        <f>0.77*BX359</f>
        <v>16.114999999999998</v>
      </c>
      <c r="BZ359">
        <f t="shared" si="5"/>
        <v>21.244999999999997</v>
      </c>
    </row>
    <row r="360" spans="1:78">
      <c r="A360" s="1">
        <v>45208.307664004635</v>
      </c>
      <c r="C360">
        <v>359</v>
      </c>
      <c r="D360" s="10">
        <v>32219</v>
      </c>
      <c r="E360">
        <v>35</v>
      </c>
      <c r="F360">
        <v>1</v>
      </c>
      <c r="G360">
        <v>8</v>
      </c>
      <c r="H360">
        <v>4</v>
      </c>
      <c r="I360" s="10">
        <v>44497</v>
      </c>
      <c r="J360">
        <v>1</v>
      </c>
      <c r="K360">
        <v>1</v>
      </c>
      <c r="L360">
        <v>1</v>
      </c>
      <c r="M360">
        <v>3740</v>
      </c>
      <c r="N360">
        <v>2</v>
      </c>
      <c r="O360" s="10">
        <v>44231</v>
      </c>
      <c r="P360">
        <v>1</v>
      </c>
      <c r="Q360">
        <v>38</v>
      </c>
      <c r="R360">
        <v>2</v>
      </c>
      <c r="S360">
        <v>56</v>
      </c>
      <c r="T360">
        <v>169</v>
      </c>
      <c r="U360">
        <v>71</v>
      </c>
      <c r="V360">
        <v>15</v>
      </c>
      <c r="W360">
        <v>2</v>
      </c>
      <c r="X360">
        <v>19.607156612163443</v>
      </c>
      <c r="Y360">
        <v>24.859073561850078</v>
      </c>
      <c r="Z360">
        <v>5.2519169496866347</v>
      </c>
      <c r="AA360">
        <v>2</v>
      </c>
      <c r="AB360">
        <v>2</v>
      </c>
      <c r="AC360" t="s">
        <v>33</v>
      </c>
      <c r="AD360">
        <v>3</v>
      </c>
      <c r="AE360">
        <v>1</v>
      </c>
      <c r="AF360" t="s">
        <v>280</v>
      </c>
      <c r="AG360" t="e">
        <v>#N/A</v>
      </c>
      <c r="AH360">
        <v>1</v>
      </c>
      <c r="AI360">
        <v>5</v>
      </c>
      <c r="AJ360">
        <v>5</v>
      </c>
      <c r="AK360">
        <v>7</v>
      </c>
      <c r="AL360">
        <v>1</v>
      </c>
      <c r="AM360">
        <f>AJ360*AK360*AL360/7</f>
        <v>5</v>
      </c>
      <c r="AN360" t="s">
        <v>27</v>
      </c>
      <c r="AO360">
        <v>0</v>
      </c>
      <c r="AV360">
        <f>AU360+AM360</f>
        <v>5</v>
      </c>
      <c r="AW360" t="s">
        <v>281</v>
      </c>
      <c r="AX360">
        <v>1</v>
      </c>
      <c r="AY360" t="s">
        <v>281</v>
      </c>
      <c r="AZ360">
        <v>14</v>
      </c>
      <c r="BA360">
        <v>0.5</v>
      </c>
      <c r="BB360">
        <v>7</v>
      </c>
      <c r="BC360">
        <v>1</v>
      </c>
      <c r="BD360">
        <f>BA360*BB360*1/7</f>
        <v>0.5</v>
      </c>
      <c r="BE360">
        <f>AM360+AU360+BD360</f>
        <v>5.5</v>
      </c>
      <c r="BF360" t="s">
        <v>281</v>
      </c>
      <c r="BG360">
        <v>0</v>
      </c>
      <c r="BH360">
        <v>7</v>
      </c>
      <c r="BI360">
        <v>1</v>
      </c>
      <c r="BJ360" t="s">
        <v>28</v>
      </c>
      <c r="BK360">
        <v>3</v>
      </c>
      <c r="BL360">
        <v>1</v>
      </c>
      <c r="BM360">
        <v>1</v>
      </c>
      <c r="BN360" t="s">
        <v>283</v>
      </c>
      <c r="BO360">
        <v>7</v>
      </c>
      <c r="BP360">
        <v>450</v>
      </c>
      <c r="BQ360">
        <v>0.23</v>
      </c>
      <c r="BR360">
        <v>3</v>
      </c>
      <c r="BS360">
        <v>0.69000000000000006</v>
      </c>
      <c r="BT360">
        <f>BS360+BD360+AU360+AM360</f>
        <v>6.1899999999999995</v>
      </c>
      <c r="BU360">
        <v>1</v>
      </c>
      <c r="BV360">
        <v>0.5</v>
      </c>
      <c r="BW360">
        <v>73.25</v>
      </c>
      <c r="BX360">
        <f>BW360/7</f>
        <v>10.464285714285714</v>
      </c>
      <c r="BY360">
        <f>0.77*BX360</f>
        <v>8.0574999999999992</v>
      </c>
      <c r="BZ360">
        <f t="shared" si="5"/>
        <v>14.247499999999999</v>
      </c>
    </row>
    <row r="361" spans="1:78">
      <c r="A361" s="1">
        <v>45208.335102106481</v>
      </c>
      <c r="C361">
        <v>360</v>
      </c>
      <c r="D361" s="10">
        <v>31630</v>
      </c>
      <c r="E361">
        <v>37</v>
      </c>
      <c r="F361">
        <v>1</v>
      </c>
      <c r="G361">
        <v>12</v>
      </c>
      <c r="H361">
        <v>5</v>
      </c>
      <c r="I361" s="10">
        <v>43648</v>
      </c>
      <c r="J361">
        <v>1</v>
      </c>
      <c r="K361">
        <v>1</v>
      </c>
      <c r="L361">
        <v>1</v>
      </c>
      <c r="M361">
        <v>1980</v>
      </c>
      <c r="N361">
        <v>1</v>
      </c>
      <c r="O361" s="10">
        <v>43396</v>
      </c>
      <c r="P361">
        <v>0</v>
      </c>
      <c r="Q361">
        <v>36</v>
      </c>
      <c r="R361">
        <v>3</v>
      </c>
      <c r="S361">
        <v>49</v>
      </c>
      <c r="T361">
        <v>160</v>
      </c>
      <c r="U361">
        <v>56</v>
      </c>
      <c r="V361">
        <v>7</v>
      </c>
      <c r="W361">
        <v>1</v>
      </c>
      <c r="X361">
        <v>19.140624999999996</v>
      </c>
      <c r="Y361">
        <v>21.874999999999996</v>
      </c>
      <c r="Z361">
        <v>2.734375</v>
      </c>
      <c r="AA361">
        <v>2</v>
      </c>
      <c r="AB361">
        <v>2</v>
      </c>
      <c r="AC361" t="s">
        <v>173</v>
      </c>
      <c r="AD361">
        <v>1</v>
      </c>
      <c r="AE361">
        <v>0</v>
      </c>
      <c r="AG361">
        <v>5</v>
      </c>
      <c r="AH361">
        <v>1</v>
      </c>
      <c r="AI361">
        <v>2</v>
      </c>
      <c r="AJ361">
        <v>5</v>
      </c>
      <c r="AK361">
        <v>7</v>
      </c>
      <c r="AL361">
        <v>1</v>
      </c>
      <c r="AM361">
        <f>AJ361*AK361*AL361/7</f>
        <v>5</v>
      </c>
      <c r="AN361" t="s">
        <v>57</v>
      </c>
      <c r="AO361">
        <v>0</v>
      </c>
      <c r="AV361">
        <f>AU361+AM361</f>
        <v>5</v>
      </c>
      <c r="AW361" t="s">
        <v>128</v>
      </c>
      <c r="AX361">
        <v>1</v>
      </c>
      <c r="AY361" t="s">
        <v>128</v>
      </c>
      <c r="AZ361">
        <v>4</v>
      </c>
      <c r="BA361">
        <v>0.2</v>
      </c>
      <c r="BB361">
        <v>7</v>
      </c>
      <c r="BC361">
        <v>1</v>
      </c>
      <c r="BD361">
        <f>BA361*BB361*1/7</f>
        <v>0.2</v>
      </c>
      <c r="BE361">
        <f>AM361+AU361+BD361</f>
        <v>5.2</v>
      </c>
      <c r="BF361" t="s">
        <v>128</v>
      </c>
      <c r="BG361">
        <v>0</v>
      </c>
      <c r="BH361">
        <v>7</v>
      </c>
      <c r="BI361">
        <v>1</v>
      </c>
      <c r="BJ361" t="s">
        <v>54</v>
      </c>
      <c r="BK361">
        <v>2</v>
      </c>
      <c r="BL361">
        <v>1</v>
      </c>
      <c r="BM361">
        <v>1</v>
      </c>
      <c r="BN361" t="s">
        <v>30</v>
      </c>
      <c r="BO361">
        <v>1</v>
      </c>
      <c r="BP361">
        <v>84</v>
      </c>
      <c r="BQ361">
        <v>0.13</v>
      </c>
      <c r="BR361">
        <v>1</v>
      </c>
      <c r="BS361">
        <v>0.13</v>
      </c>
      <c r="BT361">
        <f>BS361+BD361+AU361+AM361</f>
        <v>5.33</v>
      </c>
      <c r="BU361">
        <v>1</v>
      </c>
      <c r="BV361">
        <v>1</v>
      </c>
      <c r="BW361">
        <v>146.5</v>
      </c>
      <c r="BX361">
        <f>BW361/7</f>
        <v>20.928571428571427</v>
      </c>
      <c r="BY361">
        <f>0.77*BX361</f>
        <v>16.114999999999998</v>
      </c>
      <c r="BZ361">
        <f t="shared" si="5"/>
        <v>21.445</v>
      </c>
    </row>
    <row r="362" spans="1:78">
      <c r="A362" s="1">
        <v>45208.355353194449</v>
      </c>
      <c r="B362" t="s">
        <v>865</v>
      </c>
      <c r="C362">
        <v>361</v>
      </c>
      <c r="D362" s="10">
        <v>32721</v>
      </c>
      <c r="E362">
        <v>34</v>
      </c>
      <c r="F362">
        <v>1</v>
      </c>
      <c r="G362">
        <v>10</v>
      </c>
      <c r="H362">
        <v>4</v>
      </c>
      <c r="I362" s="10">
        <v>44355</v>
      </c>
      <c r="J362">
        <v>1</v>
      </c>
      <c r="K362">
        <v>1</v>
      </c>
      <c r="L362">
        <v>1</v>
      </c>
      <c r="M362">
        <v>3300</v>
      </c>
      <c r="N362">
        <v>2</v>
      </c>
      <c r="O362" s="10">
        <v>44089</v>
      </c>
      <c r="P362">
        <v>1</v>
      </c>
      <c r="Q362">
        <v>38</v>
      </c>
      <c r="R362">
        <v>2</v>
      </c>
      <c r="S362">
        <v>72</v>
      </c>
      <c r="T362">
        <v>163</v>
      </c>
      <c r="U362">
        <v>83</v>
      </c>
      <c r="V362">
        <v>11</v>
      </c>
      <c r="W362">
        <v>2</v>
      </c>
      <c r="X362">
        <v>27.099251006812452</v>
      </c>
      <c r="Y362">
        <v>31.239414355075468</v>
      </c>
      <c r="Z362">
        <v>4.140163348263016</v>
      </c>
      <c r="AA362">
        <v>3</v>
      </c>
      <c r="AB362">
        <v>4</v>
      </c>
      <c r="AC362" t="s">
        <v>33</v>
      </c>
      <c r="AD362">
        <v>3</v>
      </c>
      <c r="AE362">
        <v>0</v>
      </c>
      <c r="AG362">
        <v>5</v>
      </c>
      <c r="AH362">
        <v>1</v>
      </c>
      <c r="AI362">
        <v>13</v>
      </c>
      <c r="AJ362">
        <v>1</v>
      </c>
      <c r="AK362">
        <v>5</v>
      </c>
      <c r="AL362">
        <v>1</v>
      </c>
      <c r="AM362">
        <f>AJ362*AK362*AL362/7</f>
        <v>0.7142857142857143</v>
      </c>
      <c r="AN362" t="s">
        <v>79</v>
      </c>
      <c r="AO362">
        <v>0</v>
      </c>
      <c r="AV362">
        <f>AU362+AM362</f>
        <v>0.7142857142857143</v>
      </c>
      <c r="AW362" t="s">
        <v>753</v>
      </c>
      <c r="AX362">
        <v>0</v>
      </c>
      <c r="BE362">
        <f>AM362+AU362+BD362</f>
        <v>0.7142857142857143</v>
      </c>
      <c r="BF362" t="s">
        <v>753</v>
      </c>
      <c r="BG362">
        <v>1</v>
      </c>
      <c r="BH362">
        <v>5</v>
      </c>
      <c r="BI362">
        <v>1</v>
      </c>
      <c r="BJ362" t="s">
        <v>49</v>
      </c>
      <c r="BK362">
        <v>5</v>
      </c>
      <c r="BL362">
        <v>1</v>
      </c>
      <c r="BM362">
        <v>1</v>
      </c>
      <c r="BN362" t="s">
        <v>55</v>
      </c>
      <c r="BO362">
        <v>2</v>
      </c>
      <c r="BP362">
        <v>67</v>
      </c>
      <c r="BQ362">
        <v>0.1</v>
      </c>
      <c r="BR362">
        <v>1</v>
      </c>
      <c r="BS362">
        <v>0.1</v>
      </c>
      <c r="BT362">
        <f>BS362+BD362+AU362+AM362</f>
        <v>0.81428571428571428</v>
      </c>
      <c r="BU362">
        <v>1</v>
      </c>
      <c r="BV362">
        <v>2</v>
      </c>
      <c r="BW362">
        <v>293</v>
      </c>
      <c r="BX362">
        <f>BW362/7</f>
        <v>41.857142857142854</v>
      </c>
      <c r="BY362">
        <f>0.77*BX362</f>
        <v>32.229999999999997</v>
      </c>
      <c r="BZ362">
        <f t="shared" si="5"/>
        <v>33.044285714285714</v>
      </c>
    </row>
    <row r="363" spans="1:78">
      <c r="A363" s="1">
        <v>45208.356382928236</v>
      </c>
      <c r="C363">
        <v>362</v>
      </c>
      <c r="D363" s="10">
        <v>33404</v>
      </c>
      <c r="E363">
        <v>32</v>
      </c>
      <c r="F363">
        <v>1</v>
      </c>
      <c r="G363">
        <v>1</v>
      </c>
      <c r="H363">
        <v>5</v>
      </c>
      <c r="I363" s="10">
        <v>44556</v>
      </c>
      <c r="J363">
        <v>1</v>
      </c>
      <c r="K363">
        <v>1</v>
      </c>
      <c r="L363">
        <v>1</v>
      </c>
      <c r="M363">
        <v>3380</v>
      </c>
      <c r="N363">
        <v>2</v>
      </c>
      <c r="O363" s="10">
        <v>44283</v>
      </c>
      <c r="P363">
        <v>1</v>
      </c>
      <c r="Q363">
        <v>39</v>
      </c>
      <c r="R363">
        <v>2</v>
      </c>
      <c r="S363">
        <v>60</v>
      </c>
      <c r="T363">
        <v>159</v>
      </c>
      <c r="U363">
        <v>68</v>
      </c>
      <c r="V363">
        <v>8</v>
      </c>
      <c r="W363">
        <v>1</v>
      </c>
      <c r="X363">
        <v>23.733238400379729</v>
      </c>
      <c r="Y363">
        <v>26.897670187097027</v>
      </c>
      <c r="Z363">
        <v>3.164431786717298</v>
      </c>
      <c r="AA363">
        <v>2</v>
      </c>
      <c r="AB363">
        <v>3</v>
      </c>
      <c r="AC363" t="s">
        <v>33</v>
      </c>
      <c r="AD363">
        <v>3</v>
      </c>
      <c r="AE363">
        <v>0</v>
      </c>
      <c r="AG363">
        <v>5</v>
      </c>
      <c r="AH363">
        <v>1</v>
      </c>
      <c r="AI363">
        <v>4</v>
      </c>
      <c r="AJ363">
        <v>1</v>
      </c>
      <c r="AK363">
        <v>7</v>
      </c>
      <c r="AL363">
        <v>1</v>
      </c>
      <c r="AM363">
        <f>AJ363*AK363*AL363/7</f>
        <v>1</v>
      </c>
      <c r="AN363" t="s">
        <v>43</v>
      </c>
      <c r="AO363">
        <v>0</v>
      </c>
      <c r="AV363">
        <f>AU363+AM363</f>
        <v>1</v>
      </c>
      <c r="AW363" t="s">
        <v>178</v>
      </c>
      <c r="AX363">
        <v>0</v>
      </c>
      <c r="BE363">
        <f>AM363+AU363+BD363</f>
        <v>1</v>
      </c>
      <c r="BF363" t="s">
        <v>178</v>
      </c>
      <c r="BG363">
        <v>1</v>
      </c>
      <c r="BH363">
        <v>7</v>
      </c>
      <c r="BI363">
        <v>1</v>
      </c>
      <c r="BJ363" t="s">
        <v>42</v>
      </c>
      <c r="BK363">
        <v>6</v>
      </c>
      <c r="BL363">
        <v>1</v>
      </c>
      <c r="BM363">
        <v>1</v>
      </c>
      <c r="BN363" t="s">
        <v>37</v>
      </c>
      <c r="BO363">
        <v>4</v>
      </c>
      <c r="BP363">
        <v>110</v>
      </c>
      <c r="BQ363">
        <v>0.05</v>
      </c>
      <c r="BR363">
        <v>2</v>
      </c>
      <c r="BS363">
        <v>0.1</v>
      </c>
      <c r="BT363">
        <f>BS363+BD363+AU363+AM363</f>
        <v>1.1000000000000001</v>
      </c>
      <c r="BU363">
        <v>1</v>
      </c>
      <c r="BV363">
        <v>1</v>
      </c>
      <c r="BW363">
        <v>146.5</v>
      </c>
      <c r="BX363">
        <f>BW363/7</f>
        <v>20.928571428571427</v>
      </c>
      <c r="BY363">
        <f>0.77*BX363</f>
        <v>16.114999999999998</v>
      </c>
      <c r="BZ363">
        <f t="shared" si="5"/>
        <v>17.215</v>
      </c>
    </row>
    <row r="364" spans="1:78">
      <c r="A364" s="1">
        <v>45208.378281770834</v>
      </c>
      <c r="C364">
        <v>363</v>
      </c>
      <c r="D364" s="10">
        <v>33404</v>
      </c>
      <c r="E364">
        <v>32</v>
      </c>
      <c r="F364">
        <v>1</v>
      </c>
      <c r="G364">
        <v>2</v>
      </c>
      <c r="H364">
        <v>3</v>
      </c>
      <c r="I364" s="10">
        <v>42924</v>
      </c>
      <c r="J364">
        <v>1</v>
      </c>
      <c r="K364">
        <v>1</v>
      </c>
      <c r="L364">
        <v>2</v>
      </c>
      <c r="M364">
        <v>3390</v>
      </c>
      <c r="N364">
        <v>2</v>
      </c>
      <c r="O364" s="10">
        <v>42644</v>
      </c>
      <c r="P364">
        <v>0</v>
      </c>
      <c r="Q364">
        <v>40</v>
      </c>
      <c r="R364">
        <v>2</v>
      </c>
      <c r="S364">
        <v>65</v>
      </c>
      <c r="T364">
        <v>154</v>
      </c>
      <c r="U364">
        <v>69</v>
      </c>
      <c r="V364">
        <v>4</v>
      </c>
      <c r="W364">
        <v>1</v>
      </c>
      <c r="X364">
        <v>27.407657277787148</v>
      </c>
      <c r="Y364">
        <v>29.094282341035587</v>
      </c>
      <c r="Z364">
        <v>1.6866250632484387</v>
      </c>
      <c r="AA364">
        <v>3</v>
      </c>
      <c r="AB364">
        <v>3</v>
      </c>
      <c r="AC364" t="s">
        <v>33</v>
      </c>
      <c r="AD364">
        <v>3</v>
      </c>
      <c r="AE364">
        <v>0</v>
      </c>
      <c r="AG364">
        <v>5</v>
      </c>
      <c r="AH364">
        <v>1</v>
      </c>
      <c r="AI364">
        <v>13</v>
      </c>
      <c r="AJ364">
        <v>1</v>
      </c>
      <c r="AK364">
        <v>7</v>
      </c>
      <c r="AL364">
        <v>1</v>
      </c>
      <c r="AM364">
        <f>AJ364*AK364*AL364/7</f>
        <v>1</v>
      </c>
      <c r="AN364" t="s">
        <v>79</v>
      </c>
      <c r="AO364">
        <v>0</v>
      </c>
      <c r="AV364">
        <f>AU364+AM364</f>
        <v>1</v>
      </c>
      <c r="AX364">
        <v>0</v>
      </c>
      <c r="BE364">
        <f>AM364+AU364+BD364</f>
        <v>1</v>
      </c>
      <c r="BG364">
        <v>0</v>
      </c>
      <c r="BJ364" t="s">
        <v>42</v>
      </c>
      <c r="BK364">
        <v>6</v>
      </c>
      <c r="BL364">
        <v>3</v>
      </c>
      <c r="BM364">
        <v>1</v>
      </c>
      <c r="BN364" t="s">
        <v>55</v>
      </c>
      <c r="BO364">
        <v>2</v>
      </c>
      <c r="BP364">
        <v>134</v>
      </c>
      <c r="BQ364">
        <v>0.1</v>
      </c>
      <c r="BR364">
        <v>2</v>
      </c>
      <c r="BS364">
        <v>0.2</v>
      </c>
      <c r="BT364">
        <f>BS364+BD364+AU364+AM364</f>
        <v>1.2</v>
      </c>
      <c r="BU364">
        <v>1</v>
      </c>
      <c r="BV364" t="s">
        <v>124</v>
      </c>
      <c r="BW364" t="e">
        <v>#VALUE!</v>
      </c>
      <c r="BX364" t="e">
        <f>BW364/7</f>
        <v>#VALUE!</v>
      </c>
      <c r="BY364" t="e">
        <f>0.77*BX364</f>
        <v>#VALUE!</v>
      </c>
      <c r="BZ364" t="e">
        <f t="shared" si="5"/>
        <v>#VALUE!</v>
      </c>
    </row>
    <row r="365" spans="1:78">
      <c r="A365" s="1">
        <v>45208.388324652777</v>
      </c>
      <c r="B365" t="s">
        <v>865</v>
      </c>
      <c r="C365">
        <v>364</v>
      </c>
      <c r="D365" s="10">
        <v>31773</v>
      </c>
      <c r="E365">
        <v>36</v>
      </c>
      <c r="F365">
        <v>1</v>
      </c>
      <c r="G365">
        <v>1</v>
      </c>
      <c r="H365">
        <v>5</v>
      </c>
      <c r="I365" s="10">
        <v>44973</v>
      </c>
      <c r="J365">
        <v>1</v>
      </c>
      <c r="K365">
        <v>1</v>
      </c>
      <c r="L365">
        <v>2</v>
      </c>
      <c r="M365">
        <v>3350</v>
      </c>
      <c r="N365">
        <v>2</v>
      </c>
      <c r="O365" s="10">
        <v>44700</v>
      </c>
      <c r="P365">
        <v>0</v>
      </c>
      <c r="Q365">
        <v>39</v>
      </c>
      <c r="R365">
        <v>2</v>
      </c>
      <c r="S365">
        <v>73</v>
      </c>
      <c r="T365">
        <v>170</v>
      </c>
      <c r="U365">
        <v>90</v>
      </c>
      <c r="V365">
        <v>17</v>
      </c>
      <c r="W365">
        <v>3</v>
      </c>
      <c r="X365">
        <v>25.259515570934258</v>
      </c>
      <c r="Y365">
        <v>31.141868512110729</v>
      </c>
      <c r="Z365">
        <v>5.882352941176471</v>
      </c>
      <c r="AA365">
        <v>3</v>
      </c>
      <c r="AB365">
        <v>4</v>
      </c>
      <c r="AC365" t="s">
        <v>33</v>
      </c>
      <c r="AD365">
        <v>3</v>
      </c>
      <c r="AE365">
        <v>0</v>
      </c>
      <c r="AG365">
        <v>5</v>
      </c>
      <c r="AH365">
        <v>1</v>
      </c>
      <c r="AI365">
        <v>2</v>
      </c>
      <c r="AJ365">
        <v>5</v>
      </c>
      <c r="AK365">
        <v>7</v>
      </c>
      <c r="AL365">
        <v>1</v>
      </c>
      <c r="AM365">
        <f>AJ365*AK365*AL365/7</f>
        <v>5</v>
      </c>
      <c r="AN365" t="s">
        <v>57</v>
      </c>
      <c r="AO365">
        <v>0</v>
      </c>
      <c r="AV365">
        <f>AU365+AM365</f>
        <v>5</v>
      </c>
      <c r="AX365">
        <v>1</v>
      </c>
      <c r="AY365" t="s">
        <v>878</v>
      </c>
      <c r="AZ365">
        <v>16</v>
      </c>
      <c r="BA365" t="s">
        <v>258</v>
      </c>
      <c r="BB365">
        <v>7</v>
      </c>
      <c r="BC365">
        <v>1</v>
      </c>
      <c r="BE365">
        <f>AM365+AU365+BD365</f>
        <v>5</v>
      </c>
      <c r="BF365" t="s">
        <v>878</v>
      </c>
      <c r="BG365" t="s">
        <v>258</v>
      </c>
      <c r="BH365">
        <v>7</v>
      </c>
      <c r="BI365">
        <v>1</v>
      </c>
      <c r="BJ365" t="s">
        <v>28</v>
      </c>
      <c r="BK365">
        <v>3</v>
      </c>
      <c r="BL365">
        <v>3</v>
      </c>
      <c r="BM365">
        <v>1</v>
      </c>
      <c r="BN365" t="s">
        <v>95</v>
      </c>
      <c r="BO365">
        <v>14</v>
      </c>
      <c r="BP365">
        <v>146.76923076923077</v>
      </c>
      <c r="BQ365">
        <v>0.1</v>
      </c>
      <c r="BR365">
        <v>2</v>
      </c>
      <c r="BS365">
        <v>0.2</v>
      </c>
      <c r="BT365">
        <f>BS365+BD365+AU365+AM365</f>
        <v>5.2</v>
      </c>
      <c r="BU365">
        <v>1</v>
      </c>
      <c r="BV365">
        <v>2</v>
      </c>
      <c r="BW365">
        <v>293</v>
      </c>
      <c r="BX365">
        <f>BW365/7</f>
        <v>41.857142857142854</v>
      </c>
      <c r="BY365">
        <f>0.77*BX365</f>
        <v>32.229999999999997</v>
      </c>
      <c r="BZ365">
        <f t="shared" si="5"/>
        <v>37.43</v>
      </c>
    </row>
    <row r="366" spans="1:78">
      <c r="A366" s="1">
        <v>45208.399638958334</v>
      </c>
      <c r="C366">
        <v>365</v>
      </c>
      <c r="D366" s="10">
        <v>30631</v>
      </c>
      <c r="E366">
        <v>39</v>
      </c>
      <c r="F366">
        <v>1</v>
      </c>
      <c r="G366">
        <v>1</v>
      </c>
      <c r="H366">
        <v>5</v>
      </c>
      <c r="I366" s="10">
        <v>43587</v>
      </c>
      <c r="J366">
        <v>2</v>
      </c>
      <c r="K366">
        <v>0</v>
      </c>
      <c r="L366">
        <v>2</v>
      </c>
      <c r="M366">
        <v>2060</v>
      </c>
      <c r="N366">
        <v>1</v>
      </c>
      <c r="O366" s="10">
        <v>43321</v>
      </c>
      <c r="P366">
        <v>0</v>
      </c>
      <c r="Q366">
        <v>38</v>
      </c>
      <c r="R366">
        <v>2</v>
      </c>
      <c r="S366">
        <v>73</v>
      </c>
      <c r="T366">
        <v>153</v>
      </c>
      <c r="U366">
        <v>75</v>
      </c>
      <c r="V366">
        <v>2</v>
      </c>
      <c r="W366">
        <v>1</v>
      </c>
      <c r="X366">
        <v>31.184587124610193</v>
      </c>
      <c r="Y366">
        <v>32.038959374599514</v>
      </c>
      <c r="Z366">
        <v>0.85437224998932138</v>
      </c>
      <c r="AA366">
        <v>4</v>
      </c>
      <c r="AB366">
        <v>4</v>
      </c>
      <c r="AC366" t="s">
        <v>33</v>
      </c>
      <c r="AD366">
        <v>3</v>
      </c>
      <c r="AE366">
        <v>0</v>
      </c>
      <c r="AG366">
        <v>5</v>
      </c>
      <c r="AH366">
        <v>0</v>
      </c>
      <c r="AI366">
        <v>0</v>
      </c>
      <c r="AN366" t="s">
        <v>41</v>
      </c>
      <c r="AO366">
        <v>0</v>
      </c>
      <c r="AW366" t="s">
        <v>58</v>
      </c>
      <c r="AX366">
        <v>1</v>
      </c>
      <c r="AY366" t="s">
        <v>58</v>
      </c>
      <c r="AZ366">
        <v>1</v>
      </c>
      <c r="BA366">
        <v>0.8</v>
      </c>
      <c r="BB366">
        <v>7</v>
      </c>
      <c r="BC366">
        <v>1</v>
      </c>
      <c r="BD366">
        <f>BA366*BB366*1/7</f>
        <v>0.8</v>
      </c>
      <c r="BE366">
        <f>AM366+AU366+BD366</f>
        <v>0.8</v>
      </c>
      <c r="BF366" t="s">
        <v>58</v>
      </c>
      <c r="BG366">
        <v>0</v>
      </c>
      <c r="BH366">
        <v>7</v>
      </c>
      <c r="BI366">
        <v>1</v>
      </c>
      <c r="BJ366" t="s">
        <v>54</v>
      </c>
      <c r="BK366">
        <v>2</v>
      </c>
      <c r="BL366">
        <v>1</v>
      </c>
      <c r="BM366">
        <v>1</v>
      </c>
      <c r="BN366" t="s">
        <v>55</v>
      </c>
      <c r="BO366">
        <v>2</v>
      </c>
      <c r="BP366">
        <v>134</v>
      </c>
      <c r="BQ366">
        <v>0.1</v>
      </c>
      <c r="BR366">
        <v>2</v>
      </c>
      <c r="BS366">
        <v>0.2</v>
      </c>
      <c r="BT366">
        <f>BS366+BD366+AU366+AM366</f>
        <v>1</v>
      </c>
      <c r="BU366">
        <v>1</v>
      </c>
      <c r="BV366">
        <v>1</v>
      </c>
      <c r="BW366">
        <v>146.5</v>
      </c>
      <c r="BX366">
        <f>BW366/7</f>
        <v>20.928571428571427</v>
      </c>
      <c r="BY366">
        <f>0.77*BX366</f>
        <v>16.114999999999998</v>
      </c>
      <c r="BZ366">
        <f t="shared" si="5"/>
        <v>17.114999999999998</v>
      </c>
    </row>
    <row r="367" spans="1:78">
      <c r="A367" s="1">
        <v>45208.404312858795</v>
      </c>
      <c r="C367">
        <v>366</v>
      </c>
      <c r="D367" s="10">
        <v>34906</v>
      </c>
      <c r="E367">
        <v>28</v>
      </c>
      <c r="F367">
        <v>1</v>
      </c>
      <c r="G367">
        <v>13</v>
      </c>
      <c r="H367">
        <v>2</v>
      </c>
      <c r="I367" s="10">
        <v>43748</v>
      </c>
      <c r="J367">
        <v>1</v>
      </c>
      <c r="K367">
        <v>1</v>
      </c>
      <c r="L367">
        <v>2</v>
      </c>
      <c r="M367">
        <v>2880</v>
      </c>
      <c r="N367">
        <v>2</v>
      </c>
      <c r="O367" s="10">
        <v>43482</v>
      </c>
      <c r="P367">
        <v>0</v>
      </c>
      <c r="Q367">
        <v>38</v>
      </c>
      <c r="R367">
        <v>2</v>
      </c>
      <c r="S367">
        <v>70</v>
      </c>
      <c r="T367">
        <v>154</v>
      </c>
      <c r="U367">
        <v>75</v>
      </c>
      <c r="V367">
        <v>5</v>
      </c>
      <c r="W367">
        <v>1</v>
      </c>
      <c r="X367">
        <v>29.515938606847698</v>
      </c>
      <c r="Y367">
        <v>31.624219935908247</v>
      </c>
      <c r="Z367">
        <v>2.1082813290605493</v>
      </c>
      <c r="AA367">
        <v>3</v>
      </c>
      <c r="AB367">
        <v>4</v>
      </c>
      <c r="AC367" t="s">
        <v>25</v>
      </c>
      <c r="AD367">
        <v>1</v>
      </c>
      <c r="AE367">
        <v>0</v>
      </c>
      <c r="AG367">
        <v>5</v>
      </c>
      <c r="AH367">
        <v>1</v>
      </c>
      <c r="AI367">
        <v>13</v>
      </c>
      <c r="AJ367">
        <v>1</v>
      </c>
      <c r="AK367">
        <v>7</v>
      </c>
      <c r="AL367">
        <v>1</v>
      </c>
      <c r="AM367">
        <f>AJ367*AK367*AL367/7</f>
        <v>1</v>
      </c>
      <c r="AN367" t="s">
        <v>79</v>
      </c>
      <c r="AO367">
        <v>0</v>
      </c>
      <c r="AV367">
        <f>AU367+AM367</f>
        <v>1</v>
      </c>
      <c r="AX367">
        <v>0</v>
      </c>
      <c r="BE367">
        <f>AM367+AU367+BD367</f>
        <v>1</v>
      </c>
      <c r="BG367">
        <v>0</v>
      </c>
      <c r="BJ367" t="s">
        <v>42</v>
      </c>
      <c r="BK367">
        <v>6</v>
      </c>
      <c r="BL367">
        <v>1</v>
      </c>
      <c r="BM367">
        <v>1</v>
      </c>
      <c r="BN367" t="s">
        <v>55</v>
      </c>
      <c r="BO367">
        <v>2</v>
      </c>
      <c r="BP367">
        <v>201</v>
      </c>
      <c r="BQ367">
        <v>0.1</v>
      </c>
      <c r="BR367">
        <v>3</v>
      </c>
      <c r="BS367">
        <v>0.30000000000000004</v>
      </c>
      <c r="BT367">
        <f>BS367+BD367+AU367+AM367</f>
        <v>1.3</v>
      </c>
      <c r="BU367">
        <v>1</v>
      </c>
      <c r="BV367">
        <v>3</v>
      </c>
      <c r="BW367">
        <v>439.5</v>
      </c>
      <c r="BX367">
        <f>BW367/7</f>
        <v>62.785714285714285</v>
      </c>
      <c r="BY367">
        <f>0.77*BX367</f>
        <v>48.344999999999999</v>
      </c>
      <c r="BZ367">
        <f t="shared" si="5"/>
        <v>49.644999999999996</v>
      </c>
    </row>
    <row r="368" spans="1:78">
      <c r="A368" s="1">
        <v>45208.404521006945</v>
      </c>
      <c r="C368">
        <v>367</v>
      </c>
      <c r="D368" s="10">
        <v>32879</v>
      </c>
      <c r="E368">
        <v>33</v>
      </c>
      <c r="F368">
        <v>1</v>
      </c>
      <c r="G368">
        <v>12</v>
      </c>
      <c r="H368">
        <v>4</v>
      </c>
      <c r="I368" s="10">
        <v>44881</v>
      </c>
      <c r="J368">
        <v>1</v>
      </c>
      <c r="K368">
        <v>1</v>
      </c>
      <c r="L368">
        <v>2</v>
      </c>
      <c r="M368">
        <v>3365</v>
      </c>
      <c r="N368">
        <v>2</v>
      </c>
      <c r="O368" s="10">
        <v>44608</v>
      </c>
      <c r="P368">
        <v>0</v>
      </c>
      <c r="Q368">
        <v>39</v>
      </c>
      <c r="R368">
        <v>2</v>
      </c>
      <c r="S368">
        <v>63</v>
      </c>
      <c r="T368">
        <v>163</v>
      </c>
      <c r="U368">
        <v>90</v>
      </c>
      <c r="V368">
        <v>27</v>
      </c>
      <c r="W368">
        <v>3</v>
      </c>
      <c r="X368">
        <v>23.711844630960897</v>
      </c>
      <c r="Y368">
        <v>33.874063758515568</v>
      </c>
      <c r="Z368">
        <v>10.162219127554671</v>
      </c>
      <c r="AA368">
        <v>2</v>
      </c>
      <c r="AB368">
        <v>4</v>
      </c>
      <c r="AC368" t="s">
        <v>50</v>
      </c>
      <c r="AD368">
        <v>2</v>
      </c>
      <c r="AE368">
        <v>0</v>
      </c>
      <c r="AG368">
        <v>5</v>
      </c>
      <c r="AH368">
        <v>1</v>
      </c>
      <c r="AI368">
        <v>19</v>
      </c>
      <c r="AJ368">
        <v>2</v>
      </c>
      <c r="AK368">
        <v>7</v>
      </c>
      <c r="AL368">
        <v>1</v>
      </c>
      <c r="AM368">
        <f>AJ368*AK368*AL368/7</f>
        <v>2</v>
      </c>
      <c r="AN368" t="s">
        <v>285</v>
      </c>
      <c r="AO368">
        <v>0</v>
      </c>
      <c r="AV368">
        <f>AU368+AM368</f>
        <v>2</v>
      </c>
      <c r="AX368">
        <v>0</v>
      </c>
      <c r="BE368">
        <f>AM368+AU368+BD368</f>
        <v>2</v>
      </c>
      <c r="BG368">
        <v>0</v>
      </c>
      <c r="BJ368" t="s">
        <v>28</v>
      </c>
      <c r="BK368">
        <v>3</v>
      </c>
      <c r="BL368">
        <v>1</v>
      </c>
      <c r="BM368">
        <v>1</v>
      </c>
      <c r="BN368" t="s">
        <v>55</v>
      </c>
      <c r="BO368">
        <v>2</v>
      </c>
      <c r="BP368">
        <v>67</v>
      </c>
      <c r="BQ368">
        <v>0.1</v>
      </c>
      <c r="BR368">
        <v>1</v>
      </c>
      <c r="BS368">
        <v>0.1</v>
      </c>
      <c r="BT368">
        <f>BS368+BD368+AU368+AM368</f>
        <v>2.1</v>
      </c>
      <c r="BU368">
        <v>1</v>
      </c>
      <c r="BV368">
        <v>2</v>
      </c>
      <c r="BW368">
        <v>293</v>
      </c>
      <c r="BX368">
        <f>BW368/7</f>
        <v>41.857142857142854</v>
      </c>
      <c r="BY368">
        <f>0.77*BX368</f>
        <v>32.229999999999997</v>
      </c>
      <c r="BZ368">
        <f t="shared" si="5"/>
        <v>34.33</v>
      </c>
    </row>
    <row r="369" spans="1:78">
      <c r="A369" s="1">
        <v>45208.412551597226</v>
      </c>
      <c r="C369">
        <v>368</v>
      </c>
      <c r="D369" s="10">
        <v>34727</v>
      </c>
      <c r="E369">
        <v>28</v>
      </c>
      <c r="F369">
        <v>1</v>
      </c>
      <c r="G369">
        <v>3</v>
      </c>
      <c r="H369">
        <v>3</v>
      </c>
      <c r="I369" s="10">
        <v>44862</v>
      </c>
      <c r="J369">
        <v>1</v>
      </c>
      <c r="K369">
        <v>1</v>
      </c>
      <c r="L369">
        <v>1</v>
      </c>
      <c r="M369">
        <v>4300</v>
      </c>
      <c r="N369">
        <v>3</v>
      </c>
      <c r="O369" s="10">
        <v>44586</v>
      </c>
      <c r="P369">
        <v>0</v>
      </c>
      <c r="Q369">
        <v>39.428571428571431</v>
      </c>
      <c r="R369">
        <v>2</v>
      </c>
      <c r="S369">
        <v>95</v>
      </c>
      <c r="T369">
        <v>168</v>
      </c>
      <c r="U369">
        <v>105</v>
      </c>
      <c r="V369">
        <v>10</v>
      </c>
      <c r="W369">
        <v>2</v>
      </c>
      <c r="X369">
        <v>33.659297052154201</v>
      </c>
      <c r="Y369">
        <v>37.202380952380956</v>
      </c>
      <c r="Z369">
        <v>3.5430839002267547</v>
      </c>
      <c r="AA369">
        <v>4</v>
      </c>
      <c r="AB369">
        <v>4</v>
      </c>
      <c r="AC369" t="s">
        <v>33</v>
      </c>
      <c r="AD369">
        <v>3</v>
      </c>
      <c r="AE369">
        <v>0</v>
      </c>
      <c r="AG369">
        <v>5</v>
      </c>
      <c r="AH369">
        <v>1</v>
      </c>
      <c r="AI369">
        <v>13</v>
      </c>
      <c r="AJ369">
        <v>1</v>
      </c>
      <c r="AK369">
        <v>7</v>
      </c>
      <c r="AL369">
        <v>1</v>
      </c>
      <c r="AM369">
        <f>AJ369*AK369*AL369/7</f>
        <v>1</v>
      </c>
      <c r="AN369" t="s">
        <v>79</v>
      </c>
      <c r="AO369">
        <v>0</v>
      </c>
      <c r="AV369">
        <f>AU369+AM369</f>
        <v>1</v>
      </c>
      <c r="AW369" t="s">
        <v>286</v>
      </c>
      <c r="AX369">
        <v>0</v>
      </c>
      <c r="BE369">
        <f>AM369+AU369+BD369</f>
        <v>1</v>
      </c>
      <c r="BF369" t="s">
        <v>286</v>
      </c>
      <c r="BG369">
        <v>1</v>
      </c>
      <c r="BH369">
        <v>3</v>
      </c>
      <c r="BI369">
        <v>1</v>
      </c>
      <c r="BJ369" t="s">
        <v>49</v>
      </c>
      <c r="BK369">
        <v>5</v>
      </c>
      <c r="BL369">
        <v>1</v>
      </c>
      <c r="BM369">
        <v>1</v>
      </c>
      <c r="BN369" t="s">
        <v>55</v>
      </c>
      <c r="BO369">
        <v>2</v>
      </c>
      <c r="BP369">
        <v>134</v>
      </c>
      <c r="BQ369">
        <v>0.1</v>
      </c>
      <c r="BR369">
        <v>2</v>
      </c>
      <c r="BS369">
        <v>0.2</v>
      </c>
      <c r="BT369">
        <f>BS369+BD369+AU369+AM369</f>
        <v>1.2</v>
      </c>
      <c r="BU369">
        <v>1</v>
      </c>
      <c r="BV369">
        <v>2</v>
      </c>
      <c r="BW369">
        <v>293</v>
      </c>
      <c r="BX369">
        <f>BW369/7</f>
        <v>41.857142857142854</v>
      </c>
      <c r="BY369">
        <f>0.77*BX369</f>
        <v>32.229999999999997</v>
      </c>
      <c r="BZ369">
        <f t="shared" si="5"/>
        <v>33.43</v>
      </c>
    </row>
    <row r="370" spans="1:78">
      <c r="A370" s="1">
        <v>45208.417780532407</v>
      </c>
      <c r="C370">
        <v>369</v>
      </c>
      <c r="D370" s="10">
        <v>33676</v>
      </c>
      <c r="E370">
        <v>31</v>
      </c>
      <c r="F370">
        <v>1</v>
      </c>
      <c r="G370">
        <v>1</v>
      </c>
      <c r="H370">
        <v>5</v>
      </c>
      <c r="I370" s="10">
        <v>44804</v>
      </c>
      <c r="J370">
        <v>2</v>
      </c>
      <c r="K370">
        <v>0</v>
      </c>
      <c r="L370">
        <v>2</v>
      </c>
      <c r="M370">
        <v>3580</v>
      </c>
      <c r="N370">
        <v>2</v>
      </c>
      <c r="O370" s="10">
        <v>44531</v>
      </c>
      <c r="P370">
        <v>0</v>
      </c>
      <c r="Q370">
        <v>39</v>
      </c>
      <c r="R370">
        <v>2</v>
      </c>
      <c r="S370">
        <v>85</v>
      </c>
      <c r="T370">
        <v>162</v>
      </c>
      <c r="U370">
        <v>99</v>
      </c>
      <c r="V370">
        <v>14</v>
      </c>
      <c r="W370">
        <v>3</v>
      </c>
      <c r="X370">
        <v>32.38835543362292</v>
      </c>
      <c r="Y370">
        <v>37.722908093278456</v>
      </c>
      <c r="Z370">
        <v>5.3345526596555359</v>
      </c>
      <c r="AA370">
        <v>4</v>
      </c>
      <c r="AB370">
        <v>4</v>
      </c>
      <c r="AC370" t="s">
        <v>33</v>
      </c>
      <c r="AD370">
        <v>3</v>
      </c>
      <c r="AE370">
        <v>0</v>
      </c>
      <c r="AG370">
        <v>5</v>
      </c>
      <c r="AH370">
        <v>1</v>
      </c>
      <c r="AI370">
        <v>5</v>
      </c>
      <c r="AJ370">
        <v>5</v>
      </c>
      <c r="AK370">
        <v>7</v>
      </c>
      <c r="AL370">
        <v>1</v>
      </c>
      <c r="AM370">
        <f>AJ370*AK370*AL370/7</f>
        <v>5</v>
      </c>
      <c r="AN370" t="s">
        <v>27</v>
      </c>
      <c r="AO370">
        <v>0</v>
      </c>
      <c r="AV370">
        <f>AU370+AM370</f>
        <v>5</v>
      </c>
      <c r="AW370" t="s">
        <v>58</v>
      </c>
      <c r="AX370">
        <v>1</v>
      </c>
      <c r="AY370" t="s">
        <v>58</v>
      </c>
      <c r="AZ370">
        <v>1</v>
      </c>
      <c r="BA370">
        <v>0.8</v>
      </c>
      <c r="BB370">
        <v>7</v>
      </c>
      <c r="BC370">
        <v>1</v>
      </c>
      <c r="BD370">
        <f>BA370*BB370*1/7</f>
        <v>0.8</v>
      </c>
      <c r="BE370">
        <f>AM370+AU370+BD370</f>
        <v>5.8</v>
      </c>
      <c r="BF370" t="s">
        <v>58</v>
      </c>
      <c r="BG370">
        <v>0</v>
      </c>
      <c r="BH370">
        <v>7</v>
      </c>
      <c r="BI370">
        <v>1</v>
      </c>
      <c r="BJ370" t="s">
        <v>28</v>
      </c>
      <c r="BK370">
        <v>3</v>
      </c>
      <c r="BL370">
        <v>1</v>
      </c>
      <c r="BM370">
        <v>1</v>
      </c>
      <c r="BN370" t="s">
        <v>55</v>
      </c>
      <c r="BO370">
        <v>2</v>
      </c>
      <c r="BP370">
        <v>134</v>
      </c>
      <c r="BQ370">
        <v>0.1</v>
      </c>
      <c r="BR370">
        <v>2</v>
      </c>
      <c r="BS370">
        <v>0.2</v>
      </c>
      <c r="BT370">
        <f>BS370+BD370+AU370+AM370</f>
        <v>6</v>
      </c>
      <c r="BU370">
        <v>1</v>
      </c>
      <c r="BV370">
        <v>2</v>
      </c>
      <c r="BW370">
        <v>293</v>
      </c>
      <c r="BX370">
        <f>BW370/7</f>
        <v>41.857142857142854</v>
      </c>
      <c r="BY370">
        <f>0.77*BX370</f>
        <v>32.229999999999997</v>
      </c>
      <c r="BZ370">
        <f t="shared" si="5"/>
        <v>38.229999999999997</v>
      </c>
    </row>
    <row r="371" spans="1:78">
      <c r="A371" s="1">
        <v>45208.420673356479</v>
      </c>
      <c r="C371">
        <v>370</v>
      </c>
      <c r="D371" s="10">
        <v>34831</v>
      </c>
      <c r="E371">
        <v>28</v>
      </c>
      <c r="F371">
        <v>1</v>
      </c>
      <c r="G371">
        <v>1</v>
      </c>
      <c r="H371">
        <v>5</v>
      </c>
      <c r="I371" s="10">
        <v>44362</v>
      </c>
      <c r="J371">
        <v>1</v>
      </c>
      <c r="K371">
        <v>1</v>
      </c>
      <c r="L371">
        <v>2</v>
      </c>
      <c r="M371">
        <v>3300</v>
      </c>
      <c r="N371">
        <v>2</v>
      </c>
      <c r="O371" s="10">
        <v>44089</v>
      </c>
      <c r="P371">
        <v>1</v>
      </c>
      <c r="Q371">
        <v>39</v>
      </c>
      <c r="R371">
        <v>2</v>
      </c>
      <c r="S371">
        <v>58</v>
      </c>
      <c r="T371">
        <v>155</v>
      </c>
      <c r="U371">
        <v>68</v>
      </c>
      <c r="V371">
        <v>10</v>
      </c>
      <c r="W371">
        <v>1</v>
      </c>
      <c r="X371">
        <v>24.141519250780433</v>
      </c>
      <c r="Y371">
        <v>28.303850156087407</v>
      </c>
      <c r="Z371">
        <v>4.1623309053069732</v>
      </c>
      <c r="AA371">
        <v>2</v>
      </c>
      <c r="AB371">
        <v>3</v>
      </c>
      <c r="AC371" t="s">
        <v>33</v>
      </c>
      <c r="AD371">
        <v>3</v>
      </c>
      <c r="AE371">
        <v>0</v>
      </c>
      <c r="AG371">
        <v>5</v>
      </c>
      <c r="AH371">
        <v>1</v>
      </c>
      <c r="AI371">
        <v>4</v>
      </c>
      <c r="AJ371">
        <v>1</v>
      </c>
      <c r="AK371">
        <v>7</v>
      </c>
      <c r="AL371">
        <v>1</v>
      </c>
      <c r="AM371">
        <f>AJ371*AK371*AL371/7</f>
        <v>1</v>
      </c>
      <c r="AN371" t="s">
        <v>43</v>
      </c>
      <c r="AO371">
        <v>0</v>
      </c>
      <c r="AV371">
        <f>AU371+AM371</f>
        <v>1</v>
      </c>
      <c r="AW371" t="s">
        <v>287</v>
      </c>
      <c r="AX371">
        <v>0</v>
      </c>
      <c r="BE371">
        <f>AM371+AU371+BD371</f>
        <v>1</v>
      </c>
      <c r="BF371" t="s">
        <v>287</v>
      </c>
      <c r="BG371">
        <v>1</v>
      </c>
      <c r="BH371">
        <v>7</v>
      </c>
      <c r="BI371">
        <v>1</v>
      </c>
      <c r="BJ371" t="s">
        <v>28</v>
      </c>
      <c r="BK371">
        <v>3</v>
      </c>
      <c r="BL371">
        <v>1</v>
      </c>
      <c r="BM371">
        <v>1</v>
      </c>
      <c r="BN371" t="s">
        <v>30</v>
      </c>
      <c r="BO371">
        <v>1</v>
      </c>
      <c r="BP371">
        <v>168</v>
      </c>
      <c r="BQ371">
        <v>0.13</v>
      </c>
      <c r="BR371">
        <v>2</v>
      </c>
      <c r="BS371">
        <v>0.26</v>
      </c>
      <c r="BT371">
        <f>BS371+BD371+AU371+AM371</f>
        <v>1.26</v>
      </c>
      <c r="BU371">
        <v>1</v>
      </c>
      <c r="BV371">
        <v>4</v>
      </c>
      <c r="BW371">
        <v>586</v>
      </c>
      <c r="BX371">
        <f>BW371/7</f>
        <v>83.714285714285708</v>
      </c>
      <c r="BY371">
        <f>0.77*BX371</f>
        <v>64.459999999999994</v>
      </c>
      <c r="BZ371">
        <f t="shared" si="5"/>
        <v>65.72</v>
      </c>
    </row>
    <row r="372" spans="1:78">
      <c r="A372" s="1">
        <v>45208.434556539352</v>
      </c>
      <c r="C372">
        <v>371</v>
      </c>
      <c r="D372" s="10">
        <v>31981</v>
      </c>
      <c r="E372">
        <v>36</v>
      </c>
      <c r="F372">
        <v>1</v>
      </c>
      <c r="G372">
        <v>1</v>
      </c>
      <c r="H372">
        <v>4</v>
      </c>
      <c r="I372" s="10">
        <v>44928</v>
      </c>
      <c r="J372">
        <v>3</v>
      </c>
      <c r="K372">
        <v>0</v>
      </c>
      <c r="L372">
        <v>2</v>
      </c>
      <c r="M372">
        <v>3690</v>
      </c>
      <c r="N372">
        <v>2</v>
      </c>
      <c r="O372" s="10">
        <v>44641</v>
      </c>
      <c r="P372">
        <v>0</v>
      </c>
      <c r="Q372">
        <v>41</v>
      </c>
      <c r="R372">
        <v>2</v>
      </c>
      <c r="S372">
        <v>93</v>
      </c>
      <c r="T372">
        <v>160</v>
      </c>
      <c r="U372">
        <v>88</v>
      </c>
      <c r="V372">
        <v>-5</v>
      </c>
      <c r="W372">
        <v>1</v>
      </c>
      <c r="X372">
        <v>36.328124999999993</v>
      </c>
      <c r="Y372">
        <v>34.374999999999993</v>
      </c>
      <c r="Z372">
        <v>-1.953125</v>
      </c>
      <c r="AA372">
        <v>4</v>
      </c>
      <c r="AB372">
        <v>4</v>
      </c>
      <c r="AC372" t="s">
        <v>33</v>
      </c>
      <c r="AD372">
        <v>3</v>
      </c>
      <c r="AE372">
        <v>0</v>
      </c>
      <c r="AG372">
        <v>5</v>
      </c>
      <c r="AH372">
        <v>0</v>
      </c>
      <c r="AI372">
        <v>0</v>
      </c>
      <c r="AO372">
        <v>0</v>
      </c>
      <c r="AX372">
        <v>0</v>
      </c>
      <c r="BG372">
        <v>0</v>
      </c>
      <c r="BJ372" t="s">
        <v>51</v>
      </c>
      <c r="BK372">
        <v>1</v>
      </c>
      <c r="BL372">
        <v>3</v>
      </c>
      <c r="BM372">
        <v>1</v>
      </c>
      <c r="BN372" t="s">
        <v>37</v>
      </c>
      <c r="BO372">
        <v>4</v>
      </c>
      <c r="BP372">
        <v>110</v>
      </c>
      <c r="BQ372">
        <v>0.05</v>
      </c>
      <c r="BR372">
        <v>2</v>
      </c>
      <c r="BS372">
        <v>0.1</v>
      </c>
      <c r="BT372">
        <f>BS372+BD372+AU372+AM372</f>
        <v>0.1</v>
      </c>
      <c r="BU372">
        <v>1</v>
      </c>
      <c r="BV372">
        <v>0.5</v>
      </c>
      <c r="BW372">
        <v>73.25</v>
      </c>
      <c r="BX372">
        <f>BW372/7</f>
        <v>10.464285714285714</v>
      </c>
      <c r="BY372">
        <f>0.77*BX372</f>
        <v>8.0574999999999992</v>
      </c>
      <c r="BZ372">
        <f t="shared" si="5"/>
        <v>8.1574999999999989</v>
      </c>
    </row>
    <row r="373" spans="1:78">
      <c r="A373" s="1">
        <v>45208.472510335647</v>
      </c>
      <c r="C373">
        <v>372</v>
      </c>
      <c r="D373" s="10">
        <v>32505</v>
      </c>
      <c r="E373">
        <v>34</v>
      </c>
      <c r="F373">
        <v>1</v>
      </c>
      <c r="G373">
        <v>3</v>
      </c>
      <c r="H373">
        <v>4</v>
      </c>
      <c r="I373" s="10">
        <v>43643</v>
      </c>
      <c r="J373">
        <v>2</v>
      </c>
      <c r="K373">
        <v>0</v>
      </c>
      <c r="L373">
        <v>2</v>
      </c>
      <c r="M373">
        <v>3650</v>
      </c>
      <c r="N373">
        <v>2</v>
      </c>
      <c r="O373" s="10">
        <v>43384</v>
      </c>
      <c r="P373">
        <v>0</v>
      </c>
      <c r="Q373">
        <v>37</v>
      </c>
      <c r="R373">
        <v>2</v>
      </c>
      <c r="S373">
        <v>91</v>
      </c>
      <c r="T373">
        <v>165</v>
      </c>
      <c r="U373">
        <v>110</v>
      </c>
      <c r="V373">
        <v>19</v>
      </c>
      <c r="W373">
        <v>3</v>
      </c>
      <c r="X373">
        <v>33.425160697887975</v>
      </c>
      <c r="Y373">
        <v>40.404040404040408</v>
      </c>
      <c r="Z373">
        <v>6.9788797061524335</v>
      </c>
      <c r="AA373">
        <v>4</v>
      </c>
      <c r="AB373">
        <v>4</v>
      </c>
      <c r="AC373" t="s">
        <v>25</v>
      </c>
      <c r="AD373">
        <v>1</v>
      </c>
      <c r="AE373">
        <v>0</v>
      </c>
      <c r="AG373">
        <v>5</v>
      </c>
      <c r="AH373">
        <v>1</v>
      </c>
      <c r="AI373">
        <v>13</v>
      </c>
      <c r="AJ373">
        <v>1</v>
      </c>
      <c r="AK373">
        <v>7</v>
      </c>
      <c r="AL373">
        <v>1</v>
      </c>
      <c r="AM373">
        <f>AJ373*AK373*AL373/7</f>
        <v>1</v>
      </c>
      <c r="AN373" t="s">
        <v>79</v>
      </c>
      <c r="AO373">
        <v>0</v>
      </c>
      <c r="AV373">
        <f>AU373+AM373</f>
        <v>1</v>
      </c>
      <c r="AW373" t="s">
        <v>289</v>
      </c>
      <c r="AX373">
        <v>1</v>
      </c>
      <c r="AY373" t="s">
        <v>61</v>
      </c>
      <c r="AZ373">
        <v>2</v>
      </c>
      <c r="BA373">
        <v>0.27</v>
      </c>
      <c r="BB373">
        <v>7</v>
      </c>
      <c r="BC373">
        <v>1</v>
      </c>
      <c r="BD373">
        <f>BA373*BB373*1/7</f>
        <v>0.27</v>
      </c>
      <c r="BE373">
        <f>AM373+AU373+BD373</f>
        <v>1.27</v>
      </c>
      <c r="BF373" t="s">
        <v>289</v>
      </c>
      <c r="BG373">
        <v>1</v>
      </c>
      <c r="BH373">
        <v>7</v>
      </c>
      <c r="BI373">
        <v>1</v>
      </c>
      <c r="BJ373" t="s">
        <v>49</v>
      </c>
      <c r="BK373">
        <v>5</v>
      </c>
      <c r="BL373">
        <v>3</v>
      </c>
      <c r="BM373">
        <v>1</v>
      </c>
      <c r="BN373" t="s">
        <v>55</v>
      </c>
      <c r="BO373">
        <v>2</v>
      </c>
      <c r="BP373">
        <v>201</v>
      </c>
      <c r="BQ373">
        <v>0.1</v>
      </c>
      <c r="BR373">
        <v>3</v>
      </c>
      <c r="BS373">
        <v>0.30000000000000004</v>
      </c>
      <c r="BT373">
        <f>BS373+BD373+AU373+AM373</f>
        <v>1.57</v>
      </c>
      <c r="BU373">
        <v>1</v>
      </c>
      <c r="BV373">
        <v>2</v>
      </c>
      <c r="BW373">
        <v>293</v>
      </c>
      <c r="BX373">
        <f>BW373/7</f>
        <v>41.857142857142854</v>
      </c>
      <c r="BY373">
        <f>0.77*BX373</f>
        <v>32.229999999999997</v>
      </c>
      <c r="BZ373">
        <f t="shared" si="5"/>
        <v>33.799999999999997</v>
      </c>
    </row>
    <row r="374" spans="1:78">
      <c r="A374" s="1">
        <v>45208.524136921296</v>
      </c>
      <c r="C374">
        <v>373</v>
      </c>
      <c r="D374" s="10">
        <v>35072</v>
      </c>
      <c r="E374">
        <v>27</v>
      </c>
      <c r="F374">
        <v>1</v>
      </c>
      <c r="G374">
        <v>10</v>
      </c>
      <c r="H374">
        <v>4</v>
      </c>
      <c r="I374" s="10">
        <v>44927</v>
      </c>
      <c r="J374">
        <v>2</v>
      </c>
      <c r="K374">
        <v>0</v>
      </c>
      <c r="L374">
        <v>1</v>
      </c>
      <c r="M374">
        <v>3320</v>
      </c>
      <c r="N374">
        <v>2</v>
      </c>
      <c r="O374" s="10">
        <v>44661</v>
      </c>
      <c r="P374">
        <v>0</v>
      </c>
      <c r="Q374">
        <v>38</v>
      </c>
      <c r="R374">
        <v>2</v>
      </c>
      <c r="S374">
        <v>57</v>
      </c>
      <c r="T374">
        <v>165</v>
      </c>
      <c r="U374">
        <v>85</v>
      </c>
      <c r="V374">
        <v>28</v>
      </c>
      <c r="W374">
        <v>3</v>
      </c>
      <c r="X374">
        <v>20.936639118457304</v>
      </c>
      <c r="Y374">
        <v>31.221303948576679</v>
      </c>
      <c r="Z374">
        <v>10.284664830119375</v>
      </c>
      <c r="AA374">
        <v>2</v>
      </c>
      <c r="AB374">
        <v>4</v>
      </c>
      <c r="AC374" t="s">
        <v>33</v>
      </c>
      <c r="AD374">
        <v>3</v>
      </c>
      <c r="AE374">
        <v>0</v>
      </c>
      <c r="AG374">
        <v>5</v>
      </c>
      <c r="AH374">
        <v>1</v>
      </c>
      <c r="AI374">
        <v>13</v>
      </c>
      <c r="AJ374">
        <v>1</v>
      </c>
      <c r="AK374">
        <v>7</v>
      </c>
      <c r="AL374">
        <v>1</v>
      </c>
      <c r="AM374">
        <f>AJ374*AK374*AL374/7</f>
        <v>1</v>
      </c>
      <c r="AN374" t="s">
        <v>79</v>
      </c>
      <c r="AO374">
        <v>0</v>
      </c>
      <c r="AV374">
        <f>AU374+AM374</f>
        <v>1</v>
      </c>
      <c r="AW374" t="s">
        <v>290</v>
      </c>
      <c r="AX374">
        <v>0</v>
      </c>
      <c r="BE374">
        <f>AM374+AU374+BD374</f>
        <v>1</v>
      </c>
      <c r="BF374" t="s">
        <v>290</v>
      </c>
      <c r="BG374">
        <v>1</v>
      </c>
      <c r="BH374">
        <v>7</v>
      </c>
      <c r="BI374">
        <v>1</v>
      </c>
      <c r="BJ374" t="s">
        <v>49</v>
      </c>
      <c r="BK374">
        <v>5</v>
      </c>
      <c r="BL374">
        <v>3</v>
      </c>
      <c r="BM374">
        <v>1</v>
      </c>
      <c r="BN374" t="s">
        <v>30</v>
      </c>
      <c r="BO374">
        <v>1</v>
      </c>
      <c r="BP374">
        <v>84</v>
      </c>
      <c r="BQ374">
        <v>0.13</v>
      </c>
      <c r="BR374">
        <v>1</v>
      </c>
      <c r="BS374">
        <v>0.13</v>
      </c>
      <c r="BT374">
        <f>BS374+BD374+AU374+AM374</f>
        <v>1.1299999999999999</v>
      </c>
      <c r="BU374">
        <v>1</v>
      </c>
      <c r="BV374">
        <v>3</v>
      </c>
      <c r="BW374">
        <v>439.5</v>
      </c>
      <c r="BX374">
        <f>BW374/7</f>
        <v>62.785714285714285</v>
      </c>
      <c r="BY374">
        <f>0.77*BX374</f>
        <v>48.344999999999999</v>
      </c>
      <c r="BZ374">
        <f t="shared" si="5"/>
        <v>49.475000000000001</v>
      </c>
    </row>
    <row r="375" spans="1:78">
      <c r="A375" s="1">
        <v>45208.524230034724</v>
      </c>
      <c r="C375">
        <v>374</v>
      </c>
      <c r="D375" s="10">
        <v>30913</v>
      </c>
      <c r="E375">
        <v>39</v>
      </c>
      <c r="F375">
        <v>1</v>
      </c>
      <c r="G375">
        <v>1</v>
      </c>
      <c r="H375">
        <v>4</v>
      </c>
      <c r="I375" s="10">
        <v>43768</v>
      </c>
      <c r="J375">
        <v>1</v>
      </c>
      <c r="K375">
        <v>1</v>
      </c>
      <c r="L375">
        <v>1</v>
      </c>
      <c r="M375">
        <v>4110</v>
      </c>
      <c r="N375">
        <v>3</v>
      </c>
      <c r="O375" s="10">
        <v>43502</v>
      </c>
      <c r="P375">
        <v>0</v>
      </c>
      <c r="Q375">
        <v>38</v>
      </c>
      <c r="R375">
        <v>2</v>
      </c>
      <c r="S375">
        <v>65</v>
      </c>
      <c r="T375">
        <v>169</v>
      </c>
      <c r="U375">
        <v>75</v>
      </c>
      <c r="V375">
        <v>10</v>
      </c>
      <c r="W375">
        <v>1</v>
      </c>
      <c r="X375">
        <v>22.758306781975424</v>
      </c>
      <c r="Y375">
        <v>26.259584748433181</v>
      </c>
      <c r="Z375">
        <v>3.5012779664577565</v>
      </c>
      <c r="AA375">
        <v>2</v>
      </c>
      <c r="AB375">
        <v>3</v>
      </c>
      <c r="AC375" t="s">
        <v>33</v>
      </c>
      <c r="AD375">
        <v>3</v>
      </c>
      <c r="AE375">
        <v>0</v>
      </c>
      <c r="AG375">
        <v>5</v>
      </c>
      <c r="AH375">
        <v>0</v>
      </c>
      <c r="AI375">
        <v>0</v>
      </c>
      <c r="AN375" t="s">
        <v>121</v>
      </c>
      <c r="AO375">
        <v>0</v>
      </c>
      <c r="AX375">
        <v>0</v>
      </c>
      <c r="BG375">
        <v>0</v>
      </c>
      <c r="BJ375" t="s">
        <v>51</v>
      </c>
      <c r="BK375">
        <v>1</v>
      </c>
      <c r="BL375">
        <v>3</v>
      </c>
      <c r="BM375">
        <v>1</v>
      </c>
      <c r="BN375" t="s">
        <v>30</v>
      </c>
      <c r="BO375">
        <v>1</v>
      </c>
      <c r="BP375">
        <v>252</v>
      </c>
      <c r="BQ375">
        <v>0.13</v>
      </c>
      <c r="BR375">
        <v>3</v>
      </c>
      <c r="BS375">
        <v>0.39</v>
      </c>
      <c r="BT375">
        <f>BS375+BD375+AU375+AM375</f>
        <v>0.39</v>
      </c>
      <c r="BU375">
        <v>1</v>
      </c>
      <c r="BV375">
        <v>3</v>
      </c>
      <c r="BW375">
        <v>439.5</v>
      </c>
      <c r="BX375">
        <f>BW375/7</f>
        <v>62.785714285714285</v>
      </c>
      <c r="BY375">
        <f>0.77*BX375</f>
        <v>48.344999999999999</v>
      </c>
      <c r="BZ375">
        <f t="shared" si="5"/>
        <v>48.734999999999999</v>
      </c>
    </row>
    <row r="376" spans="1:78">
      <c r="A376" s="1">
        <v>45208.540305636576</v>
      </c>
      <c r="C376">
        <v>375</v>
      </c>
      <c r="D376" s="10">
        <v>34656</v>
      </c>
      <c r="E376">
        <v>28</v>
      </c>
      <c r="F376">
        <v>1</v>
      </c>
      <c r="G376">
        <v>10</v>
      </c>
      <c r="H376">
        <v>4</v>
      </c>
      <c r="I376" s="10">
        <v>45130</v>
      </c>
      <c r="J376">
        <v>1</v>
      </c>
      <c r="K376">
        <v>1</v>
      </c>
      <c r="L376">
        <v>2</v>
      </c>
      <c r="M376">
        <v>3305</v>
      </c>
      <c r="N376">
        <v>2</v>
      </c>
      <c r="O376" s="10">
        <v>44852</v>
      </c>
      <c r="P376">
        <v>0</v>
      </c>
      <c r="Q376">
        <v>39.714285714285715</v>
      </c>
      <c r="R376">
        <v>2</v>
      </c>
      <c r="S376">
        <v>66.099999999999994</v>
      </c>
      <c r="T376">
        <v>156.5</v>
      </c>
      <c r="U376">
        <v>79</v>
      </c>
      <c r="V376">
        <v>12.900000000000006</v>
      </c>
      <c r="W376">
        <v>3</v>
      </c>
      <c r="X376">
        <v>26.988128897916688</v>
      </c>
      <c r="Y376">
        <v>32.255101103410269</v>
      </c>
      <c r="Z376">
        <v>5.2669722054935804</v>
      </c>
      <c r="AA376">
        <v>3</v>
      </c>
      <c r="AB376">
        <v>4</v>
      </c>
      <c r="AC376" t="s">
        <v>33</v>
      </c>
      <c r="AD376">
        <v>3</v>
      </c>
      <c r="AE376">
        <v>0</v>
      </c>
      <c r="AG376">
        <v>5</v>
      </c>
      <c r="AH376">
        <v>1</v>
      </c>
      <c r="AI376">
        <v>1</v>
      </c>
      <c r="AJ376">
        <v>1</v>
      </c>
      <c r="AK376">
        <v>7</v>
      </c>
      <c r="AL376">
        <v>1</v>
      </c>
      <c r="AM376">
        <f>AJ376*AK376*AL376/7</f>
        <v>1</v>
      </c>
      <c r="AN376" t="s">
        <v>56</v>
      </c>
      <c r="AO376">
        <v>0</v>
      </c>
      <c r="AV376">
        <f>AU376+AM376</f>
        <v>1</v>
      </c>
      <c r="AW376" t="s">
        <v>58</v>
      </c>
      <c r="AX376">
        <v>1</v>
      </c>
      <c r="AY376" t="s">
        <v>58</v>
      </c>
      <c r="AZ376">
        <v>1</v>
      </c>
      <c r="BA376">
        <v>0.8</v>
      </c>
      <c r="BB376">
        <v>7</v>
      </c>
      <c r="BC376">
        <v>1</v>
      </c>
      <c r="BD376">
        <f>BA376*BB376*1/7</f>
        <v>0.8</v>
      </c>
      <c r="BE376">
        <f>AM376+AU376+BD376</f>
        <v>1.8</v>
      </c>
      <c r="BF376" t="s">
        <v>58</v>
      </c>
      <c r="BG376">
        <v>0</v>
      </c>
      <c r="BH376">
        <v>7</v>
      </c>
      <c r="BI376">
        <v>1</v>
      </c>
      <c r="BJ376" t="s">
        <v>28</v>
      </c>
      <c r="BK376">
        <v>3</v>
      </c>
      <c r="BL376">
        <v>1</v>
      </c>
      <c r="BM376">
        <v>1</v>
      </c>
      <c r="BN376" t="s">
        <v>30</v>
      </c>
      <c r="BO376">
        <v>1</v>
      </c>
      <c r="BP376">
        <v>84</v>
      </c>
      <c r="BQ376">
        <v>0.13</v>
      </c>
      <c r="BR376">
        <v>1</v>
      </c>
      <c r="BS376">
        <v>0.13</v>
      </c>
      <c r="BT376">
        <f>BS376+BD376+AU376+AM376</f>
        <v>1.9300000000000002</v>
      </c>
      <c r="BU376">
        <v>1</v>
      </c>
      <c r="BV376">
        <v>2</v>
      </c>
      <c r="BW376">
        <v>293</v>
      </c>
      <c r="BX376">
        <f>BW376/7</f>
        <v>41.857142857142854</v>
      </c>
      <c r="BY376">
        <f>0.77*BX376</f>
        <v>32.229999999999997</v>
      </c>
      <c r="BZ376">
        <f t="shared" si="5"/>
        <v>34.159999999999997</v>
      </c>
    </row>
    <row r="377" spans="1:78">
      <c r="A377" s="1">
        <v>45208.573650092592</v>
      </c>
      <c r="B377" t="s">
        <v>865</v>
      </c>
      <c r="C377">
        <v>376</v>
      </c>
      <c r="D377" s="10">
        <v>30203</v>
      </c>
      <c r="E377">
        <v>41</v>
      </c>
      <c r="F377">
        <v>1</v>
      </c>
      <c r="G377">
        <v>1</v>
      </c>
      <c r="H377">
        <v>4</v>
      </c>
      <c r="I377" s="10">
        <v>44743</v>
      </c>
      <c r="J377">
        <v>5</v>
      </c>
      <c r="K377">
        <v>0</v>
      </c>
      <c r="L377">
        <v>2</v>
      </c>
      <c r="M377">
        <v>3555</v>
      </c>
      <c r="N377">
        <v>2</v>
      </c>
      <c r="O377" s="10">
        <v>44470</v>
      </c>
      <c r="P377">
        <v>1</v>
      </c>
      <c r="Q377">
        <v>39</v>
      </c>
      <c r="R377">
        <v>2</v>
      </c>
      <c r="S377">
        <v>70</v>
      </c>
      <c r="T377">
        <v>160</v>
      </c>
      <c r="U377">
        <v>85.2</v>
      </c>
      <c r="V377">
        <v>15.200000000000003</v>
      </c>
      <c r="W377">
        <v>3</v>
      </c>
      <c r="X377">
        <v>27.343749999999996</v>
      </c>
      <c r="Y377">
        <v>33.281249999999993</v>
      </c>
      <c r="Z377">
        <v>5.9374999999999964</v>
      </c>
      <c r="AA377">
        <v>3</v>
      </c>
      <c r="AB377">
        <v>4</v>
      </c>
      <c r="AC377" t="s">
        <v>33</v>
      </c>
      <c r="AD377">
        <v>3</v>
      </c>
      <c r="AE377">
        <v>0</v>
      </c>
      <c r="AG377">
        <v>5</v>
      </c>
      <c r="AH377">
        <v>1</v>
      </c>
      <c r="AI377">
        <v>4</v>
      </c>
      <c r="AJ377">
        <v>1</v>
      </c>
      <c r="AK377">
        <v>7</v>
      </c>
      <c r="AL377">
        <v>1</v>
      </c>
      <c r="AM377">
        <f>AJ377*AK377*AL377/7</f>
        <v>1</v>
      </c>
      <c r="AN377" t="s">
        <v>43</v>
      </c>
      <c r="AO377">
        <v>0</v>
      </c>
      <c r="AV377">
        <f>AU377+AM377</f>
        <v>1</v>
      </c>
      <c r="AW377" t="s">
        <v>95</v>
      </c>
      <c r="AX377">
        <v>1</v>
      </c>
      <c r="AY377" t="s">
        <v>878</v>
      </c>
      <c r="AZ377">
        <v>16</v>
      </c>
      <c r="BA377" t="s">
        <v>258</v>
      </c>
      <c r="BB377">
        <v>7</v>
      </c>
      <c r="BC377">
        <v>1</v>
      </c>
      <c r="BE377">
        <f>AM377+AU377+BD377</f>
        <v>1</v>
      </c>
      <c r="BF377" t="s">
        <v>878</v>
      </c>
      <c r="BG377" t="s">
        <v>258</v>
      </c>
      <c r="BH377">
        <v>7</v>
      </c>
      <c r="BI377">
        <v>1</v>
      </c>
      <c r="BJ377" t="s">
        <v>49</v>
      </c>
      <c r="BK377">
        <v>5</v>
      </c>
      <c r="BL377">
        <v>1</v>
      </c>
      <c r="BM377">
        <v>1</v>
      </c>
      <c r="BN377" t="s">
        <v>30</v>
      </c>
      <c r="BO377">
        <v>1</v>
      </c>
      <c r="BP377">
        <v>84</v>
      </c>
      <c r="BQ377">
        <v>0.13</v>
      </c>
      <c r="BR377">
        <v>1</v>
      </c>
      <c r="BS377">
        <v>0.13</v>
      </c>
      <c r="BT377">
        <f>BS377+BD377+AU377+AM377</f>
        <v>1.1299999999999999</v>
      </c>
      <c r="BU377">
        <v>1</v>
      </c>
      <c r="BV377">
        <v>3</v>
      </c>
      <c r="BW377">
        <v>439.5</v>
      </c>
      <c r="BX377">
        <f>BW377/7</f>
        <v>62.785714285714285</v>
      </c>
      <c r="BY377">
        <f>0.77*BX377</f>
        <v>48.344999999999999</v>
      </c>
      <c r="BZ377">
        <f t="shared" si="5"/>
        <v>49.475000000000001</v>
      </c>
    </row>
    <row r="378" spans="1:78">
      <c r="A378" s="1">
        <v>45208.590702291665</v>
      </c>
      <c r="C378">
        <v>377</v>
      </c>
      <c r="D378" s="10">
        <v>33538</v>
      </c>
      <c r="E378">
        <v>32</v>
      </c>
      <c r="F378">
        <v>1</v>
      </c>
      <c r="G378">
        <v>11</v>
      </c>
      <c r="H378">
        <v>4</v>
      </c>
      <c r="I378" s="10">
        <v>44341</v>
      </c>
      <c r="J378">
        <v>1</v>
      </c>
      <c r="K378">
        <v>1</v>
      </c>
      <c r="L378">
        <v>1</v>
      </c>
      <c r="M378">
        <v>3750</v>
      </c>
      <c r="N378">
        <v>2</v>
      </c>
      <c r="O378" s="10">
        <v>44068</v>
      </c>
      <c r="P378">
        <v>1</v>
      </c>
      <c r="Q378">
        <v>39</v>
      </c>
      <c r="R378">
        <v>2</v>
      </c>
      <c r="S378">
        <v>54</v>
      </c>
      <c r="T378">
        <v>154</v>
      </c>
      <c r="U378">
        <v>62</v>
      </c>
      <c r="V378">
        <v>8</v>
      </c>
      <c r="W378">
        <v>1</v>
      </c>
      <c r="X378">
        <v>22.769438353853939</v>
      </c>
      <c r="Y378">
        <v>26.14268848035082</v>
      </c>
      <c r="Z378">
        <v>3.3732501264968811</v>
      </c>
      <c r="AA378">
        <v>2</v>
      </c>
      <c r="AB378">
        <v>3</v>
      </c>
      <c r="AC378" t="s">
        <v>33</v>
      </c>
      <c r="AD378">
        <v>3</v>
      </c>
      <c r="AE378">
        <v>0</v>
      </c>
      <c r="AG378">
        <v>5</v>
      </c>
      <c r="AH378">
        <v>1</v>
      </c>
      <c r="AI378">
        <v>4</v>
      </c>
      <c r="AJ378">
        <v>1</v>
      </c>
      <c r="AK378">
        <v>6</v>
      </c>
      <c r="AL378">
        <v>1</v>
      </c>
      <c r="AM378">
        <f>AJ378*AK378*AL378/7</f>
        <v>0.8571428571428571</v>
      </c>
      <c r="AN378" t="s">
        <v>43</v>
      </c>
      <c r="AO378">
        <v>0</v>
      </c>
      <c r="AV378">
        <f>AU378+AM378</f>
        <v>0.8571428571428571</v>
      </c>
      <c r="AW378" t="s">
        <v>292</v>
      </c>
      <c r="AX378">
        <v>1</v>
      </c>
      <c r="AY378" t="s">
        <v>292</v>
      </c>
      <c r="AZ378">
        <v>15</v>
      </c>
      <c r="BA378">
        <v>0.5</v>
      </c>
      <c r="BB378">
        <v>4</v>
      </c>
      <c r="BC378">
        <v>1</v>
      </c>
      <c r="BD378">
        <f>BA378*BB378*1/7</f>
        <v>0.2857142857142857</v>
      </c>
      <c r="BE378">
        <f>AM378+AU378+BD378</f>
        <v>1.1428571428571428</v>
      </c>
      <c r="BF378" t="s">
        <v>292</v>
      </c>
      <c r="BG378">
        <v>0</v>
      </c>
      <c r="BH378">
        <v>4</v>
      </c>
      <c r="BI378">
        <v>1</v>
      </c>
      <c r="BJ378" t="s">
        <v>228</v>
      </c>
      <c r="BK378">
        <v>4</v>
      </c>
      <c r="BL378">
        <v>3</v>
      </c>
      <c r="BM378">
        <v>1</v>
      </c>
      <c r="BN378" t="s">
        <v>55</v>
      </c>
      <c r="BO378">
        <v>2</v>
      </c>
      <c r="BP378">
        <v>201</v>
      </c>
      <c r="BQ378">
        <v>0.1</v>
      </c>
      <c r="BR378">
        <v>3</v>
      </c>
      <c r="BS378">
        <v>0.30000000000000004</v>
      </c>
      <c r="BT378">
        <f>BS378+BD378+AU378+AM378</f>
        <v>1.4428571428571428</v>
      </c>
      <c r="BU378">
        <v>1</v>
      </c>
      <c r="BV378">
        <v>2</v>
      </c>
      <c r="BW378">
        <v>293</v>
      </c>
      <c r="BX378">
        <f>BW378/7</f>
        <v>41.857142857142854</v>
      </c>
      <c r="BY378">
        <f>0.77*BX378</f>
        <v>32.229999999999997</v>
      </c>
      <c r="BZ378">
        <f t="shared" si="5"/>
        <v>33.67285714285714</v>
      </c>
    </row>
    <row r="379" spans="1:78">
      <c r="A379" s="1">
        <v>45208.590739155094</v>
      </c>
      <c r="C379">
        <v>378</v>
      </c>
      <c r="D379" s="10">
        <v>33358</v>
      </c>
      <c r="E379">
        <v>32</v>
      </c>
      <c r="F379">
        <v>1</v>
      </c>
      <c r="G379">
        <v>8</v>
      </c>
      <c r="H379">
        <v>4</v>
      </c>
      <c r="I379" s="10">
        <v>45145</v>
      </c>
      <c r="J379">
        <v>1</v>
      </c>
      <c r="K379">
        <v>1</v>
      </c>
      <c r="L379">
        <v>1</v>
      </c>
      <c r="M379">
        <v>3620</v>
      </c>
      <c r="N379">
        <v>2</v>
      </c>
      <c r="O379" s="10">
        <v>44865</v>
      </c>
      <c r="P379">
        <v>0</v>
      </c>
      <c r="Q379">
        <v>40</v>
      </c>
      <c r="R379">
        <v>2</v>
      </c>
      <c r="S379">
        <v>56</v>
      </c>
      <c r="T379">
        <v>162</v>
      </c>
      <c r="U379">
        <v>66.599999999999994</v>
      </c>
      <c r="V379">
        <v>10.599999999999994</v>
      </c>
      <c r="W379">
        <v>1</v>
      </c>
      <c r="X379">
        <v>21.338210638622158</v>
      </c>
      <c r="Y379">
        <v>25.377229080932779</v>
      </c>
      <c r="Z379">
        <v>4.0390184423106206</v>
      </c>
      <c r="AA379">
        <v>2</v>
      </c>
      <c r="AB379">
        <v>3</v>
      </c>
      <c r="AC379" t="s">
        <v>44</v>
      </c>
      <c r="AD379">
        <v>1</v>
      </c>
      <c r="AE379">
        <v>0</v>
      </c>
      <c r="AG379">
        <v>5</v>
      </c>
      <c r="AH379">
        <v>1</v>
      </c>
      <c r="AI379">
        <v>2</v>
      </c>
      <c r="AJ379">
        <v>5</v>
      </c>
      <c r="AK379">
        <v>7</v>
      </c>
      <c r="AL379">
        <v>1</v>
      </c>
      <c r="AM379">
        <f>AJ379*AK379*AL379/7</f>
        <v>5</v>
      </c>
      <c r="AN379" t="s">
        <v>57</v>
      </c>
      <c r="AO379">
        <v>0</v>
      </c>
      <c r="AV379">
        <f>AU379+AM379</f>
        <v>5</v>
      </c>
      <c r="AW379" t="s">
        <v>294</v>
      </c>
      <c r="AX379">
        <v>1</v>
      </c>
      <c r="AY379" t="s">
        <v>294</v>
      </c>
      <c r="AZ379">
        <v>5</v>
      </c>
      <c r="BA379">
        <v>0.4</v>
      </c>
      <c r="BB379">
        <v>7</v>
      </c>
      <c r="BC379">
        <v>1</v>
      </c>
      <c r="BD379">
        <f>BA379*BB379*1/7</f>
        <v>0.4</v>
      </c>
      <c r="BE379">
        <f>AM379+AU379+BD379</f>
        <v>5.4</v>
      </c>
      <c r="BF379" t="s">
        <v>294</v>
      </c>
      <c r="BG379">
        <v>0</v>
      </c>
      <c r="BH379">
        <v>7</v>
      </c>
      <c r="BI379">
        <v>1</v>
      </c>
      <c r="BJ379" t="s">
        <v>42</v>
      </c>
      <c r="BK379">
        <v>6</v>
      </c>
      <c r="BL379">
        <v>1</v>
      </c>
      <c r="BM379">
        <v>1</v>
      </c>
      <c r="BN379" t="s">
        <v>37</v>
      </c>
      <c r="BO379">
        <v>4</v>
      </c>
      <c r="BP379">
        <v>110</v>
      </c>
      <c r="BQ379">
        <v>0.05</v>
      </c>
      <c r="BR379">
        <v>2</v>
      </c>
      <c r="BS379">
        <v>0.1</v>
      </c>
      <c r="BT379">
        <f>BS379+BD379+AU379+AM379</f>
        <v>5.5</v>
      </c>
      <c r="BU379">
        <v>1</v>
      </c>
      <c r="BV379">
        <v>0.5</v>
      </c>
      <c r="BW379">
        <v>73.25</v>
      </c>
      <c r="BX379">
        <f>BW379/7</f>
        <v>10.464285714285714</v>
      </c>
      <c r="BY379">
        <f>0.77*BX379</f>
        <v>8.0574999999999992</v>
      </c>
      <c r="BZ379">
        <f t="shared" si="5"/>
        <v>13.557499999999999</v>
      </c>
    </row>
    <row r="380" spans="1:78">
      <c r="A380" s="1">
        <v>45208.601662835645</v>
      </c>
      <c r="C380">
        <v>379</v>
      </c>
      <c r="D380" s="10">
        <v>35471</v>
      </c>
      <c r="E380">
        <v>26</v>
      </c>
      <c r="F380">
        <v>1</v>
      </c>
      <c r="G380">
        <v>8</v>
      </c>
      <c r="H380">
        <v>4</v>
      </c>
      <c r="I380" s="10">
        <v>45161</v>
      </c>
      <c r="J380">
        <v>3</v>
      </c>
      <c r="K380">
        <v>0</v>
      </c>
      <c r="L380">
        <v>1</v>
      </c>
      <c r="M380">
        <v>3010</v>
      </c>
      <c r="N380">
        <v>2</v>
      </c>
      <c r="O380" s="10">
        <v>44888</v>
      </c>
      <c r="P380">
        <v>0</v>
      </c>
      <c r="Q380">
        <v>39</v>
      </c>
      <c r="R380">
        <v>2</v>
      </c>
      <c r="S380">
        <v>48</v>
      </c>
      <c r="T380">
        <v>151</v>
      </c>
      <c r="U380">
        <v>56</v>
      </c>
      <c r="V380">
        <v>8</v>
      </c>
      <c r="W380">
        <v>1</v>
      </c>
      <c r="X380">
        <v>21.051708258409718</v>
      </c>
      <c r="Y380">
        <v>24.560326301478007</v>
      </c>
      <c r="Z380">
        <v>3.5086180430682887</v>
      </c>
      <c r="AA380">
        <v>2</v>
      </c>
      <c r="AB380">
        <v>2</v>
      </c>
      <c r="AC380" t="s">
        <v>33</v>
      </c>
      <c r="AD380">
        <v>3</v>
      </c>
      <c r="AE380">
        <v>0</v>
      </c>
      <c r="AG380">
        <v>5</v>
      </c>
      <c r="AH380">
        <v>1</v>
      </c>
      <c r="AI380">
        <v>11</v>
      </c>
      <c r="AJ380">
        <v>5</v>
      </c>
      <c r="AK380">
        <v>7</v>
      </c>
      <c r="AL380">
        <v>1</v>
      </c>
      <c r="AM380">
        <f>AJ380*AK380*AL380/7</f>
        <v>5</v>
      </c>
      <c r="AN380" t="s">
        <v>81</v>
      </c>
      <c r="AO380">
        <v>0</v>
      </c>
      <c r="AV380">
        <f>AU380+AM380</f>
        <v>5</v>
      </c>
      <c r="AW380" t="s">
        <v>35</v>
      </c>
      <c r="AX380">
        <v>1</v>
      </c>
      <c r="AY380" t="s">
        <v>35</v>
      </c>
      <c r="AZ380">
        <v>12</v>
      </c>
      <c r="BA380">
        <v>0.4</v>
      </c>
      <c r="BB380">
        <v>7</v>
      </c>
      <c r="BC380">
        <v>1</v>
      </c>
      <c r="BD380">
        <f>BA380*BB380*1/7</f>
        <v>0.4</v>
      </c>
      <c r="BE380">
        <f>AM380+AU380+BD380</f>
        <v>5.4</v>
      </c>
      <c r="BF380" t="s">
        <v>35</v>
      </c>
      <c r="BG380">
        <v>0</v>
      </c>
      <c r="BH380">
        <v>7</v>
      </c>
      <c r="BI380">
        <v>1</v>
      </c>
      <c r="BJ380" t="s">
        <v>49</v>
      </c>
      <c r="BK380">
        <v>5</v>
      </c>
      <c r="BL380">
        <v>3</v>
      </c>
      <c r="BM380">
        <v>1</v>
      </c>
      <c r="BN380" t="s">
        <v>37</v>
      </c>
      <c r="BO380">
        <v>4</v>
      </c>
      <c r="BP380">
        <v>110</v>
      </c>
      <c r="BQ380">
        <v>0.05</v>
      </c>
      <c r="BR380">
        <v>2</v>
      </c>
      <c r="BS380">
        <v>0.1</v>
      </c>
      <c r="BT380">
        <f>BS380+BD380+AU380+AM380</f>
        <v>5.5</v>
      </c>
      <c r="BU380">
        <v>1</v>
      </c>
      <c r="BV380">
        <v>3</v>
      </c>
      <c r="BW380">
        <v>439.5</v>
      </c>
      <c r="BX380">
        <f>BW380/7</f>
        <v>62.785714285714285</v>
      </c>
      <c r="BY380">
        <f>0.77*BX380</f>
        <v>48.344999999999999</v>
      </c>
      <c r="BZ380">
        <f t="shared" si="5"/>
        <v>53.844999999999999</v>
      </c>
    </row>
    <row r="381" spans="1:78">
      <c r="A381" s="1">
        <v>45208.622864340279</v>
      </c>
      <c r="C381">
        <v>380</v>
      </c>
      <c r="D381" s="10">
        <v>33165</v>
      </c>
      <c r="E381">
        <v>32</v>
      </c>
      <c r="F381">
        <v>1</v>
      </c>
      <c r="G381">
        <v>1</v>
      </c>
      <c r="H381">
        <v>5</v>
      </c>
      <c r="I381" s="10">
        <v>45000</v>
      </c>
      <c r="J381">
        <v>1</v>
      </c>
      <c r="K381">
        <v>1</v>
      </c>
      <c r="L381">
        <v>2</v>
      </c>
      <c r="M381">
        <v>2800</v>
      </c>
      <c r="N381">
        <v>2</v>
      </c>
      <c r="O381" s="10">
        <v>44735</v>
      </c>
      <c r="P381">
        <v>0</v>
      </c>
      <c r="Q381">
        <v>37.857142857142854</v>
      </c>
      <c r="R381">
        <v>2</v>
      </c>
      <c r="S381">
        <v>60</v>
      </c>
      <c r="T381">
        <v>157</v>
      </c>
      <c r="U381">
        <v>86</v>
      </c>
      <c r="V381">
        <v>26</v>
      </c>
      <c r="W381">
        <v>3</v>
      </c>
      <c r="X381">
        <v>24.341758286340216</v>
      </c>
      <c r="Y381">
        <v>34.889853543754306</v>
      </c>
      <c r="Z381">
        <v>10.54809525741409</v>
      </c>
      <c r="AA381">
        <v>2</v>
      </c>
      <c r="AB381">
        <v>4</v>
      </c>
      <c r="AC381" t="s">
        <v>295</v>
      </c>
      <c r="AD381">
        <v>2</v>
      </c>
      <c r="AE381">
        <v>0</v>
      </c>
      <c r="AG381">
        <v>5</v>
      </c>
      <c r="AH381">
        <v>1</v>
      </c>
      <c r="AI381">
        <v>4</v>
      </c>
      <c r="AJ381">
        <v>1</v>
      </c>
      <c r="AK381">
        <v>7</v>
      </c>
      <c r="AL381">
        <v>1</v>
      </c>
      <c r="AM381">
        <f>AJ381*AK381*AL381/7</f>
        <v>1</v>
      </c>
      <c r="AN381" t="s">
        <v>43</v>
      </c>
      <c r="AO381">
        <v>0</v>
      </c>
      <c r="AV381">
        <f>AU381+AM381</f>
        <v>1</v>
      </c>
      <c r="AX381">
        <v>0</v>
      </c>
      <c r="BE381">
        <f>AM381+AU381+BD381</f>
        <v>1</v>
      </c>
      <c r="BG381">
        <v>0</v>
      </c>
      <c r="BJ381" t="s">
        <v>28</v>
      </c>
      <c r="BK381">
        <v>3</v>
      </c>
      <c r="BL381">
        <v>3</v>
      </c>
      <c r="BM381">
        <v>1</v>
      </c>
      <c r="BN381" t="s">
        <v>30</v>
      </c>
      <c r="BO381">
        <v>1</v>
      </c>
      <c r="BP381">
        <v>252</v>
      </c>
      <c r="BQ381">
        <v>0.13</v>
      </c>
      <c r="BR381">
        <v>3</v>
      </c>
      <c r="BS381">
        <v>0.39</v>
      </c>
      <c r="BT381">
        <f>BS381+BD381+AU381+AM381</f>
        <v>1.3900000000000001</v>
      </c>
      <c r="BU381">
        <v>1</v>
      </c>
      <c r="BV381">
        <v>2</v>
      </c>
      <c r="BW381">
        <v>293</v>
      </c>
      <c r="BX381">
        <f>BW381/7</f>
        <v>41.857142857142854</v>
      </c>
      <c r="BY381">
        <f>0.77*BX381</f>
        <v>32.229999999999997</v>
      </c>
      <c r="BZ381">
        <f t="shared" si="5"/>
        <v>33.619999999999997</v>
      </c>
    </row>
    <row r="382" spans="1:78">
      <c r="A382" s="1">
        <v>45208.624599710645</v>
      </c>
      <c r="C382">
        <v>381</v>
      </c>
      <c r="D382" s="10">
        <v>30791</v>
      </c>
      <c r="E382">
        <v>39</v>
      </c>
      <c r="F382">
        <v>1</v>
      </c>
      <c r="G382">
        <v>2</v>
      </c>
      <c r="H382">
        <v>4</v>
      </c>
      <c r="I382" s="10">
        <v>43612</v>
      </c>
      <c r="J382">
        <v>2</v>
      </c>
      <c r="K382">
        <v>0</v>
      </c>
      <c r="L382">
        <v>1</v>
      </c>
      <c r="M382">
        <v>3450</v>
      </c>
      <c r="N382">
        <v>2</v>
      </c>
      <c r="O382" s="10">
        <v>43339</v>
      </c>
      <c r="P382">
        <v>0</v>
      </c>
      <c r="Q382">
        <v>39</v>
      </c>
      <c r="R382">
        <v>2</v>
      </c>
      <c r="S382">
        <v>71</v>
      </c>
      <c r="T382">
        <v>169</v>
      </c>
      <c r="U382">
        <v>81</v>
      </c>
      <c r="V382">
        <v>10</v>
      </c>
      <c r="W382">
        <v>1</v>
      </c>
      <c r="X382">
        <v>24.859073561850078</v>
      </c>
      <c r="Y382">
        <v>28.360351528307834</v>
      </c>
      <c r="Z382">
        <v>3.5012779664577565</v>
      </c>
      <c r="AA382">
        <v>2</v>
      </c>
      <c r="AB382">
        <v>3</v>
      </c>
      <c r="AC382" t="s">
        <v>33</v>
      </c>
      <c r="AD382">
        <v>3</v>
      </c>
      <c r="AE382">
        <v>0</v>
      </c>
      <c r="AG382">
        <v>5</v>
      </c>
      <c r="AH382">
        <v>1</v>
      </c>
      <c r="AI382">
        <v>2</v>
      </c>
      <c r="AJ382">
        <v>5</v>
      </c>
      <c r="AK382">
        <v>7</v>
      </c>
      <c r="AL382">
        <v>1</v>
      </c>
      <c r="AM382">
        <f>AJ382*AK382*AL382/7</f>
        <v>5</v>
      </c>
      <c r="AN382" t="s">
        <v>57</v>
      </c>
      <c r="AO382">
        <v>0</v>
      </c>
      <c r="AV382">
        <f>AU382+AM382</f>
        <v>5</v>
      </c>
      <c r="AW382" t="s">
        <v>97</v>
      </c>
      <c r="AX382">
        <v>1</v>
      </c>
      <c r="AY382" t="s">
        <v>97</v>
      </c>
      <c r="AZ382">
        <v>11</v>
      </c>
      <c r="BA382">
        <v>0.2</v>
      </c>
      <c r="BB382">
        <v>7</v>
      </c>
      <c r="BC382">
        <v>1</v>
      </c>
      <c r="BD382">
        <f>BA382*BB382*1/7</f>
        <v>0.2</v>
      </c>
      <c r="BE382">
        <f>AM382+AU382+BD382</f>
        <v>5.2</v>
      </c>
      <c r="BF382" t="s">
        <v>97</v>
      </c>
      <c r="BG382">
        <v>0</v>
      </c>
      <c r="BH382">
        <v>7</v>
      </c>
      <c r="BI382">
        <v>1</v>
      </c>
      <c r="BJ382" t="s">
        <v>49</v>
      </c>
      <c r="BK382">
        <v>5</v>
      </c>
      <c r="BL382">
        <v>1</v>
      </c>
      <c r="BM382">
        <v>1</v>
      </c>
      <c r="BN382" t="s">
        <v>55</v>
      </c>
      <c r="BO382">
        <v>2</v>
      </c>
      <c r="BP382">
        <v>201</v>
      </c>
      <c r="BQ382">
        <v>0.1</v>
      </c>
      <c r="BR382">
        <v>3</v>
      </c>
      <c r="BS382">
        <v>0.30000000000000004</v>
      </c>
      <c r="BT382">
        <f>BS382+BD382+AU382+AM382</f>
        <v>5.5</v>
      </c>
      <c r="BU382">
        <v>1</v>
      </c>
      <c r="BV382">
        <v>2</v>
      </c>
      <c r="BW382">
        <v>293</v>
      </c>
      <c r="BX382">
        <f>BW382/7</f>
        <v>41.857142857142854</v>
      </c>
      <c r="BY382">
        <f>0.77*BX382</f>
        <v>32.229999999999997</v>
      </c>
      <c r="BZ382">
        <f t="shared" si="5"/>
        <v>37.729999999999997</v>
      </c>
    </row>
    <row r="383" spans="1:78">
      <c r="A383" s="1">
        <v>45208.626724641203</v>
      </c>
      <c r="B383" t="s">
        <v>865</v>
      </c>
      <c r="C383">
        <v>382</v>
      </c>
      <c r="D383" s="10">
        <v>32400</v>
      </c>
      <c r="E383">
        <v>35</v>
      </c>
      <c r="F383">
        <v>1</v>
      </c>
      <c r="G383">
        <v>6</v>
      </c>
      <c r="H383">
        <v>4</v>
      </c>
      <c r="I383" s="10">
        <v>44463</v>
      </c>
      <c r="J383">
        <v>2</v>
      </c>
      <c r="K383">
        <v>0</v>
      </c>
      <c r="L383">
        <v>1</v>
      </c>
      <c r="M383">
        <v>1630</v>
      </c>
      <c r="N383">
        <v>1</v>
      </c>
      <c r="O383" s="10">
        <v>44239</v>
      </c>
      <c r="P383">
        <v>1</v>
      </c>
      <c r="Q383">
        <v>32</v>
      </c>
      <c r="R383">
        <v>3</v>
      </c>
      <c r="S383">
        <v>86</v>
      </c>
      <c r="T383">
        <v>162</v>
      </c>
      <c r="U383">
        <v>86</v>
      </c>
      <c r="V383">
        <v>0</v>
      </c>
      <c r="W383">
        <v>1</v>
      </c>
      <c r="X383">
        <v>32.769394909312595</v>
      </c>
      <c r="Y383">
        <v>32.769394909312595</v>
      </c>
      <c r="Z383">
        <v>0</v>
      </c>
      <c r="AA383">
        <v>4</v>
      </c>
      <c r="AB383">
        <v>4</v>
      </c>
      <c r="AC383" t="s">
        <v>25</v>
      </c>
      <c r="AD383">
        <v>1</v>
      </c>
      <c r="AE383">
        <v>0</v>
      </c>
      <c r="AG383">
        <v>5</v>
      </c>
      <c r="AH383">
        <v>1</v>
      </c>
      <c r="AI383">
        <v>13</v>
      </c>
      <c r="AJ383">
        <v>1</v>
      </c>
      <c r="AK383">
        <v>7</v>
      </c>
      <c r="AL383">
        <v>1</v>
      </c>
      <c r="AM383">
        <f>AJ383*AK383*AL383/7</f>
        <v>1</v>
      </c>
      <c r="AN383" t="s">
        <v>79</v>
      </c>
      <c r="AO383">
        <v>0</v>
      </c>
      <c r="AV383">
        <f>AU383+AM383</f>
        <v>1</v>
      </c>
      <c r="AW383" t="s">
        <v>760</v>
      </c>
      <c r="AX383">
        <v>1</v>
      </c>
      <c r="AY383" t="s">
        <v>760</v>
      </c>
      <c r="AZ383">
        <v>16</v>
      </c>
      <c r="BA383" t="s">
        <v>258</v>
      </c>
      <c r="BB383">
        <v>7</v>
      </c>
      <c r="BC383">
        <v>1</v>
      </c>
      <c r="BE383">
        <f>AM383+AU383+BD383</f>
        <v>1</v>
      </c>
      <c r="BF383" t="s">
        <v>760</v>
      </c>
      <c r="BG383">
        <v>0</v>
      </c>
      <c r="BH383">
        <v>7</v>
      </c>
      <c r="BI383">
        <v>1</v>
      </c>
      <c r="BJ383" t="s">
        <v>49</v>
      </c>
      <c r="BK383">
        <v>5</v>
      </c>
      <c r="BL383">
        <v>1</v>
      </c>
      <c r="BM383">
        <v>1</v>
      </c>
      <c r="BN383" t="s">
        <v>30</v>
      </c>
      <c r="BO383">
        <v>1</v>
      </c>
      <c r="BP383">
        <v>84</v>
      </c>
      <c r="BQ383">
        <v>0.13</v>
      </c>
      <c r="BR383">
        <v>1</v>
      </c>
      <c r="BS383">
        <v>0.13</v>
      </c>
      <c r="BT383">
        <f>BS383+BD383+AU383+AM383</f>
        <v>1.1299999999999999</v>
      </c>
      <c r="BU383">
        <v>1</v>
      </c>
      <c r="BV383">
        <v>2</v>
      </c>
      <c r="BW383">
        <v>293</v>
      </c>
      <c r="BX383">
        <f>BW383/7</f>
        <v>41.857142857142854</v>
      </c>
      <c r="BY383">
        <f>0.77*BX383</f>
        <v>32.229999999999997</v>
      </c>
      <c r="BZ383">
        <f t="shared" si="5"/>
        <v>33.36</v>
      </c>
    </row>
    <row r="384" spans="1:78">
      <c r="A384" s="1">
        <v>45208.628819641206</v>
      </c>
      <c r="C384">
        <v>383</v>
      </c>
      <c r="D384" s="10">
        <v>32361</v>
      </c>
      <c r="E384">
        <v>35</v>
      </c>
      <c r="F384">
        <v>1</v>
      </c>
      <c r="G384">
        <v>1</v>
      </c>
      <c r="H384">
        <v>4</v>
      </c>
      <c r="I384" s="10">
        <v>44411</v>
      </c>
      <c r="J384">
        <v>3</v>
      </c>
      <c r="K384">
        <v>0</v>
      </c>
      <c r="L384">
        <v>1</v>
      </c>
      <c r="M384">
        <v>3650</v>
      </c>
      <c r="N384">
        <v>2</v>
      </c>
      <c r="O384" s="10">
        <v>44152</v>
      </c>
      <c r="P384">
        <v>1</v>
      </c>
      <c r="Q384">
        <v>37</v>
      </c>
      <c r="R384">
        <v>2</v>
      </c>
      <c r="S384">
        <v>64</v>
      </c>
      <c r="T384">
        <v>160</v>
      </c>
      <c r="U384">
        <v>75</v>
      </c>
      <c r="V384">
        <v>11</v>
      </c>
      <c r="W384">
        <v>2</v>
      </c>
      <c r="X384">
        <v>24.999999999999996</v>
      </c>
      <c r="Y384">
        <v>29.296874999999993</v>
      </c>
      <c r="Z384">
        <v>4.2968749999999964</v>
      </c>
      <c r="AA384">
        <v>3</v>
      </c>
      <c r="AB384">
        <v>3</v>
      </c>
      <c r="AC384" t="s">
        <v>33</v>
      </c>
      <c r="AD384">
        <v>3</v>
      </c>
      <c r="AE384">
        <v>1</v>
      </c>
      <c r="AF384" t="s">
        <v>296</v>
      </c>
      <c r="AG384">
        <v>4</v>
      </c>
      <c r="AH384">
        <v>1</v>
      </c>
      <c r="AI384">
        <v>5</v>
      </c>
      <c r="AJ384">
        <v>5</v>
      </c>
      <c r="AK384">
        <v>7</v>
      </c>
      <c r="AL384">
        <v>1</v>
      </c>
      <c r="AM384">
        <f>AJ384*AK384*AL384/7</f>
        <v>5</v>
      </c>
      <c r="AN384" t="s">
        <v>27</v>
      </c>
      <c r="AO384">
        <v>0</v>
      </c>
      <c r="AV384">
        <f>AU384+AM384</f>
        <v>5</v>
      </c>
      <c r="AW384" t="s">
        <v>58</v>
      </c>
      <c r="AX384">
        <v>1</v>
      </c>
      <c r="AY384" t="s">
        <v>58</v>
      </c>
      <c r="AZ384">
        <v>1</v>
      </c>
      <c r="BA384">
        <v>0.8</v>
      </c>
      <c r="BB384">
        <v>7</v>
      </c>
      <c r="BC384">
        <v>1</v>
      </c>
      <c r="BD384">
        <f>BA384*BB384*1/7</f>
        <v>0.8</v>
      </c>
      <c r="BE384">
        <f>AM384+AU384+BD384</f>
        <v>5.8</v>
      </c>
      <c r="BF384" t="s">
        <v>58</v>
      </c>
      <c r="BG384">
        <v>0</v>
      </c>
      <c r="BH384">
        <v>7</v>
      </c>
      <c r="BI384">
        <v>1</v>
      </c>
      <c r="BJ384" t="s">
        <v>42</v>
      </c>
      <c r="BK384">
        <v>6</v>
      </c>
      <c r="BL384">
        <v>1</v>
      </c>
      <c r="BM384">
        <v>1</v>
      </c>
      <c r="BN384" t="s">
        <v>30</v>
      </c>
      <c r="BO384">
        <v>1</v>
      </c>
      <c r="BP384">
        <v>168</v>
      </c>
      <c r="BQ384">
        <v>0.13</v>
      </c>
      <c r="BR384">
        <v>2</v>
      </c>
      <c r="BS384">
        <v>0.26</v>
      </c>
      <c r="BT384">
        <f>BS384+BD384+AU384+AM384</f>
        <v>6.0600000000000005</v>
      </c>
      <c r="BU384">
        <v>1</v>
      </c>
      <c r="BV384">
        <v>1</v>
      </c>
      <c r="BW384">
        <v>146.5</v>
      </c>
      <c r="BX384">
        <f>BW384/7</f>
        <v>20.928571428571427</v>
      </c>
      <c r="BY384">
        <f>0.77*BX384</f>
        <v>16.114999999999998</v>
      </c>
      <c r="BZ384">
        <f t="shared" si="5"/>
        <v>22.174999999999997</v>
      </c>
    </row>
    <row r="385" spans="1:78">
      <c r="A385" s="1">
        <v>45208.658076956017</v>
      </c>
      <c r="C385">
        <v>384</v>
      </c>
      <c r="D385" s="10">
        <v>32433</v>
      </c>
      <c r="E385">
        <v>35</v>
      </c>
      <c r="F385">
        <v>1</v>
      </c>
      <c r="G385">
        <v>1</v>
      </c>
      <c r="H385">
        <v>5</v>
      </c>
      <c r="I385" s="10">
        <v>44875</v>
      </c>
      <c r="J385">
        <v>1</v>
      </c>
      <c r="K385">
        <v>1</v>
      </c>
      <c r="L385">
        <v>1</v>
      </c>
      <c r="M385">
        <v>4235</v>
      </c>
      <c r="N385">
        <v>3</v>
      </c>
      <c r="O385" s="10">
        <v>44602</v>
      </c>
      <c r="P385">
        <v>0</v>
      </c>
      <c r="Q385">
        <v>39</v>
      </c>
      <c r="R385">
        <v>2</v>
      </c>
      <c r="S385">
        <v>96</v>
      </c>
      <c r="T385">
        <v>172</v>
      </c>
      <c r="U385">
        <v>121</v>
      </c>
      <c r="V385">
        <v>25</v>
      </c>
      <c r="W385">
        <v>3</v>
      </c>
      <c r="X385">
        <v>32.449972958355872</v>
      </c>
      <c r="Y385">
        <v>40.900486749594378</v>
      </c>
      <c r="Z385">
        <v>8.4505137912385067</v>
      </c>
      <c r="AA385">
        <v>4</v>
      </c>
      <c r="AB385">
        <v>4</v>
      </c>
      <c r="AC385" t="s">
        <v>25</v>
      </c>
      <c r="AD385">
        <v>1</v>
      </c>
      <c r="AE385">
        <v>0</v>
      </c>
      <c r="AG385">
        <v>5</v>
      </c>
      <c r="AH385">
        <v>0</v>
      </c>
      <c r="AI385">
        <v>0</v>
      </c>
      <c r="AN385" t="s">
        <v>41</v>
      </c>
      <c r="AO385">
        <v>0</v>
      </c>
      <c r="AW385" t="s">
        <v>58</v>
      </c>
      <c r="AX385">
        <v>1</v>
      </c>
      <c r="AY385" t="s">
        <v>58</v>
      </c>
      <c r="AZ385">
        <v>1</v>
      </c>
      <c r="BA385">
        <v>0.8</v>
      </c>
      <c r="BB385">
        <v>7</v>
      </c>
      <c r="BC385">
        <v>1</v>
      </c>
      <c r="BD385">
        <f>BA385*BB385*1/7</f>
        <v>0.8</v>
      </c>
      <c r="BE385">
        <f>AM385+AU385+BD385</f>
        <v>0.8</v>
      </c>
      <c r="BF385" t="s">
        <v>58</v>
      </c>
      <c r="BG385">
        <v>0</v>
      </c>
      <c r="BH385">
        <v>7</v>
      </c>
      <c r="BI385">
        <v>1</v>
      </c>
      <c r="BJ385" t="s">
        <v>42</v>
      </c>
      <c r="BK385">
        <v>6</v>
      </c>
      <c r="BL385">
        <v>1</v>
      </c>
      <c r="BM385">
        <v>1</v>
      </c>
      <c r="BN385" t="s">
        <v>37</v>
      </c>
      <c r="BO385">
        <v>4</v>
      </c>
      <c r="BP385">
        <v>220</v>
      </c>
      <c r="BQ385">
        <v>0.05</v>
      </c>
      <c r="BR385">
        <v>4</v>
      </c>
      <c r="BS385">
        <v>0.2</v>
      </c>
      <c r="BT385">
        <f>BS385+BD385+AU385+AM385</f>
        <v>1</v>
      </c>
      <c r="BU385">
        <v>1</v>
      </c>
      <c r="BV385">
        <v>2</v>
      </c>
      <c r="BW385">
        <v>293</v>
      </c>
      <c r="BX385">
        <f>BW385/7</f>
        <v>41.857142857142854</v>
      </c>
      <c r="BY385">
        <f>0.77*BX385</f>
        <v>32.229999999999997</v>
      </c>
      <c r="BZ385">
        <f t="shared" si="5"/>
        <v>33.229999999999997</v>
      </c>
    </row>
    <row r="386" spans="1:78">
      <c r="A386" s="1">
        <v>45208.671786331019</v>
      </c>
      <c r="C386">
        <v>385</v>
      </c>
      <c r="D386" s="10">
        <v>30146</v>
      </c>
      <c r="E386">
        <v>41</v>
      </c>
      <c r="F386">
        <v>1</v>
      </c>
      <c r="G386">
        <v>5</v>
      </c>
      <c r="H386">
        <v>2</v>
      </c>
      <c r="I386" s="10">
        <v>44923</v>
      </c>
      <c r="J386">
        <v>3</v>
      </c>
      <c r="K386">
        <v>0</v>
      </c>
      <c r="L386">
        <v>1</v>
      </c>
      <c r="M386">
        <v>3960</v>
      </c>
      <c r="N386">
        <v>2</v>
      </c>
      <c r="O386" s="10">
        <v>44664</v>
      </c>
      <c r="P386">
        <v>0</v>
      </c>
      <c r="Q386">
        <v>37</v>
      </c>
      <c r="R386">
        <v>2</v>
      </c>
      <c r="S386">
        <v>68</v>
      </c>
      <c r="T386">
        <v>160</v>
      </c>
      <c r="U386">
        <v>80</v>
      </c>
      <c r="V386">
        <v>12</v>
      </c>
      <c r="W386">
        <v>3</v>
      </c>
      <c r="X386">
        <v>26.562499999999996</v>
      </c>
      <c r="Y386">
        <v>31.249999999999993</v>
      </c>
      <c r="Z386">
        <v>4.6874999999999964</v>
      </c>
      <c r="AA386">
        <v>3</v>
      </c>
      <c r="AB386">
        <v>4</v>
      </c>
      <c r="AC386" t="s">
        <v>33</v>
      </c>
      <c r="AD386">
        <v>3</v>
      </c>
      <c r="AE386">
        <v>0</v>
      </c>
      <c r="AG386">
        <v>5</v>
      </c>
      <c r="AH386">
        <v>1</v>
      </c>
      <c r="AI386">
        <v>2</v>
      </c>
      <c r="AJ386">
        <v>5</v>
      </c>
      <c r="AK386">
        <v>7</v>
      </c>
      <c r="AL386">
        <v>1</v>
      </c>
      <c r="AM386">
        <f>AJ386*AK386*AL386/7</f>
        <v>5</v>
      </c>
      <c r="AN386" t="s">
        <v>57</v>
      </c>
      <c r="AO386">
        <v>0</v>
      </c>
      <c r="AV386">
        <f>AU386+AM386</f>
        <v>5</v>
      </c>
      <c r="AX386">
        <v>0</v>
      </c>
      <c r="BE386">
        <f>AM386+AU386+BD386</f>
        <v>5</v>
      </c>
      <c r="BG386">
        <v>0</v>
      </c>
      <c r="BJ386" t="s">
        <v>36</v>
      </c>
      <c r="BK386">
        <v>4</v>
      </c>
      <c r="BL386">
        <v>1</v>
      </c>
      <c r="BM386">
        <v>1</v>
      </c>
      <c r="BN386" t="s">
        <v>30</v>
      </c>
      <c r="BO386">
        <v>1</v>
      </c>
      <c r="BP386">
        <v>168</v>
      </c>
      <c r="BQ386">
        <v>0.13</v>
      </c>
      <c r="BR386">
        <v>2</v>
      </c>
      <c r="BS386">
        <v>0.26</v>
      </c>
      <c r="BT386">
        <f>BS386+BD386+AU386+AM386</f>
        <v>5.26</v>
      </c>
      <c r="BU386">
        <v>1</v>
      </c>
      <c r="BV386">
        <v>1</v>
      </c>
      <c r="BW386">
        <v>146.5</v>
      </c>
      <c r="BX386">
        <f>BW386/7</f>
        <v>20.928571428571427</v>
      </c>
      <c r="BY386">
        <f>0.77*BX386</f>
        <v>16.114999999999998</v>
      </c>
      <c r="BZ386">
        <f t="shared" si="5"/>
        <v>21.375</v>
      </c>
    </row>
    <row r="387" spans="1:78">
      <c r="A387" s="1">
        <v>45208.677957881941</v>
      </c>
      <c r="C387">
        <v>386</v>
      </c>
      <c r="D387" s="10">
        <v>33137</v>
      </c>
      <c r="E387">
        <v>33</v>
      </c>
      <c r="F387">
        <v>1</v>
      </c>
      <c r="G387">
        <v>1</v>
      </c>
      <c r="H387">
        <v>4</v>
      </c>
      <c r="I387" s="10">
        <v>44860</v>
      </c>
      <c r="J387">
        <v>1</v>
      </c>
      <c r="K387">
        <v>1</v>
      </c>
      <c r="L387">
        <v>2</v>
      </c>
      <c r="M387">
        <v>2888</v>
      </c>
      <c r="N387">
        <v>2</v>
      </c>
      <c r="O387" s="10">
        <v>44602</v>
      </c>
      <c r="P387">
        <v>0</v>
      </c>
      <c r="Q387">
        <v>36.857142857142854</v>
      </c>
      <c r="R387">
        <v>3</v>
      </c>
      <c r="S387">
        <v>80</v>
      </c>
      <c r="T387">
        <v>167.5</v>
      </c>
      <c r="U387">
        <v>84.5</v>
      </c>
      <c r="V387">
        <v>4.5</v>
      </c>
      <c r="W387">
        <v>1</v>
      </c>
      <c r="X387">
        <v>28.514145689463131</v>
      </c>
      <c r="Y387">
        <v>30.118066384495432</v>
      </c>
      <c r="Z387">
        <v>1.6039206950323006</v>
      </c>
      <c r="AA387">
        <v>3</v>
      </c>
      <c r="AB387">
        <v>4</v>
      </c>
      <c r="AC387" t="s">
        <v>33</v>
      </c>
      <c r="AD387">
        <v>3</v>
      </c>
      <c r="AE387">
        <v>0</v>
      </c>
      <c r="AG387">
        <v>5</v>
      </c>
      <c r="AH387">
        <v>0</v>
      </c>
      <c r="AI387">
        <v>0</v>
      </c>
      <c r="AN387" t="s">
        <v>297</v>
      </c>
      <c r="AO387">
        <v>0</v>
      </c>
      <c r="AW387" t="s">
        <v>298</v>
      </c>
      <c r="AX387">
        <v>1</v>
      </c>
      <c r="AY387" t="s">
        <v>254</v>
      </c>
      <c r="AZ387">
        <v>12</v>
      </c>
      <c r="BA387">
        <v>0.4</v>
      </c>
      <c r="BB387">
        <v>7</v>
      </c>
      <c r="BC387">
        <v>1</v>
      </c>
      <c r="BD387">
        <f>BA387*BB387*1/7</f>
        <v>0.4</v>
      </c>
      <c r="BE387">
        <f>AM387+AU387+BD387</f>
        <v>0.4</v>
      </c>
      <c r="BF387" t="s">
        <v>298</v>
      </c>
      <c r="BG387">
        <v>1</v>
      </c>
      <c r="BH387">
        <v>7</v>
      </c>
      <c r="BI387">
        <v>1</v>
      </c>
      <c r="BJ387" t="s">
        <v>36</v>
      </c>
      <c r="BK387">
        <v>4</v>
      </c>
      <c r="BL387">
        <v>3</v>
      </c>
      <c r="BM387">
        <v>1</v>
      </c>
      <c r="BN387" t="s">
        <v>30</v>
      </c>
      <c r="BO387">
        <v>1</v>
      </c>
      <c r="BP387">
        <v>168</v>
      </c>
      <c r="BQ387">
        <v>0.13</v>
      </c>
      <c r="BR387">
        <v>2</v>
      </c>
      <c r="BS387">
        <v>0.26</v>
      </c>
      <c r="BT387">
        <f>BS387+BD387+AU387+AM387</f>
        <v>0.66</v>
      </c>
      <c r="BU387">
        <v>1</v>
      </c>
      <c r="BV387">
        <v>2</v>
      </c>
      <c r="BW387">
        <v>293</v>
      </c>
      <c r="BX387">
        <f>BW387/7</f>
        <v>41.857142857142854</v>
      </c>
      <c r="BY387">
        <f>0.77*BX387</f>
        <v>32.229999999999997</v>
      </c>
      <c r="BZ387">
        <f t="shared" si="5"/>
        <v>32.889999999999993</v>
      </c>
    </row>
    <row r="388" spans="1:78">
      <c r="A388" s="1">
        <v>45208.717465787035</v>
      </c>
      <c r="C388">
        <v>387</v>
      </c>
      <c r="D388" s="10">
        <v>32017</v>
      </c>
      <c r="E388">
        <v>36</v>
      </c>
      <c r="F388">
        <v>1</v>
      </c>
      <c r="G388">
        <v>2</v>
      </c>
      <c r="H388">
        <v>5</v>
      </c>
      <c r="I388" s="10">
        <v>44791</v>
      </c>
      <c r="J388">
        <v>1</v>
      </c>
      <c r="K388">
        <v>1</v>
      </c>
      <c r="L388">
        <v>1</v>
      </c>
      <c r="M388">
        <v>2740</v>
      </c>
      <c r="N388">
        <v>2</v>
      </c>
      <c r="O388" s="10">
        <v>44532</v>
      </c>
      <c r="P388">
        <v>0</v>
      </c>
      <c r="Q388">
        <v>37</v>
      </c>
      <c r="R388">
        <v>2</v>
      </c>
      <c r="S388">
        <v>58</v>
      </c>
      <c r="T388">
        <v>158</v>
      </c>
      <c r="U388">
        <v>63</v>
      </c>
      <c r="V388">
        <v>5</v>
      </c>
      <c r="W388">
        <v>1</v>
      </c>
      <c r="X388">
        <v>23.233456176894723</v>
      </c>
      <c r="Y388">
        <v>25.236340330075304</v>
      </c>
      <c r="Z388">
        <v>2.002884153180581</v>
      </c>
      <c r="AA388">
        <v>2</v>
      </c>
      <c r="AB388">
        <v>3</v>
      </c>
      <c r="AC388" t="s">
        <v>33</v>
      </c>
      <c r="AD388">
        <v>3</v>
      </c>
      <c r="AE388">
        <v>0</v>
      </c>
      <c r="AG388">
        <v>5</v>
      </c>
      <c r="AH388">
        <v>1</v>
      </c>
      <c r="AI388">
        <v>5</v>
      </c>
      <c r="AJ388">
        <v>5</v>
      </c>
      <c r="AK388">
        <v>7</v>
      </c>
      <c r="AL388">
        <v>1</v>
      </c>
      <c r="AM388">
        <f>AJ388*AK388*AL388/7</f>
        <v>5</v>
      </c>
      <c r="AN388" t="s">
        <v>27</v>
      </c>
      <c r="AO388">
        <v>0</v>
      </c>
      <c r="AV388">
        <f>AU388+AM388</f>
        <v>5</v>
      </c>
      <c r="AW388" t="s">
        <v>35</v>
      </c>
      <c r="AX388">
        <v>1</v>
      </c>
      <c r="AY388" t="s">
        <v>35</v>
      </c>
      <c r="AZ388">
        <v>12</v>
      </c>
      <c r="BA388">
        <v>0.4</v>
      </c>
      <c r="BB388">
        <v>7</v>
      </c>
      <c r="BC388">
        <v>1</v>
      </c>
      <c r="BD388">
        <f>BA388*BB388*1/7</f>
        <v>0.4</v>
      </c>
      <c r="BE388">
        <f>AM388+AU388+BD388</f>
        <v>5.4</v>
      </c>
      <c r="BF388" t="s">
        <v>35</v>
      </c>
      <c r="BG388">
        <v>0</v>
      </c>
      <c r="BH388">
        <v>7</v>
      </c>
      <c r="BI388">
        <v>1</v>
      </c>
      <c r="BJ388" t="s">
        <v>28</v>
      </c>
      <c r="BK388">
        <v>3</v>
      </c>
      <c r="BL388">
        <v>1</v>
      </c>
      <c r="BM388">
        <v>1</v>
      </c>
      <c r="BN388" t="s">
        <v>55</v>
      </c>
      <c r="BO388">
        <v>2</v>
      </c>
      <c r="BP388">
        <v>134</v>
      </c>
      <c r="BQ388">
        <v>0.1</v>
      </c>
      <c r="BR388">
        <v>2</v>
      </c>
      <c r="BS388">
        <v>0.2</v>
      </c>
      <c r="BT388">
        <f>BS388+BD388+AU388+AM388</f>
        <v>5.6</v>
      </c>
      <c r="BU388">
        <v>1</v>
      </c>
      <c r="BV388">
        <v>1</v>
      </c>
      <c r="BW388">
        <v>146.5</v>
      </c>
      <c r="BX388">
        <f>BW388/7</f>
        <v>20.928571428571427</v>
      </c>
      <c r="BY388">
        <f>0.77*BX388</f>
        <v>16.114999999999998</v>
      </c>
      <c r="BZ388">
        <f t="shared" ref="BZ388:BZ451" si="6">BS388+BD388+AU388+AM388+BY388</f>
        <v>21.714999999999996</v>
      </c>
    </row>
    <row r="389" spans="1:78">
      <c r="A389" s="1">
        <v>45208.720637777777</v>
      </c>
      <c r="C389">
        <v>388</v>
      </c>
      <c r="D389" s="10">
        <v>32020</v>
      </c>
      <c r="E389">
        <v>36</v>
      </c>
      <c r="F389">
        <v>1</v>
      </c>
      <c r="G389">
        <v>1</v>
      </c>
      <c r="H389">
        <v>4</v>
      </c>
      <c r="I389" s="10">
        <v>45096</v>
      </c>
      <c r="J389">
        <v>2</v>
      </c>
      <c r="K389">
        <v>0</v>
      </c>
      <c r="L389">
        <v>2</v>
      </c>
      <c r="M389">
        <v>4237</v>
      </c>
      <c r="N389">
        <v>3</v>
      </c>
      <c r="O389" s="10">
        <v>44823</v>
      </c>
      <c r="P389">
        <v>0</v>
      </c>
      <c r="Q389">
        <v>39</v>
      </c>
      <c r="R389">
        <v>2</v>
      </c>
      <c r="S389">
        <v>114</v>
      </c>
      <c r="T389">
        <v>164</v>
      </c>
      <c r="U389">
        <v>117</v>
      </c>
      <c r="V389">
        <v>3</v>
      </c>
      <c r="W389">
        <v>1</v>
      </c>
      <c r="X389">
        <v>42.385484830458068</v>
      </c>
      <c r="Y389">
        <v>43.500892325996439</v>
      </c>
      <c r="Z389">
        <v>1.1154074955383706</v>
      </c>
      <c r="AA389">
        <v>4</v>
      </c>
      <c r="AB389">
        <v>4</v>
      </c>
      <c r="AC389" t="s">
        <v>33</v>
      </c>
      <c r="AD389">
        <v>3</v>
      </c>
      <c r="AE389">
        <v>0</v>
      </c>
      <c r="AG389">
        <v>5</v>
      </c>
      <c r="AH389">
        <v>1</v>
      </c>
      <c r="AI389">
        <v>4</v>
      </c>
      <c r="AJ389">
        <v>1</v>
      </c>
      <c r="AK389">
        <v>7</v>
      </c>
      <c r="AL389">
        <v>1</v>
      </c>
      <c r="AM389">
        <f>AJ389*AK389*AL389/7</f>
        <v>1</v>
      </c>
      <c r="AN389" t="s">
        <v>43</v>
      </c>
      <c r="AO389">
        <v>0</v>
      </c>
      <c r="AV389">
        <f>AU389+AM389</f>
        <v>1</v>
      </c>
      <c r="AW389" t="s">
        <v>58</v>
      </c>
      <c r="AX389">
        <v>1</v>
      </c>
      <c r="AY389" t="s">
        <v>58</v>
      </c>
      <c r="AZ389">
        <v>1</v>
      </c>
      <c r="BA389">
        <v>0.8</v>
      </c>
      <c r="BB389">
        <v>7</v>
      </c>
      <c r="BC389">
        <v>1</v>
      </c>
      <c r="BD389">
        <f>BA389*BB389*1/7</f>
        <v>0.8</v>
      </c>
      <c r="BE389">
        <f>AM389+AU389+BD389</f>
        <v>1.8</v>
      </c>
      <c r="BF389" t="s">
        <v>58</v>
      </c>
      <c r="BG389">
        <v>0</v>
      </c>
      <c r="BH389">
        <v>7</v>
      </c>
      <c r="BI389">
        <v>1</v>
      </c>
      <c r="BJ389" t="s">
        <v>36</v>
      </c>
      <c r="BK389">
        <v>4</v>
      </c>
      <c r="BL389">
        <v>1</v>
      </c>
      <c r="BM389">
        <v>1</v>
      </c>
      <c r="BN389" t="s">
        <v>30</v>
      </c>
      <c r="BO389">
        <v>1</v>
      </c>
      <c r="BP389">
        <v>168</v>
      </c>
      <c r="BQ389">
        <v>0.13</v>
      </c>
      <c r="BR389">
        <v>2</v>
      </c>
      <c r="BS389">
        <v>0.26</v>
      </c>
      <c r="BT389">
        <f>BS389+BD389+AU389+AM389</f>
        <v>2.06</v>
      </c>
      <c r="BU389">
        <v>1</v>
      </c>
      <c r="BV389">
        <v>1</v>
      </c>
      <c r="BW389">
        <v>146.5</v>
      </c>
      <c r="BX389">
        <f>BW389/7</f>
        <v>20.928571428571427</v>
      </c>
      <c r="BY389">
        <f>0.77*BX389</f>
        <v>16.114999999999998</v>
      </c>
      <c r="BZ389">
        <f t="shared" si="6"/>
        <v>18.174999999999997</v>
      </c>
    </row>
    <row r="390" spans="1:78">
      <c r="A390" s="1">
        <v>45208.726090891199</v>
      </c>
      <c r="C390">
        <v>389</v>
      </c>
      <c r="D390" s="10">
        <v>36495</v>
      </c>
      <c r="E390">
        <v>23</v>
      </c>
      <c r="F390">
        <v>1</v>
      </c>
      <c r="G390">
        <v>7</v>
      </c>
      <c r="H390">
        <v>3</v>
      </c>
      <c r="I390" s="10">
        <v>44994</v>
      </c>
      <c r="J390">
        <v>1</v>
      </c>
      <c r="K390">
        <v>1</v>
      </c>
      <c r="L390">
        <v>1</v>
      </c>
      <c r="M390">
        <v>3430</v>
      </c>
      <c r="N390">
        <v>2</v>
      </c>
      <c r="O390" s="10">
        <v>44720</v>
      </c>
      <c r="P390">
        <v>0</v>
      </c>
      <c r="Q390">
        <v>39.142857142857146</v>
      </c>
      <c r="R390">
        <v>2</v>
      </c>
      <c r="S390">
        <v>62</v>
      </c>
      <c r="T390">
        <v>156</v>
      </c>
      <c r="U390">
        <v>88.9</v>
      </c>
      <c r="V390">
        <v>26.900000000000006</v>
      </c>
      <c r="W390">
        <v>3</v>
      </c>
      <c r="X390">
        <v>25.476660092044707</v>
      </c>
      <c r="Y390">
        <v>36.530243261012494</v>
      </c>
      <c r="Z390">
        <v>11.053583168967787</v>
      </c>
      <c r="AA390">
        <v>3</v>
      </c>
      <c r="AB390">
        <v>4</v>
      </c>
      <c r="AC390" t="s">
        <v>50</v>
      </c>
      <c r="AD390">
        <v>2</v>
      </c>
      <c r="AE390">
        <v>0</v>
      </c>
      <c r="AG390">
        <v>5</v>
      </c>
      <c r="AH390">
        <v>1</v>
      </c>
      <c r="AI390">
        <v>13</v>
      </c>
      <c r="AJ390">
        <v>1</v>
      </c>
      <c r="AK390">
        <v>7</v>
      </c>
      <c r="AL390">
        <v>1</v>
      </c>
      <c r="AM390">
        <f>AJ390*AK390*AL390/7</f>
        <v>1</v>
      </c>
      <c r="AN390" t="s">
        <v>79</v>
      </c>
      <c r="AO390">
        <v>0</v>
      </c>
      <c r="AV390">
        <f>AU390+AM390</f>
        <v>1</v>
      </c>
      <c r="AW390" t="s">
        <v>299</v>
      </c>
      <c r="AX390">
        <v>0</v>
      </c>
      <c r="BE390">
        <f>AM390+AU390+BD390</f>
        <v>1</v>
      </c>
      <c r="BF390" t="s">
        <v>299</v>
      </c>
      <c r="BG390">
        <v>1</v>
      </c>
      <c r="BH390">
        <v>7</v>
      </c>
      <c r="BI390">
        <v>1</v>
      </c>
      <c r="BJ390" t="s">
        <v>49</v>
      </c>
      <c r="BK390">
        <v>5</v>
      </c>
      <c r="BL390">
        <v>1</v>
      </c>
      <c r="BM390">
        <v>1</v>
      </c>
      <c r="BN390" t="s">
        <v>63</v>
      </c>
      <c r="BO390">
        <v>5</v>
      </c>
      <c r="BP390">
        <v>48</v>
      </c>
      <c r="BQ390">
        <v>0.06</v>
      </c>
      <c r="BR390">
        <v>1</v>
      </c>
      <c r="BS390">
        <v>0.06</v>
      </c>
      <c r="BT390">
        <f>BS390+BD390+AU390+AM390</f>
        <v>1.06</v>
      </c>
      <c r="BU390">
        <v>1</v>
      </c>
      <c r="BV390">
        <v>3</v>
      </c>
      <c r="BW390">
        <v>439.5</v>
      </c>
      <c r="BX390">
        <f>BW390/7</f>
        <v>62.785714285714285</v>
      </c>
      <c r="BY390">
        <f>0.77*BX390</f>
        <v>48.344999999999999</v>
      </c>
      <c r="BZ390">
        <f t="shared" si="6"/>
        <v>49.405000000000001</v>
      </c>
    </row>
    <row r="391" spans="1:78">
      <c r="A391" s="1">
        <v>45208.777582210649</v>
      </c>
      <c r="C391">
        <v>390</v>
      </c>
      <c r="D391" s="10">
        <v>32257</v>
      </c>
      <c r="E391">
        <v>35</v>
      </c>
      <c r="F391">
        <v>1</v>
      </c>
      <c r="G391">
        <v>3</v>
      </c>
      <c r="H391">
        <v>5</v>
      </c>
      <c r="I391" s="10">
        <v>44989</v>
      </c>
      <c r="J391">
        <v>2</v>
      </c>
      <c r="K391">
        <v>0</v>
      </c>
      <c r="L391">
        <v>2</v>
      </c>
      <c r="M391">
        <v>3336</v>
      </c>
      <c r="N391">
        <v>2</v>
      </c>
      <c r="O391" s="10">
        <v>44723</v>
      </c>
      <c r="P391">
        <v>0</v>
      </c>
      <c r="Q391">
        <v>38</v>
      </c>
      <c r="R391">
        <v>2</v>
      </c>
      <c r="S391">
        <v>59</v>
      </c>
      <c r="T391">
        <v>159</v>
      </c>
      <c r="U391">
        <v>78</v>
      </c>
      <c r="V391">
        <v>19</v>
      </c>
      <c r="W391">
        <v>3</v>
      </c>
      <c r="X391">
        <v>23.337684427040067</v>
      </c>
      <c r="Y391">
        <v>30.853209920493647</v>
      </c>
      <c r="Z391">
        <v>7.5155254934535805</v>
      </c>
      <c r="AA391">
        <v>2</v>
      </c>
      <c r="AB391">
        <v>4</v>
      </c>
      <c r="AC391" t="s">
        <v>44</v>
      </c>
      <c r="AD391">
        <v>1</v>
      </c>
      <c r="AE391">
        <v>0</v>
      </c>
      <c r="AG391">
        <v>5</v>
      </c>
      <c r="AH391">
        <v>1</v>
      </c>
      <c r="AI391">
        <v>4</v>
      </c>
      <c r="AJ391">
        <v>1</v>
      </c>
      <c r="AK391">
        <v>3</v>
      </c>
      <c r="AL391">
        <v>1</v>
      </c>
      <c r="AM391">
        <f>AJ391*AK391*AL391/7</f>
        <v>0.42857142857142855</v>
      </c>
      <c r="AN391" t="s">
        <v>43</v>
      </c>
      <c r="AO391">
        <v>0</v>
      </c>
      <c r="AV391">
        <f>AU391+AM391</f>
        <v>0.42857142857142855</v>
      </c>
      <c r="AW391" t="s">
        <v>300</v>
      </c>
      <c r="AX391">
        <v>1</v>
      </c>
      <c r="AY391" t="s">
        <v>300</v>
      </c>
      <c r="AZ391">
        <v>5</v>
      </c>
      <c r="BA391">
        <v>0.4</v>
      </c>
      <c r="BB391">
        <v>3</v>
      </c>
      <c r="BC391">
        <v>1</v>
      </c>
      <c r="BD391">
        <f>BA391*BB391*1/7</f>
        <v>0.17142857142857146</v>
      </c>
      <c r="BE391">
        <f>AM391+AU391+BD391</f>
        <v>0.6</v>
      </c>
      <c r="BF391" t="s">
        <v>300</v>
      </c>
      <c r="BG391">
        <v>0</v>
      </c>
      <c r="BH391">
        <v>3</v>
      </c>
      <c r="BI391">
        <v>1</v>
      </c>
      <c r="BJ391" t="s">
        <v>49</v>
      </c>
      <c r="BK391">
        <v>5</v>
      </c>
      <c r="BL391">
        <v>1</v>
      </c>
      <c r="BM391">
        <v>1</v>
      </c>
      <c r="BN391" t="s">
        <v>30</v>
      </c>
      <c r="BO391">
        <v>1</v>
      </c>
      <c r="BP391">
        <v>84</v>
      </c>
      <c r="BQ391">
        <v>0.13</v>
      </c>
      <c r="BR391">
        <v>1</v>
      </c>
      <c r="BS391">
        <v>0.13</v>
      </c>
      <c r="BT391">
        <f>BS391+BD391+AU391+AM391</f>
        <v>0.73</v>
      </c>
      <c r="BU391">
        <v>1</v>
      </c>
      <c r="BV391">
        <v>1</v>
      </c>
      <c r="BW391">
        <v>146.5</v>
      </c>
      <c r="BX391">
        <f>BW391/7</f>
        <v>20.928571428571427</v>
      </c>
      <c r="BY391">
        <f>0.77*BX391</f>
        <v>16.114999999999998</v>
      </c>
      <c r="BZ391">
        <f t="shared" si="6"/>
        <v>16.844999999999999</v>
      </c>
    </row>
    <row r="392" spans="1:78">
      <c r="A392" s="1">
        <v>45208.791292361115</v>
      </c>
      <c r="C392">
        <v>391</v>
      </c>
      <c r="D392" s="10">
        <v>33646</v>
      </c>
      <c r="E392">
        <v>31</v>
      </c>
      <c r="F392">
        <v>1</v>
      </c>
      <c r="G392">
        <v>1</v>
      </c>
      <c r="H392">
        <v>4</v>
      </c>
      <c r="I392" s="10">
        <v>43689</v>
      </c>
      <c r="J392">
        <v>2</v>
      </c>
      <c r="K392">
        <v>0</v>
      </c>
      <c r="L392">
        <v>2</v>
      </c>
      <c r="M392">
        <v>3330</v>
      </c>
      <c r="N392">
        <v>2</v>
      </c>
      <c r="O392" s="10">
        <v>43430</v>
      </c>
      <c r="P392">
        <v>0</v>
      </c>
      <c r="Q392">
        <v>37</v>
      </c>
      <c r="R392">
        <v>2</v>
      </c>
      <c r="S392">
        <v>70</v>
      </c>
      <c r="T392">
        <v>154</v>
      </c>
      <c r="U392">
        <v>68</v>
      </c>
      <c r="V392">
        <v>-2</v>
      </c>
      <c r="W392">
        <v>1</v>
      </c>
      <c r="X392">
        <v>29.515938606847698</v>
      </c>
      <c r="Y392">
        <v>28.67262607522348</v>
      </c>
      <c r="Z392">
        <v>-0.8433125316242176</v>
      </c>
      <c r="AA392">
        <v>3</v>
      </c>
      <c r="AB392">
        <v>3</v>
      </c>
      <c r="AC392" t="s">
        <v>33</v>
      </c>
      <c r="AD392">
        <v>3</v>
      </c>
      <c r="AE392">
        <v>0</v>
      </c>
      <c r="AG392">
        <v>5</v>
      </c>
      <c r="AH392">
        <v>1</v>
      </c>
      <c r="AI392">
        <v>13</v>
      </c>
      <c r="AJ392">
        <v>1</v>
      </c>
      <c r="AK392">
        <v>7</v>
      </c>
      <c r="AL392">
        <v>1</v>
      </c>
      <c r="AM392">
        <f>AJ392*AK392*AL392/7</f>
        <v>1</v>
      </c>
      <c r="AN392" t="s">
        <v>79</v>
      </c>
      <c r="AO392">
        <v>0</v>
      </c>
      <c r="AV392">
        <f>AU392+AM392</f>
        <v>1</v>
      </c>
      <c r="AW392" t="s">
        <v>170</v>
      </c>
      <c r="AX392">
        <v>0</v>
      </c>
      <c r="BE392">
        <f>AM392+AU392+BD392</f>
        <v>1</v>
      </c>
      <c r="BF392" t="s">
        <v>170</v>
      </c>
      <c r="BG392">
        <v>1</v>
      </c>
      <c r="BH392">
        <v>7</v>
      </c>
      <c r="BI392">
        <v>1</v>
      </c>
      <c r="BJ392" t="s">
        <v>49</v>
      </c>
      <c r="BK392">
        <v>5</v>
      </c>
      <c r="BL392">
        <v>3</v>
      </c>
      <c r="BM392">
        <v>1</v>
      </c>
      <c r="BN392" t="s">
        <v>30</v>
      </c>
      <c r="BO392">
        <v>1</v>
      </c>
      <c r="BP392">
        <v>84</v>
      </c>
      <c r="BQ392">
        <v>0.13</v>
      </c>
      <c r="BR392">
        <v>1</v>
      </c>
      <c r="BS392">
        <v>0.13</v>
      </c>
      <c r="BT392">
        <f>BS392+BD392+AU392+AM392</f>
        <v>1.1299999999999999</v>
      </c>
      <c r="BU392">
        <v>1</v>
      </c>
      <c r="BV392">
        <v>2</v>
      </c>
      <c r="BW392">
        <v>293</v>
      </c>
      <c r="BX392">
        <f>BW392/7</f>
        <v>41.857142857142854</v>
      </c>
      <c r="BY392">
        <f>0.77*BX392</f>
        <v>32.229999999999997</v>
      </c>
      <c r="BZ392">
        <f t="shared" si="6"/>
        <v>33.36</v>
      </c>
    </row>
    <row r="393" spans="1:78">
      <c r="A393" s="1">
        <v>45208.795084016208</v>
      </c>
      <c r="C393">
        <v>392</v>
      </c>
      <c r="D393" s="10">
        <v>31120</v>
      </c>
      <c r="E393">
        <v>38</v>
      </c>
      <c r="F393">
        <v>1</v>
      </c>
      <c r="G393">
        <v>1</v>
      </c>
      <c r="H393">
        <v>4</v>
      </c>
      <c r="I393" s="10">
        <v>44623</v>
      </c>
      <c r="J393">
        <v>3</v>
      </c>
      <c r="K393">
        <v>0</v>
      </c>
      <c r="L393">
        <v>1</v>
      </c>
      <c r="M393">
        <v>2900</v>
      </c>
      <c r="N393">
        <v>2</v>
      </c>
      <c r="O393" s="10">
        <v>44371</v>
      </c>
      <c r="P393">
        <v>1</v>
      </c>
      <c r="Q393">
        <v>36</v>
      </c>
      <c r="R393">
        <v>3</v>
      </c>
      <c r="S393">
        <v>60</v>
      </c>
      <c r="T393">
        <v>164</v>
      </c>
      <c r="U393">
        <v>67</v>
      </c>
      <c r="V393">
        <v>7</v>
      </c>
      <c r="W393">
        <v>1</v>
      </c>
      <c r="X393">
        <v>22.308149910767405</v>
      </c>
      <c r="Y393">
        <v>24.910767400356935</v>
      </c>
      <c r="Z393">
        <v>2.6026174895895302</v>
      </c>
      <c r="AA393">
        <v>2</v>
      </c>
      <c r="AB393">
        <v>2</v>
      </c>
      <c r="AC393" t="s">
        <v>33</v>
      </c>
      <c r="AD393">
        <v>3</v>
      </c>
      <c r="AE393">
        <v>0</v>
      </c>
      <c r="AG393">
        <v>5</v>
      </c>
      <c r="AH393">
        <v>1</v>
      </c>
      <c r="AI393">
        <v>1</v>
      </c>
      <c r="AJ393">
        <v>1</v>
      </c>
      <c r="AK393">
        <v>7</v>
      </c>
      <c r="AL393">
        <v>1</v>
      </c>
      <c r="AM393">
        <f>AJ393*AK393*AL393/7</f>
        <v>1</v>
      </c>
      <c r="AN393" t="s">
        <v>56</v>
      </c>
      <c r="AO393">
        <v>0</v>
      </c>
      <c r="AV393">
        <f>AU393+AM393</f>
        <v>1</v>
      </c>
      <c r="AX393">
        <v>0</v>
      </c>
      <c r="BE393">
        <f>AM393+AU393+BD393</f>
        <v>1</v>
      </c>
      <c r="BG393">
        <v>0</v>
      </c>
      <c r="BJ393" t="s">
        <v>36</v>
      </c>
      <c r="BK393">
        <v>4</v>
      </c>
      <c r="BL393">
        <v>1</v>
      </c>
      <c r="BM393">
        <v>1</v>
      </c>
      <c r="BN393" t="s">
        <v>37</v>
      </c>
      <c r="BO393">
        <v>4</v>
      </c>
      <c r="BP393">
        <v>110</v>
      </c>
      <c r="BQ393">
        <v>0.05</v>
      </c>
      <c r="BR393">
        <v>2</v>
      </c>
      <c r="BS393">
        <v>0.1</v>
      </c>
      <c r="BT393">
        <f>BS393+BD393+AU393+AM393</f>
        <v>1.1000000000000001</v>
      </c>
      <c r="BU393">
        <v>1</v>
      </c>
      <c r="BV393">
        <v>2</v>
      </c>
      <c r="BW393">
        <v>293</v>
      </c>
      <c r="BX393">
        <f>BW393/7</f>
        <v>41.857142857142854</v>
      </c>
      <c r="BY393">
        <f>0.77*BX393</f>
        <v>32.229999999999997</v>
      </c>
      <c r="BZ393">
        <f t="shared" si="6"/>
        <v>33.33</v>
      </c>
    </row>
    <row r="394" spans="1:78">
      <c r="A394" s="1">
        <v>45208.801260532404</v>
      </c>
      <c r="C394">
        <v>393</v>
      </c>
      <c r="D394" s="10">
        <v>33279</v>
      </c>
      <c r="E394">
        <v>32</v>
      </c>
      <c r="F394">
        <v>1</v>
      </c>
      <c r="G394">
        <v>2</v>
      </c>
      <c r="H394">
        <v>4</v>
      </c>
      <c r="I394" s="10">
        <v>44855</v>
      </c>
      <c r="J394">
        <v>2</v>
      </c>
      <c r="K394">
        <v>0</v>
      </c>
      <c r="L394">
        <v>2</v>
      </c>
      <c r="M394">
        <v>3450</v>
      </c>
      <c r="N394">
        <v>2</v>
      </c>
      <c r="O394" s="10">
        <v>44589</v>
      </c>
      <c r="P394">
        <v>0</v>
      </c>
      <c r="Q394">
        <v>38</v>
      </c>
      <c r="R394">
        <v>2</v>
      </c>
      <c r="S394">
        <v>68</v>
      </c>
      <c r="T394">
        <v>156</v>
      </c>
      <c r="U394">
        <v>58</v>
      </c>
      <c r="V394">
        <v>-10</v>
      </c>
      <c r="W394">
        <v>1</v>
      </c>
      <c r="X394">
        <v>27.94214332675871</v>
      </c>
      <c r="Y394">
        <v>23.83300460223537</v>
      </c>
      <c r="Z394">
        <v>-4.1091387245233406</v>
      </c>
      <c r="AA394">
        <v>3</v>
      </c>
      <c r="AB394">
        <v>2</v>
      </c>
      <c r="AC394" t="s">
        <v>33</v>
      </c>
      <c r="AD394">
        <v>3</v>
      </c>
      <c r="AE394">
        <v>0</v>
      </c>
      <c r="AG394">
        <v>5</v>
      </c>
      <c r="AH394">
        <v>1</v>
      </c>
      <c r="AI394">
        <v>13</v>
      </c>
      <c r="AJ394">
        <v>1</v>
      </c>
      <c r="AK394">
        <v>7</v>
      </c>
      <c r="AL394">
        <v>1</v>
      </c>
      <c r="AM394">
        <f>AJ394*AK394*AL394/7</f>
        <v>1</v>
      </c>
      <c r="AN394" t="s">
        <v>79</v>
      </c>
      <c r="AO394">
        <v>0</v>
      </c>
      <c r="AV394">
        <f>AU394+AM394</f>
        <v>1</v>
      </c>
      <c r="AX394">
        <v>0</v>
      </c>
      <c r="BE394">
        <f>AM394+AU394+BD394</f>
        <v>1</v>
      </c>
      <c r="BG394">
        <v>0</v>
      </c>
      <c r="BJ394" t="s">
        <v>54</v>
      </c>
      <c r="BK394">
        <v>2</v>
      </c>
      <c r="BL394">
        <v>2</v>
      </c>
      <c r="BM394">
        <v>1</v>
      </c>
      <c r="BN394" t="s">
        <v>30</v>
      </c>
      <c r="BO394">
        <v>1</v>
      </c>
      <c r="BP394">
        <v>42</v>
      </c>
      <c r="BQ394">
        <v>0.13</v>
      </c>
      <c r="BR394">
        <v>0.5</v>
      </c>
      <c r="BS394">
        <v>6.5000000000000002E-2</v>
      </c>
      <c r="BT394">
        <f>BS394+BD394+AU394+AM394</f>
        <v>1.0649999999999999</v>
      </c>
      <c r="BU394">
        <v>1</v>
      </c>
      <c r="BV394">
        <v>5</v>
      </c>
      <c r="BW394">
        <v>732.5</v>
      </c>
      <c r="BX394">
        <f>BW394/7</f>
        <v>104.64285714285714</v>
      </c>
      <c r="BY394">
        <f>0.77*BX394</f>
        <v>80.575000000000003</v>
      </c>
      <c r="BZ394">
        <f t="shared" si="6"/>
        <v>81.64</v>
      </c>
    </row>
    <row r="395" spans="1:78">
      <c r="A395" s="1">
        <v>45208.831761956018</v>
      </c>
      <c r="C395">
        <v>394</v>
      </c>
      <c r="D395" s="10">
        <v>32054</v>
      </c>
      <c r="E395">
        <v>36</v>
      </c>
      <c r="F395">
        <v>1</v>
      </c>
      <c r="G395">
        <v>12</v>
      </c>
      <c r="H395">
        <v>2</v>
      </c>
      <c r="I395" s="10">
        <v>44348</v>
      </c>
      <c r="J395">
        <v>3</v>
      </c>
      <c r="K395">
        <v>0</v>
      </c>
      <c r="L395">
        <v>2</v>
      </c>
      <c r="M395">
        <v>2550</v>
      </c>
      <c r="N395">
        <v>2</v>
      </c>
      <c r="O395" s="10">
        <v>44089</v>
      </c>
      <c r="P395">
        <v>1</v>
      </c>
      <c r="Q395">
        <v>37</v>
      </c>
      <c r="R395">
        <v>2</v>
      </c>
      <c r="S395">
        <v>109</v>
      </c>
      <c r="T395">
        <v>157</v>
      </c>
      <c r="U395">
        <v>98</v>
      </c>
      <c r="V395">
        <v>-11</v>
      </c>
      <c r="W395">
        <v>1</v>
      </c>
      <c r="X395">
        <v>44.220860886851391</v>
      </c>
      <c r="Y395">
        <v>39.758205201022349</v>
      </c>
      <c r="Z395">
        <v>-4.4626556858290414</v>
      </c>
      <c r="AA395">
        <v>4</v>
      </c>
      <c r="AB395">
        <v>4</v>
      </c>
      <c r="AC395" t="s">
        <v>44</v>
      </c>
      <c r="AD395">
        <v>1</v>
      </c>
      <c r="AE395">
        <v>0</v>
      </c>
      <c r="AG395">
        <v>5</v>
      </c>
      <c r="AH395">
        <v>1</v>
      </c>
      <c r="AI395">
        <v>1</v>
      </c>
      <c r="AJ395">
        <v>1</v>
      </c>
      <c r="AK395">
        <v>7</v>
      </c>
      <c r="AL395">
        <v>1</v>
      </c>
      <c r="AM395">
        <f>AJ395*AK395*AL395/7</f>
        <v>1</v>
      </c>
      <c r="AN395" t="s">
        <v>56</v>
      </c>
      <c r="AO395">
        <v>0</v>
      </c>
      <c r="AV395">
        <f>AU395+AM395</f>
        <v>1</v>
      </c>
      <c r="AX395">
        <v>0</v>
      </c>
      <c r="BE395">
        <f>AM395+AU395+BD395</f>
        <v>1</v>
      </c>
      <c r="BG395">
        <v>0</v>
      </c>
      <c r="BJ395" t="s">
        <v>28</v>
      </c>
      <c r="BK395">
        <v>3</v>
      </c>
      <c r="BL395">
        <v>1</v>
      </c>
      <c r="BM395">
        <v>1</v>
      </c>
      <c r="BN395" t="s">
        <v>63</v>
      </c>
      <c r="BO395">
        <v>5</v>
      </c>
      <c r="BP395">
        <v>48</v>
      </c>
      <c r="BQ395">
        <v>0.06</v>
      </c>
      <c r="BR395">
        <v>1</v>
      </c>
      <c r="BS395">
        <v>0.06</v>
      </c>
      <c r="BT395">
        <f>BS395+BD395+AU395+AM395</f>
        <v>1.06</v>
      </c>
      <c r="BU395">
        <v>1</v>
      </c>
      <c r="BV395">
        <v>0.5</v>
      </c>
      <c r="BW395">
        <v>73.25</v>
      </c>
      <c r="BX395">
        <f>BW395/7</f>
        <v>10.464285714285714</v>
      </c>
      <c r="BY395">
        <f>0.77*BX395</f>
        <v>8.0574999999999992</v>
      </c>
      <c r="BZ395">
        <f t="shared" si="6"/>
        <v>9.1174999999999997</v>
      </c>
    </row>
    <row r="396" spans="1:78">
      <c r="A396" s="1">
        <v>45208.853150092589</v>
      </c>
      <c r="C396">
        <v>395</v>
      </c>
      <c r="D396" s="10">
        <v>32338</v>
      </c>
      <c r="E396">
        <v>35</v>
      </c>
      <c r="F396">
        <v>1</v>
      </c>
      <c r="G396">
        <v>1</v>
      </c>
      <c r="H396">
        <v>3</v>
      </c>
      <c r="I396" s="10">
        <v>44939</v>
      </c>
      <c r="J396">
        <v>3</v>
      </c>
      <c r="K396">
        <v>0</v>
      </c>
      <c r="L396">
        <v>2</v>
      </c>
      <c r="M396">
        <v>3550</v>
      </c>
      <c r="N396">
        <v>2</v>
      </c>
      <c r="O396" s="10">
        <v>44673</v>
      </c>
      <c r="P396">
        <v>0</v>
      </c>
      <c r="Q396">
        <v>38</v>
      </c>
      <c r="R396">
        <v>2</v>
      </c>
      <c r="S396">
        <v>85</v>
      </c>
      <c r="T396">
        <v>150</v>
      </c>
      <c r="U396">
        <v>90</v>
      </c>
      <c r="V396">
        <v>5</v>
      </c>
      <c r="W396">
        <v>1</v>
      </c>
      <c r="X396">
        <v>37.777777777777779</v>
      </c>
      <c r="Y396">
        <v>40</v>
      </c>
      <c r="Z396">
        <v>2.2222222222222214</v>
      </c>
      <c r="AA396">
        <v>4</v>
      </c>
      <c r="AB396">
        <v>4</v>
      </c>
      <c r="AC396" t="s">
        <v>33</v>
      </c>
      <c r="AD396">
        <v>3</v>
      </c>
      <c r="AE396">
        <v>0</v>
      </c>
      <c r="AG396">
        <v>5</v>
      </c>
      <c r="AH396">
        <v>1</v>
      </c>
      <c r="AI396">
        <v>13</v>
      </c>
      <c r="AJ396">
        <v>1</v>
      </c>
      <c r="AK396">
        <v>7</v>
      </c>
      <c r="AL396">
        <v>1</v>
      </c>
      <c r="AM396">
        <f>AJ396*AK396*AL396/7</f>
        <v>1</v>
      </c>
      <c r="AN396" t="s">
        <v>79</v>
      </c>
      <c r="AO396">
        <v>0</v>
      </c>
      <c r="AV396">
        <f>AU396+AM396</f>
        <v>1</v>
      </c>
      <c r="AX396">
        <v>0</v>
      </c>
      <c r="BE396">
        <f>AM396+AU396+BD396</f>
        <v>1</v>
      </c>
      <c r="BG396">
        <v>0</v>
      </c>
      <c r="BJ396" t="s">
        <v>49</v>
      </c>
      <c r="BK396">
        <v>5</v>
      </c>
      <c r="BL396">
        <v>1</v>
      </c>
      <c r="BM396">
        <v>1</v>
      </c>
      <c r="BN396" t="s">
        <v>55</v>
      </c>
      <c r="BO396">
        <v>2</v>
      </c>
      <c r="BP396">
        <v>201</v>
      </c>
      <c r="BQ396">
        <v>0.1</v>
      </c>
      <c r="BR396">
        <v>3</v>
      </c>
      <c r="BS396">
        <v>0.30000000000000004</v>
      </c>
      <c r="BT396">
        <f>BS396+BD396+AU396+AM396</f>
        <v>1.3</v>
      </c>
      <c r="BU396">
        <v>1</v>
      </c>
      <c r="BV396">
        <v>4</v>
      </c>
      <c r="BW396">
        <v>586</v>
      </c>
      <c r="BX396">
        <f>BW396/7</f>
        <v>83.714285714285708</v>
      </c>
      <c r="BY396">
        <f>0.77*BX396</f>
        <v>64.459999999999994</v>
      </c>
      <c r="BZ396">
        <f t="shared" si="6"/>
        <v>65.759999999999991</v>
      </c>
    </row>
    <row r="397" spans="1:78">
      <c r="A397" s="1">
        <v>45208.854666053245</v>
      </c>
      <c r="C397">
        <v>396</v>
      </c>
      <c r="D397" s="10">
        <v>33219</v>
      </c>
      <c r="E397">
        <v>32</v>
      </c>
      <c r="F397">
        <v>1</v>
      </c>
      <c r="G397">
        <v>1</v>
      </c>
      <c r="H397">
        <v>4</v>
      </c>
      <c r="I397" s="10">
        <v>44654</v>
      </c>
      <c r="J397">
        <v>4</v>
      </c>
      <c r="K397">
        <v>0</v>
      </c>
      <c r="L397">
        <v>2</v>
      </c>
      <c r="M397">
        <v>3530</v>
      </c>
      <c r="N397">
        <v>2</v>
      </c>
      <c r="O397" s="10">
        <v>44385</v>
      </c>
      <c r="P397">
        <v>1</v>
      </c>
      <c r="Q397">
        <v>38.428571428571431</v>
      </c>
      <c r="R397">
        <v>2</v>
      </c>
      <c r="S397">
        <v>78</v>
      </c>
      <c r="T397">
        <v>162</v>
      </c>
      <c r="U397">
        <v>92</v>
      </c>
      <c r="V397">
        <v>14</v>
      </c>
      <c r="W397">
        <v>3</v>
      </c>
      <c r="X397">
        <v>29.721079103795148</v>
      </c>
      <c r="Y397">
        <v>35.055631763450684</v>
      </c>
      <c r="Z397">
        <v>5.3345526596555359</v>
      </c>
      <c r="AA397">
        <v>3</v>
      </c>
      <c r="AB397">
        <v>4</v>
      </c>
      <c r="AC397" t="s">
        <v>33</v>
      </c>
      <c r="AD397">
        <v>3</v>
      </c>
      <c r="AE397">
        <v>0</v>
      </c>
      <c r="AG397">
        <v>5</v>
      </c>
      <c r="AH397">
        <v>0</v>
      </c>
      <c r="AI397">
        <v>0</v>
      </c>
      <c r="AO397">
        <v>0</v>
      </c>
      <c r="AX397">
        <v>0</v>
      </c>
      <c r="BG397">
        <v>0</v>
      </c>
      <c r="BJ397" t="s">
        <v>51</v>
      </c>
      <c r="BK397">
        <v>1</v>
      </c>
      <c r="BL397">
        <v>1</v>
      </c>
      <c r="BM397">
        <v>1</v>
      </c>
      <c r="BN397" t="s">
        <v>55</v>
      </c>
      <c r="BO397">
        <v>2</v>
      </c>
      <c r="BP397">
        <v>201</v>
      </c>
      <c r="BQ397">
        <v>0.1</v>
      </c>
      <c r="BR397">
        <v>3</v>
      </c>
      <c r="BS397">
        <v>0.30000000000000004</v>
      </c>
      <c r="BT397">
        <f>BS397+BD397+AU397+AM397</f>
        <v>0.30000000000000004</v>
      </c>
      <c r="BU397">
        <v>1</v>
      </c>
      <c r="BV397">
        <v>4</v>
      </c>
      <c r="BW397">
        <v>586</v>
      </c>
      <c r="BX397">
        <f>BW397/7</f>
        <v>83.714285714285708</v>
      </c>
      <c r="BY397">
        <f>0.77*BX397</f>
        <v>64.459999999999994</v>
      </c>
      <c r="BZ397">
        <f t="shared" si="6"/>
        <v>64.759999999999991</v>
      </c>
    </row>
    <row r="398" spans="1:78">
      <c r="A398" s="1">
        <v>45208.859136817133</v>
      </c>
      <c r="C398">
        <v>397</v>
      </c>
      <c r="D398" s="10">
        <v>36085</v>
      </c>
      <c r="E398">
        <v>24</v>
      </c>
      <c r="F398">
        <v>1</v>
      </c>
      <c r="G398">
        <v>1</v>
      </c>
      <c r="H398">
        <v>4</v>
      </c>
      <c r="I398" s="10">
        <v>44464</v>
      </c>
      <c r="J398">
        <v>1</v>
      </c>
      <c r="K398">
        <v>1</v>
      </c>
      <c r="L398">
        <v>1</v>
      </c>
      <c r="M398">
        <v>3219</v>
      </c>
      <c r="N398">
        <v>2</v>
      </c>
      <c r="O398" s="10">
        <v>44198</v>
      </c>
      <c r="P398">
        <v>1</v>
      </c>
      <c r="Q398">
        <v>38</v>
      </c>
      <c r="R398">
        <v>2</v>
      </c>
      <c r="S398">
        <v>75</v>
      </c>
      <c r="T398">
        <v>162</v>
      </c>
      <c r="U398">
        <v>80</v>
      </c>
      <c r="V398">
        <v>5</v>
      </c>
      <c r="W398">
        <v>1</v>
      </c>
      <c r="X398">
        <v>28.577960676726104</v>
      </c>
      <c r="Y398">
        <v>30.48315805517451</v>
      </c>
      <c r="Z398">
        <v>1.9051973784484062</v>
      </c>
      <c r="AA398">
        <v>3</v>
      </c>
      <c r="AB398">
        <v>4</v>
      </c>
      <c r="AC398" t="s">
        <v>33</v>
      </c>
      <c r="AD398">
        <v>3</v>
      </c>
      <c r="AE398">
        <v>0</v>
      </c>
      <c r="AG398">
        <v>5</v>
      </c>
      <c r="AH398">
        <v>1</v>
      </c>
      <c r="AI398">
        <v>13</v>
      </c>
      <c r="AJ398">
        <v>1</v>
      </c>
      <c r="AK398">
        <v>7</v>
      </c>
      <c r="AL398">
        <v>1</v>
      </c>
      <c r="AM398">
        <f>AJ398*AK398*AL398/7</f>
        <v>1</v>
      </c>
      <c r="AN398" t="s">
        <v>79</v>
      </c>
      <c r="AO398">
        <v>1</v>
      </c>
      <c r="AP398">
        <v>21</v>
      </c>
      <c r="AQ398" t="s">
        <v>238</v>
      </c>
      <c r="AR398">
        <v>0.35499999999999998</v>
      </c>
      <c r="AS398">
        <v>7</v>
      </c>
      <c r="AT398">
        <v>2</v>
      </c>
      <c r="AU398">
        <f>AR398*AS398*AT398/7</f>
        <v>0.71</v>
      </c>
      <c r="AV398">
        <f>AU398+AM398</f>
        <v>1.71</v>
      </c>
      <c r="AW398" t="s">
        <v>238</v>
      </c>
      <c r="AX398">
        <v>0</v>
      </c>
      <c r="BE398">
        <f>AM398+AU398+BD398</f>
        <v>1.71</v>
      </c>
      <c r="BG398">
        <v>0</v>
      </c>
      <c r="BJ398" t="s">
        <v>42</v>
      </c>
      <c r="BK398">
        <v>6</v>
      </c>
      <c r="BL398">
        <v>3</v>
      </c>
      <c r="BM398">
        <v>1</v>
      </c>
      <c r="BN398" t="s">
        <v>30</v>
      </c>
      <c r="BO398">
        <v>1</v>
      </c>
      <c r="BP398">
        <v>168</v>
      </c>
      <c r="BQ398">
        <v>0.13</v>
      </c>
      <c r="BR398">
        <v>2</v>
      </c>
      <c r="BS398">
        <v>0.26</v>
      </c>
      <c r="BT398">
        <f>BS398+BD398+AU398+AM398</f>
        <v>1.97</v>
      </c>
      <c r="BU398">
        <v>1</v>
      </c>
      <c r="BV398">
        <v>2</v>
      </c>
      <c r="BW398">
        <v>293</v>
      </c>
      <c r="BX398">
        <f>BW398/7</f>
        <v>41.857142857142854</v>
      </c>
      <c r="BY398">
        <f>0.77*BX398</f>
        <v>32.229999999999997</v>
      </c>
      <c r="BZ398">
        <f t="shared" si="6"/>
        <v>34.199999999999996</v>
      </c>
    </row>
    <row r="399" spans="1:78">
      <c r="A399" s="1">
        <v>45208.865294849536</v>
      </c>
      <c r="C399">
        <v>398</v>
      </c>
      <c r="D399" s="10">
        <v>32843</v>
      </c>
      <c r="E399">
        <v>33</v>
      </c>
      <c r="F399">
        <v>1</v>
      </c>
      <c r="G399">
        <v>1</v>
      </c>
      <c r="H399">
        <v>5</v>
      </c>
      <c r="I399" s="10">
        <v>44251</v>
      </c>
      <c r="J399">
        <v>2</v>
      </c>
      <c r="K399">
        <v>0</v>
      </c>
      <c r="L399">
        <v>2</v>
      </c>
      <c r="M399">
        <v>3930</v>
      </c>
      <c r="N399">
        <v>2</v>
      </c>
      <c r="O399" s="10">
        <v>43985</v>
      </c>
      <c r="P399">
        <v>1</v>
      </c>
      <c r="Q399">
        <v>38</v>
      </c>
      <c r="R399">
        <v>2</v>
      </c>
      <c r="S399">
        <v>72</v>
      </c>
      <c r="T399">
        <v>168</v>
      </c>
      <c r="U399">
        <v>84</v>
      </c>
      <c r="V399">
        <v>12</v>
      </c>
      <c r="W399">
        <v>3</v>
      </c>
      <c r="X399">
        <v>25.510204081632658</v>
      </c>
      <c r="Y399">
        <v>29.761904761904766</v>
      </c>
      <c r="Z399">
        <v>4.2517006802721085</v>
      </c>
      <c r="AA399">
        <v>3</v>
      </c>
      <c r="AB399">
        <v>3</v>
      </c>
      <c r="AC399" t="s">
        <v>44</v>
      </c>
      <c r="AD399">
        <v>1</v>
      </c>
      <c r="AE399">
        <v>1</v>
      </c>
      <c r="AF399" t="s">
        <v>303</v>
      </c>
      <c r="AG399">
        <v>2</v>
      </c>
      <c r="AH399">
        <v>0</v>
      </c>
      <c r="AI399">
        <v>0</v>
      </c>
      <c r="AN399" t="s">
        <v>41</v>
      </c>
      <c r="AO399">
        <v>0</v>
      </c>
      <c r="AW399" t="s">
        <v>58</v>
      </c>
      <c r="AX399">
        <v>1</v>
      </c>
      <c r="AY399" t="s">
        <v>58</v>
      </c>
      <c r="AZ399">
        <v>1</v>
      </c>
      <c r="BA399">
        <v>0.8</v>
      </c>
      <c r="BB399">
        <v>7</v>
      </c>
      <c r="BC399">
        <v>1</v>
      </c>
      <c r="BD399">
        <f>BA399*BB399*1/7</f>
        <v>0.8</v>
      </c>
      <c r="BE399">
        <f>AM399+AU399+BD399</f>
        <v>0.8</v>
      </c>
      <c r="BF399" t="s">
        <v>58</v>
      </c>
      <c r="BG399">
        <v>0</v>
      </c>
      <c r="BH399">
        <v>7</v>
      </c>
      <c r="BI399">
        <v>1</v>
      </c>
      <c r="BJ399" t="s">
        <v>42</v>
      </c>
      <c r="BK399">
        <v>6</v>
      </c>
      <c r="BL399">
        <v>1</v>
      </c>
      <c r="BM399">
        <v>1</v>
      </c>
      <c r="BN399" t="s">
        <v>55</v>
      </c>
      <c r="BO399">
        <v>2</v>
      </c>
      <c r="BP399">
        <v>134</v>
      </c>
      <c r="BQ399">
        <v>0.1</v>
      </c>
      <c r="BR399">
        <v>2</v>
      </c>
      <c r="BS399">
        <v>0.2</v>
      </c>
      <c r="BT399">
        <f>BS399+BD399+AU399+AM399</f>
        <v>1</v>
      </c>
      <c r="BU399">
        <v>1</v>
      </c>
      <c r="BV399">
        <v>2</v>
      </c>
      <c r="BW399">
        <v>293</v>
      </c>
      <c r="BX399">
        <f>BW399/7</f>
        <v>41.857142857142854</v>
      </c>
      <c r="BY399">
        <f>0.77*BX399</f>
        <v>32.229999999999997</v>
      </c>
      <c r="BZ399">
        <f t="shared" si="6"/>
        <v>33.229999999999997</v>
      </c>
    </row>
    <row r="400" spans="1:78">
      <c r="A400" s="1">
        <v>45208.878734097219</v>
      </c>
      <c r="C400">
        <v>399</v>
      </c>
      <c r="D400" s="10">
        <v>32049</v>
      </c>
      <c r="E400">
        <v>36</v>
      </c>
      <c r="F400">
        <v>1</v>
      </c>
      <c r="G400">
        <v>13</v>
      </c>
      <c r="H400">
        <v>4</v>
      </c>
      <c r="I400" s="10">
        <v>44743</v>
      </c>
      <c r="J400">
        <v>3</v>
      </c>
      <c r="K400">
        <v>0</v>
      </c>
      <c r="L400">
        <v>1</v>
      </c>
      <c r="M400">
        <v>3250</v>
      </c>
      <c r="N400">
        <v>2</v>
      </c>
      <c r="O400" s="10">
        <v>44485</v>
      </c>
      <c r="P400">
        <v>1</v>
      </c>
      <c r="Q400">
        <v>36.857142857142854</v>
      </c>
      <c r="R400">
        <v>3</v>
      </c>
      <c r="S400">
        <v>75</v>
      </c>
      <c r="T400">
        <v>160</v>
      </c>
      <c r="U400">
        <v>95</v>
      </c>
      <c r="V400">
        <v>20</v>
      </c>
      <c r="W400">
        <v>3</v>
      </c>
      <c r="X400">
        <v>29.296874999999993</v>
      </c>
      <c r="Y400">
        <v>37.109374999999993</v>
      </c>
      <c r="Z400">
        <v>7.8125</v>
      </c>
      <c r="AA400">
        <v>3</v>
      </c>
      <c r="AB400">
        <v>4</v>
      </c>
      <c r="AC400" t="s">
        <v>25</v>
      </c>
      <c r="AD400">
        <v>1</v>
      </c>
      <c r="AE400">
        <v>0</v>
      </c>
      <c r="AG400">
        <v>5</v>
      </c>
      <c r="AH400">
        <v>1</v>
      </c>
      <c r="AI400">
        <v>5</v>
      </c>
      <c r="AJ400">
        <v>5</v>
      </c>
      <c r="AK400">
        <v>7</v>
      </c>
      <c r="AL400">
        <v>1</v>
      </c>
      <c r="AM400">
        <f>AJ400*AK400*AL400/7</f>
        <v>5</v>
      </c>
      <c r="AN400" t="s">
        <v>27</v>
      </c>
      <c r="AO400">
        <v>0</v>
      </c>
      <c r="AV400">
        <f>AU400+AM400</f>
        <v>5</v>
      </c>
      <c r="AW400" t="s">
        <v>304</v>
      </c>
      <c r="AX400">
        <v>0</v>
      </c>
      <c r="BE400">
        <f>AM400+AU400+BD400</f>
        <v>5</v>
      </c>
      <c r="BF400" t="s">
        <v>304</v>
      </c>
      <c r="BG400">
        <v>1</v>
      </c>
      <c r="BH400">
        <v>7</v>
      </c>
      <c r="BI400">
        <v>1</v>
      </c>
      <c r="BJ400" t="s">
        <v>114</v>
      </c>
      <c r="BK400">
        <v>6</v>
      </c>
      <c r="BL400">
        <v>3</v>
      </c>
      <c r="BM400">
        <v>1</v>
      </c>
      <c r="BN400" t="s">
        <v>30</v>
      </c>
      <c r="BO400">
        <v>1</v>
      </c>
      <c r="BP400">
        <v>84</v>
      </c>
      <c r="BQ400">
        <v>0.13</v>
      </c>
      <c r="BR400">
        <v>1</v>
      </c>
      <c r="BS400">
        <v>0.13</v>
      </c>
      <c r="BT400">
        <f>BS400+BD400+AU400+AM400</f>
        <v>5.13</v>
      </c>
      <c r="BU400">
        <v>1</v>
      </c>
      <c r="BV400">
        <v>1</v>
      </c>
      <c r="BW400">
        <v>146.5</v>
      </c>
      <c r="BX400">
        <f>BW400/7</f>
        <v>20.928571428571427</v>
      </c>
      <c r="BY400">
        <f>0.77*BX400</f>
        <v>16.114999999999998</v>
      </c>
      <c r="BZ400">
        <f t="shared" si="6"/>
        <v>21.244999999999997</v>
      </c>
    </row>
    <row r="401" spans="1:78">
      <c r="A401" s="1">
        <v>45208.882782303241</v>
      </c>
      <c r="C401">
        <v>400</v>
      </c>
      <c r="D401" s="10">
        <v>32075</v>
      </c>
      <c r="E401">
        <v>35</v>
      </c>
      <c r="F401">
        <v>1</v>
      </c>
      <c r="G401">
        <v>10</v>
      </c>
      <c r="H401">
        <v>5</v>
      </c>
      <c r="I401" s="10">
        <v>45078</v>
      </c>
      <c r="J401">
        <v>3</v>
      </c>
      <c r="K401">
        <v>0</v>
      </c>
      <c r="L401">
        <v>1</v>
      </c>
      <c r="M401">
        <v>3190</v>
      </c>
      <c r="N401">
        <v>2</v>
      </c>
      <c r="O401" s="10">
        <v>44807</v>
      </c>
      <c r="P401">
        <v>0</v>
      </c>
      <c r="Q401">
        <v>38.714285714285715</v>
      </c>
      <c r="R401">
        <v>2</v>
      </c>
      <c r="S401">
        <v>88</v>
      </c>
      <c r="T401">
        <v>165</v>
      </c>
      <c r="U401">
        <v>99</v>
      </c>
      <c r="V401">
        <v>11</v>
      </c>
      <c r="W401">
        <v>2</v>
      </c>
      <c r="X401">
        <v>32.323232323232325</v>
      </c>
      <c r="Y401">
        <v>36.363636363636367</v>
      </c>
      <c r="Z401">
        <v>4.0404040404040416</v>
      </c>
      <c r="AA401">
        <v>4</v>
      </c>
      <c r="AB401">
        <v>4</v>
      </c>
      <c r="AC401" t="s">
        <v>33</v>
      </c>
      <c r="AD401">
        <v>3</v>
      </c>
      <c r="AE401">
        <v>0</v>
      </c>
      <c r="AG401">
        <v>5</v>
      </c>
      <c r="AH401">
        <v>1</v>
      </c>
      <c r="AI401">
        <v>4</v>
      </c>
      <c r="AJ401">
        <v>1</v>
      </c>
      <c r="AK401">
        <v>7</v>
      </c>
      <c r="AL401">
        <v>1</v>
      </c>
      <c r="AM401">
        <f>AJ401*AK401*AL401/7</f>
        <v>1</v>
      </c>
      <c r="AN401" t="s">
        <v>43</v>
      </c>
      <c r="AO401">
        <v>0</v>
      </c>
      <c r="AV401">
        <f>AU401+AM401</f>
        <v>1</v>
      </c>
      <c r="AW401" t="s">
        <v>305</v>
      </c>
      <c r="AX401">
        <v>1</v>
      </c>
      <c r="AY401" t="s">
        <v>305</v>
      </c>
      <c r="AZ401">
        <v>6</v>
      </c>
      <c r="BA401">
        <v>0.3</v>
      </c>
      <c r="BB401">
        <v>7</v>
      </c>
      <c r="BC401">
        <v>1</v>
      </c>
      <c r="BD401">
        <f>BA401*BB401*1/7</f>
        <v>0.3</v>
      </c>
      <c r="BE401">
        <f>AM401+AU401+BD401</f>
        <v>1.3</v>
      </c>
      <c r="BF401" t="s">
        <v>305</v>
      </c>
      <c r="BG401">
        <v>0</v>
      </c>
      <c r="BH401">
        <v>7</v>
      </c>
      <c r="BI401">
        <v>1</v>
      </c>
      <c r="BJ401" t="s">
        <v>28</v>
      </c>
      <c r="BK401">
        <v>3</v>
      </c>
      <c r="BL401">
        <v>1</v>
      </c>
      <c r="BM401">
        <v>1</v>
      </c>
      <c r="BN401" t="s">
        <v>55</v>
      </c>
      <c r="BO401">
        <v>2</v>
      </c>
      <c r="BP401">
        <v>201</v>
      </c>
      <c r="BQ401">
        <v>0.1</v>
      </c>
      <c r="BR401">
        <v>3</v>
      </c>
      <c r="BS401">
        <v>0.30000000000000004</v>
      </c>
      <c r="BT401">
        <f>BS401+BD401+AU401+AM401</f>
        <v>1.6</v>
      </c>
      <c r="BU401">
        <v>1</v>
      </c>
      <c r="BV401">
        <v>2</v>
      </c>
      <c r="BW401">
        <v>293</v>
      </c>
      <c r="BX401">
        <f>BW401/7</f>
        <v>41.857142857142854</v>
      </c>
      <c r="BY401">
        <f>0.77*BX401</f>
        <v>32.229999999999997</v>
      </c>
      <c r="BZ401">
        <f t="shared" si="6"/>
        <v>33.83</v>
      </c>
    </row>
    <row r="402" spans="1:78">
      <c r="A402" s="1">
        <v>45208.888441111107</v>
      </c>
      <c r="C402">
        <v>401</v>
      </c>
      <c r="D402" s="10">
        <v>32635</v>
      </c>
      <c r="E402">
        <v>34</v>
      </c>
      <c r="F402">
        <v>1</v>
      </c>
      <c r="G402">
        <v>2</v>
      </c>
      <c r="H402">
        <v>5</v>
      </c>
      <c r="I402" s="10">
        <v>44642</v>
      </c>
      <c r="J402">
        <v>1</v>
      </c>
      <c r="K402">
        <v>1</v>
      </c>
      <c r="L402">
        <v>2</v>
      </c>
      <c r="M402">
        <v>3050</v>
      </c>
      <c r="N402">
        <v>2</v>
      </c>
      <c r="O402" s="10">
        <v>44374</v>
      </c>
      <c r="P402">
        <v>1</v>
      </c>
      <c r="Q402">
        <v>38.285714285714285</v>
      </c>
      <c r="R402">
        <v>2</v>
      </c>
      <c r="S402">
        <v>80</v>
      </c>
      <c r="T402">
        <v>157</v>
      </c>
      <c r="U402">
        <v>91</v>
      </c>
      <c r="V402">
        <v>11</v>
      </c>
      <c r="W402">
        <v>2</v>
      </c>
      <c r="X402">
        <v>32.455677715120288</v>
      </c>
      <c r="Y402">
        <v>36.918333400949329</v>
      </c>
      <c r="Z402">
        <v>4.4626556858290414</v>
      </c>
      <c r="AA402">
        <v>4</v>
      </c>
      <c r="AB402">
        <v>4</v>
      </c>
      <c r="AC402" t="s">
        <v>44</v>
      </c>
      <c r="AD402">
        <v>1</v>
      </c>
      <c r="AE402">
        <v>0</v>
      </c>
      <c r="AG402">
        <v>5</v>
      </c>
      <c r="AH402">
        <v>1</v>
      </c>
      <c r="AI402">
        <v>2</v>
      </c>
      <c r="AJ402">
        <v>5</v>
      </c>
      <c r="AK402">
        <v>7</v>
      </c>
      <c r="AL402">
        <v>1</v>
      </c>
      <c r="AM402">
        <f>AJ402*AK402*AL402/7</f>
        <v>5</v>
      </c>
      <c r="AN402" t="s">
        <v>57</v>
      </c>
      <c r="AO402">
        <v>0</v>
      </c>
      <c r="AV402">
        <f>AU402+AM402</f>
        <v>5</v>
      </c>
      <c r="AW402" t="s">
        <v>203</v>
      </c>
      <c r="AX402">
        <v>0</v>
      </c>
      <c r="BE402">
        <f>AM402+AU402+BD402</f>
        <v>5</v>
      </c>
      <c r="BF402" t="s">
        <v>203</v>
      </c>
      <c r="BG402">
        <v>1</v>
      </c>
      <c r="BH402">
        <v>7</v>
      </c>
      <c r="BI402">
        <v>1</v>
      </c>
      <c r="BJ402" t="s">
        <v>114</v>
      </c>
      <c r="BK402">
        <v>6</v>
      </c>
      <c r="BL402">
        <v>3</v>
      </c>
      <c r="BM402">
        <v>1</v>
      </c>
      <c r="BN402" t="s">
        <v>55</v>
      </c>
      <c r="BO402">
        <v>2</v>
      </c>
      <c r="BP402">
        <v>134</v>
      </c>
      <c r="BQ402">
        <v>0.1</v>
      </c>
      <c r="BR402">
        <v>2</v>
      </c>
      <c r="BS402">
        <v>0.2</v>
      </c>
      <c r="BT402">
        <f>BS402+BD402+AU402+AM402</f>
        <v>5.2</v>
      </c>
      <c r="BU402">
        <v>1</v>
      </c>
      <c r="BV402">
        <v>1</v>
      </c>
      <c r="BW402">
        <v>146.5</v>
      </c>
      <c r="BX402">
        <f>BW402/7</f>
        <v>20.928571428571427</v>
      </c>
      <c r="BY402">
        <f>0.77*BX402</f>
        <v>16.114999999999998</v>
      </c>
      <c r="BZ402">
        <f t="shared" si="6"/>
        <v>21.314999999999998</v>
      </c>
    </row>
    <row r="403" spans="1:78">
      <c r="A403" s="1">
        <v>45208.898701122685</v>
      </c>
      <c r="C403">
        <v>402</v>
      </c>
      <c r="D403" s="10">
        <v>31525</v>
      </c>
      <c r="E403">
        <v>37</v>
      </c>
      <c r="F403">
        <v>1</v>
      </c>
      <c r="G403">
        <v>10</v>
      </c>
      <c r="H403">
        <v>4</v>
      </c>
      <c r="I403" s="10">
        <v>43309</v>
      </c>
      <c r="J403">
        <v>2</v>
      </c>
      <c r="K403">
        <v>0</v>
      </c>
      <c r="L403">
        <v>2</v>
      </c>
      <c r="M403">
        <v>3870</v>
      </c>
      <c r="N403">
        <v>2</v>
      </c>
      <c r="O403" s="10">
        <v>43028</v>
      </c>
      <c r="P403">
        <v>0</v>
      </c>
      <c r="Q403">
        <v>40.142857142857146</v>
      </c>
      <c r="R403">
        <v>2</v>
      </c>
      <c r="S403">
        <v>82</v>
      </c>
      <c r="T403">
        <v>160</v>
      </c>
      <c r="U403">
        <v>92.1</v>
      </c>
      <c r="V403">
        <v>10.099999999999994</v>
      </c>
      <c r="W403">
        <v>2</v>
      </c>
      <c r="X403">
        <v>32.031249999999993</v>
      </c>
      <c r="Y403">
        <v>35.976562499999993</v>
      </c>
      <c r="Z403">
        <v>3.9453125</v>
      </c>
      <c r="AA403">
        <v>4</v>
      </c>
      <c r="AB403">
        <v>4</v>
      </c>
      <c r="AC403" t="s">
        <v>33</v>
      </c>
      <c r="AD403">
        <v>3</v>
      </c>
      <c r="AE403">
        <v>0</v>
      </c>
      <c r="AG403">
        <v>5</v>
      </c>
      <c r="AH403">
        <v>1</v>
      </c>
      <c r="AI403">
        <v>17</v>
      </c>
      <c r="AJ403">
        <v>0.6</v>
      </c>
      <c r="AK403">
        <v>7</v>
      </c>
      <c r="AL403">
        <v>1</v>
      </c>
      <c r="AM403">
        <f>AJ403*AK403*AL403/7</f>
        <v>0.6</v>
      </c>
      <c r="AN403" t="s">
        <v>307</v>
      </c>
      <c r="AO403">
        <v>0</v>
      </c>
      <c r="AV403">
        <f>AU403+AM403</f>
        <v>0.6</v>
      </c>
      <c r="AW403" t="s">
        <v>308</v>
      </c>
      <c r="AX403">
        <v>0</v>
      </c>
      <c r="BE403">
        <f>AM403+AU403+BD403</f>
        <v>0.6</v>
      </c>
      <c r="BF403" t="s">
        <v>308</v>
      </c>
      <c r="BG403">
        <v>1</v>
      </c>
      <c r="BH403">
        <v>7</v>
      </c>
      <c r="BI403">
        <v>1</v>
      </c>
      <c r="BJ403" t="s">
        <v>36</v>
      </c>
      <c r="BK403">
        <v>4</v>
      </c>
      <c r="BL403">
        <v>1</v>
      </c>
      <c r="BM403">
        <v>1</v>
      </c>
      <c r="BN403" t="s">
        <v>37</v>
      </c>
      <c r="BO403">
        <v>4</v>
      </c>
      <c r="BP403">
        <v>110</v>
      </c>
      <c r="BQ403">
        <v>0.05</v>
      </c>
      <c r="BR403">
        <v>2</v>
      </c>
      <c r="BS403">
        <v>0.1</v>
      </c>
      <c r="BT403">
        <f>BS403+BD403+AU403+AM403</f>
        <v>0.7</v>
      </c>
      <c r="BU403">
        <v>1</v>
      </c>
      <c r="BV403">
        <v>4</v>
      </c>
      <c r="BW403">
        <v>586</v>
      </c>
      <c r="BX403">
        <f>BW403/7</f>
        <v>83.714285714285708</v>
      </c>
      <c r="BY403">
        <f>0.77*BX403</f>
        <v>64.459999999999994</v>
      </c>
      <c r="BZ403">
        <f t="shared" si="6"/>
        <v>65.16</v>
      </c>
    </row>
    <row r="404" spans="1:78">
      <c r="A404" s="1">
        <v>45208.921251574073</v>
      </c>
      <c r="C404">
        <v>403</v>
      </c>
      <c r="D404" s="10">
        <v>30643</v>
      </c>
      <c r="E404">
        <v>38</v>
      </c>
      <c r="F404">
        <v>1</v>
      </c>
      <c r="G404">
        <v>1</v>
      </c>
      <c r="H404">
        <v>5</v>
      </c>
      <c r="I404" s="10">
        <v>44254</v>
      </c>
      <c r="J404">
        <v>1</v>
      </c>
      <c r="K404">
        <v>1</v>
      </c>
      <c r="L404">
        <v>1</v>
      </c>
      <c r="M404">
        <v>2750</v>
      </c>
      <c r="N404">
        <v>2</v>
      </c>
      <c r="O404" s="10">
        <v>43988</v>
      </c>
      <c r="P404">
        <v>1</v>
      </c>
      <c r="Q404">
        <v>38</v>
      </c>
      <c r="R404">
        <v>2</v>
      </c>
      <c r="S404">
        <v>57</v>
      </c>
      <c r="T404">
        <v>156</v>
      </c>
      <c r="U404">
        <v>64</v>
      </c>
      <c r="V404">
        <v>7</v>
      </c>
      <c r="W404">
        <v>1</v>
      </c>
      <c r="X404">
        <v>23.422090729783037</v>
      </c>
      <c r="Y404">
        <v>26.298487836949374</v>
      </c>
      <c r="Z404">
        <v>2.876397107166337</v>
      </c>
      <c r="AA404">
        <v>2</v>
      </c>
      <c r="AB404">
        <v>3</v>
      </c>
      <c r="AC404" t="s">
        <v>44</v>
      </c>
      <c r="AD404">
        <v>1</v>
      </c>
      <c r="AE404">
        <v>1</v>
      </c>
      <c r="AF404" t="s">
        <v>309</v>
      </c>
      <c r="AG404">
        <v>4</v>
      </c>
      <c r="AH404">
        <v>1</v>
      </c>
      <c r="AI404">
        <v>18</v>
      </c>
      <c r="AJ404">
        <v>2</v>
      </c>
      <c r="AK404">
        <v>6</v>
      </c>
      <c r="AL404">
        <v>1</v>
      </c>
      <c r="AM404">
        <f>AJ404*AK404*AL404/7</f>
        <v>1.7142857142857142</v>
      </c>
      <c r="AN404" t="s">
        <v>310</v>
      </c>
      <c r="AO404">
        <v>0</v>
      </c>
      <c r="AV404">
        <f>AU404+AM404</f>
        <v>1.7142857142857142</v>
      </c>
      <c r="AX404">
        <v>0</v>
      </c>
      <c r="BE404">
        <f>AM404+AU404+BD404</f>
        <v>1.7142857142857142</v>
      </c>
      <c r="BG404">
        <v>0</v>
      </c>
      <c r="BJ404" t="s">
        <v>49</v>
      </c>
      <c r="BK404">
        <v>5</v>
      </c>
      <c r="BL404">
        <v>3</v>
      </c>
      <c r="BM404">
        <v>1</v>
      </c>
      <c r="BN404" t="s">
        <v>59</v>
      </c>
      <c r="BO404">
        <v>3</v>
      </c>
      <c r="BP404">
        <v>112</v>
      </c>
      <c r="BQ404">
        <v>0.08</v>
      </c>
      <c r="BR404">
        <v>2</v>
      </c>
      <c r="BS404">
        <v>0.16</v>
      </c>
      <c r="BT404">
        <f>BS404+BD404+AU404+AM404</f>
        <v>1.8742857142857141</v>
      </c>
      <c r="BU404">
        <v>1</v>
      </c>
      <c r="BV404">
        <v>2</v>
      </c>
      <c r="BW404">
        <v>293</v>
      </c>
      <c r="BX404">
        <f>BW404/7</f>
        <v>41.857142857142854</v>
      </c>
      <c r="BY404">
        <f>0.77*BX404</f>
        <v>32.229999999999997</v>
      </c>
      <c r="BZ404">
        <f t="shared" si="6"/>
        <v>34.104285714285709</v>
      </c>
    </row>
    <row r="405" spans="1:78">
      <c r="A405" s="1">
        <v>45208.921623391201</v>
      </c>
      <c r="C405">
        <v>404</v>
      </c>
      <c r="D405" s="10">
        <v>33817</v>
      </c>
      <c r="E405">
        <v>31</v>
      </c>
      <c r="F405">
        <v>1</v>
      </c>
      <c r="G405">
        <v>1</v>
      </c>
      <c r="H405">
        <v>4</v>
      </c>
      <c r="I405" s="10">
        <v>44875</v>
      </c>
      <c r="J405">
        <v>3</v>
      </c>
      <c r="K405">
        <v>0</v>
      </c>
      <c r="L405">
        <v>2</v>
      </c>
      <c r="M405">
        <v>3640</v>
      </c>
      <c r="N405">
        <v>2</v>
      </c>
      <c r="O405" s="10">
        <v>44598</v>
      </c>
      <c r="P405">
        <v>0</v>
      </c>
      <c r="Q405">
        <v>39.571428571428569</v>
      </c>
      <c r="R405">
        <v>2</v>
      </c>
      <c r="S405">
        <v>67</v>
      </c>
      <c r="T405">
        <v>165</v>
      </c>
      <c r="U405">
        <v>84</v>
      </c>
      <c r="V405">
        <v>17</v>
      </c>
      <c r="W405">
        <v>3</v>
      </c>
      <c r="X405">
        <v>24.609733700642796</v>
      </c>
      <c r="Y405">
        <v>30.853994490358129</v>
      </c>
      <c r="Z405">
        <v>6.2442607897153337</v>
      </c>
      <c r="AA405">
        <v>2</v>
      </c>
      <c r="AB405">
        <v>4</v>
      </c>
      <c r="AC405" t="s">
        <v>33</v>
      </c>
      <c r="AD405">
        <v>3</v>
      </c>
      <c r="AE405">
        <v>1</v>
      </c>
      <c r="AF405" t="s">
        <v>312</v>
      </c>
      <c r="AG405">
        <v>2</v>
      </c>
      <c r="AH405">
        <v>1</v>
      </c>
      <c r="AI405">
        <v>4</v>
      </c>
      <c r="AJ405">
        <v>1</v>
      </c>
      <c r="AK405">
        <v>7</v>
      </c>
      <c r="AL405">
        <v>1</v>
      </c>
      <c r="AM405">
        <f>AJ405*AK405*AL405/7</f>
        <v>1</v>
      </c>
      <c r="AN405" t="s">
        <v>43</v>
      </c>
      <c r="AO405">
        <v>0</v>
      </c>
      <c r="AV405">
        <f>AU405+AM405</f>
        <v>1</v>
      </c>
      <c r="AW405" t="s">
        <v>71</v>
      </c>
      <c r="AX405">
        <v>1</v>
      </c>
      <c r="AY405" t="s">
        <v>71</v>
      </c>
      <c r="AZ405">
        <v>5</v>
      </c>
      <c r="BA405">
        <v>0.4</v>
      </c>
      <c r="BB405">
        <v>7</v>
      </c>
      <c r="BC405">
        <v>1</v>
      </c>
      <c r="BD405">
        <f>BA405*BB405*1/7</f>
        <v>0.4</v>
      </c>
      <c r="BE405">
        <f>AM405+AU405+BD405</f>
        <v>1.4</v>
      </c>
      <c r="BF405" t="s">
        <v>71</v>
      </c>
      <c r="BG405">
        <v>0</v>
      </c>
      <c r="BH405">
        <v>7</v>
      </c>
      <c r="BI405">
        <v>1</v>
      </c>
      <c r="BJ405" t="s">
        <v>28</v>
      </c>
      <c r="BK405">
        <v>3</v>
      </c>
      <c r="BL405">
        <v>1</v>
      </c>
      <c r="BM405">
        <v>1</v>
      </c>
      <c r="BN405" t="s">
        <v>30</v>
      </c>
      <c r="BO405">
        <v>1</v>
      </c>
      <c r="BP405">
        <v>168</v>
      </c>
      <c r="BQ405">
        <v>0.13</v>
      </c>
      <c r="BR405">
        <v>2</v>
      </c>
      <c r="BS405">
        <v>0.26</v>
      </c>
      <c r="BT405">
        <f>BS405+BD405+AU405+AM405</f>
        <v>1.6600000000000001</v>
      </c>
      <c r="BU405">
        <v>1</v>
      </c>
      <c r="BV405">
        <v>2</v>
      </c>
      <c r="BW405">
        <v>293</v>
      </c>
      <c r="BX405">
        <f>BW405/7</f>
        <v>41.857142857142854</v>
      </c>
      <c r="BY405">
        <f>0.77*BX405</f>
        <v>32.229999999999997</v>
      </c>
      <c r="BZ405">
        <f t="shared" si="6"/>
        <v>33.89</v>
      </c>
    </row>
    <row r="406" spans="1:78">
      <c r="A406" s="1">
        <v>45208.924038657409</v>
      </c>
      <c r="C406">
        <v>405</v>
      </c>
      <c r="D406" s="10">
        <v>34006</v>
      </c>
      <c r="E406">
        <v>30</v>
      </c>
      <c r="F406">
        <v>1</v>
      </c>
      <c r="G406">
        <v>12</v>
      </c>
      <c r="H406">
        <v>5</v>
      </c>
      <c r="I406" s="10">
        <v>44097</v>
      </c>
      <c r="J406">
        <v>1</v>
      </c>
      <c r="K406">
        <v>1</v>
      </c>
      <c r="L406">
        <v>1</v>
      </c>
      <c r="M406">
        <v>2930</v>
      </c>
      <c r="N406">
        <v>2</v>
      </c>
      <c r="O406" s="10">
        <v>43847</v>
      </c>
      <c r="P406">
        <v>0</v>
      </c>
      <c r="Q406">
        <v>35.714285714285715</v>
      </c>
      <c r="R406">
        <v>3</v>
      </c>
      <c r="S406">
        <v>62</v>
      </c>
      <c r="T406">
        <v>166</v>
      </c>
      <c r="U406">
        <v>80</v>
      </c>
      <c r="V406">
        <v>18</v>
      </c>
      <c r="W406">
        <v>3</v>
      </c>
      <c r="X406">
        <v>22.499637102627378</v>
      </c>
      <c r="Y406">
        <v>29.031789809841779</v>
      </c>
      <c r="Z406">
        <v>6.5321527072144008</v>
      </c>
      <c r="AA406">
        <v>2</v>
      </c>
      <c r="AB406">
        <v>3</v>
      </c>
      <c r="AC406" t="s">
        <v>33</v>
      </c>
      <c r="AD406">
        <v>3</v>
      </c>
      <c r="AE406">
        <v>0</v>
      </c>
      <c r="AG406">
        <v>5</v>
      </c>
      <c r="AH406">
        <v>0</v>
      </c>
      <c r="AI406">
        <v>0</v>
      </c>
      <c r="AO406">
        <v>0</v>
      </c>
      <c r="AX406">
        <v>0</v>
      </c>
      <c r="BG406">
        <v>0</v>
      </c>
      <c r="BJ406" t="s">
        <v>51</v>
      </c>
      <c r="BK406">
        <v>1</v>
      </c>
      <c r="BL406">
        <v>3</v>
      </c>
      <c r="BM406">
        <v>1</v>
      </c>
      <c r="BN406" t="s">
        <v>55</v>
      </c>
      <c r="BO406">
        <v>2</v>
      </c>
      <c r="BP406">
        <v>134</v>
      </c>
      <c r="BQ406">
        <v>0.1</v>
      </c>
      <c r="BR406">
        <v>2</v>
      </c>
      <c r="BS406">
        <v>0.2</v>
      </c>
      <c r="BT406">
        <f>BS406+BD406+AU406+AM406</f>
        <v>0.2</v>
      </c>
      <c r="BU406">
        <v>1</v>
      </c>
      <c r="BV406">
        <v>2</v>
      </c>
      <c r="BW406">
        <v>293</v>
      </c>
      <c r="BX406">
        <f>BW406/7</f>
        <v>41.857142857142854</v>
      </c>
      <c r="BY406">
        <f>0.77*BX406</f>
        <v>32.229999999999997</v>
      </c>
      <c r="BZ406">
        <f t="shared" si="6"/>
        <v>32.43</v>
      </c>
    </row>
    <row r="407" spans="1:78">
      <c r="A407" s="1">
        <v>45208.926081192127</v>
      </c>
      <c r="C407">
        <v>406</v>
      </c>
      <c r="D407" s="10">
        <v>32482</v>
      </c>
      <c r="E407">
        <v>34</v>
      </c>
      <c r="F407">
        <v>1</v>
      </c>
      <c r="G407">
        <v>3</v>
      </c>
      <c r="H407">
        <v>4</v>
      </c>
      <c r="I407" s="10">
        <v>44845</v>
      </c>
      <c r="J407">
        <v>1</v>
      </c>
      <c r="K407">
        <v>1</v>
      </c>
      <c r="L407">
        <v>2</v>
      </c>
      <c r="M407">
        <v>3480</v>
      </c>
      <c r="N407">
        <v>2</v>
      </c>
      <c r="O407" s="10">
        <v>44572</v>
      </c>
      <c r="P407">
        <v>0</v>
      </c>
      <c r="Q407">
        <v>39</v>
      </c>
      <c r="R407">
        <v>2</v>
      </c>
      <c r="S407">
        <v>64</v>
      </c>
      <c r="T407">
        <v>160</v>
      </c>
      <c r="U407">
        <v>89</v>
      </c>
      <c r="V407">
        <v>25</v>
      </c>
      <c r="W407">
        <v>3</v>
      </c>
      <c r="X407">
        <v>24.999999999999996</v>
      </c>
      <c r="Y407">
        <v>34.765624999999993</v>
      </c>
      <c r="Z407">
        <v>9.7656249999999964</v>
      </c>
      <c r="AA407">
        <v>3</v>
      </c>
      <c r="AB407">
        <v>4</v>
      </c>
      <c r="AC407" t="s">
        <v>44</v>
      </c>
      <c r="AD407">
        <v>1</v>
      </c>
      <c r="AE407">
        <v>0</v>
      </c>
      <c r="AG407">
        <v>5</v>
      </c>
      <c r="AH407">
        <v>1</v>
      </c>
      <c r="AI407">
        <v>1</v>
      </c>
      <c r="AJ407">
        <v>1</v>
      </c>
      <c r="AK407">
        <v>7</v>
      </c>
      <c r="AL407">
        <v>1</v>
      </c>
      <c r="AM407">
        <f>AJ407*AK407*AL407/7</f>
        <v>1</v>
      </c>
      <c r="AN407" t="s">
        <v>56</v>
      </c>
      <c r="AO407">
        <v>0</v>
      </c>
      <c r="AV407">
        <f>AU407+AM407</f>
        <v>1</v>
      </c>
      <c r="AW407" t="s">
        <v>178</v>
      </c>
      <c r="AX407">
        <v>0</v>
      </c>
      <c r="BE407">
        <f>AM407+AU407+BD407</f>
        <v>1</v>
      </c>
      <c r="BF407" t="s">
        <v>178</v>
      </c>
      <c r="BG407">
        <v>1</v>
      </c>
      <c r="BH407">
        <v>7</v>
      </c>
      <c r="BI407">
        <v>1</v>
      </c>
      <c r="BJ407" t="s">
        <v>42</v>
      </c>
      <c r="BK407">
        <v>6</v>
      </c>
      <c r="BL407">
        <v>1</v>
      </c>
      <c r="BM407">
        <v>1</v>
      </c>
      <c r="BN407" t="s">
        <v>55</v>
      </c>
      <c r="BO407">
        <v>2</v>
      </c>
      <c r="BP407">
        <v>134</v>
      </c>
      <c r="BQ407">
        <v>0.1</v>
      </c>
      <c r="BR407">
        <v>2</v>
      </c>
      <c r="BS407">
        <v>0.2</v>
      </c>
      <c r="BT407">
        <f>BS407+BD407+AU407+AM407</f>
        <v>1.2</v>
      </c>
      <c r="BU407">
        <v>1</v>
      </c>
      <c r="BV407">
        <v>0.5</v>
      </c>
      <c r="BW407">
        <v>73.25</v>
      </c>
      <c r="BX407">
        <f>BW407/7</f>
        <v>10.464285714285714</v>
      </c>
      <c r="BY407">
        <f>0.77*BX407</f>
        <v>8.0574999999999992</v>
      </c>
      <c r="BZ407">
        <f t="shared" si="6"/>
        <v>9.2574999999999985</v>
      </c>
    </row>
    <row r="408" spans="1:78">
      <c r="A408" s="1">
        <v>45208.936994826392</v>
      </c>
      <c r="C408">
        <v>407</v>
      </c>
      <c r="D408" s="10">
        <v>34711</v>
      </c>
      <c r="E408">
        <v>28</v>
      </c>
      <c r="F408">
        <v>1</v>
      </c>
      <c r="G408">
        <v>7</v>
      </c>
      <c r="H408">
        <v>4</v>
      </c>
      <c r="I408" s="10">
        <v>45070</v>
      </c>
      <c r="J408">
        <v>4</v>
      </c>
      <c r="K408">
        <v>0</v>
      </c>
      <c r="L408">
        <v>2</v>
      </c>
      <c r="M408">
        <v>3720</v>
      </c>
      <c r="N408">
        <v>2</v>
      </c>
      <c r="O408" s="10">
        <v>44790</v>
      </c>
      <c r="P408">
        <v>0</v>
      </c>
      <c r="Q408">
        <v>40</v>
      </c>
      <c r="R408">
        <v>2</v>
      </c>
      <c r="S408">
        <v>74</v>
      </c>
      <c r="T408">
        <v>166</v>
      </c>
      <c r="U408">
        <v>79</v>
      </c>
      <c r="V408">
        <v>5</v>
      </c>
      <c r="W408">
        <v>1</v>
      </c>
      <c r="X408">
        <v>26.854405574103644</v>
      </c>
      <c r="Y408">
        <v>28.668892437218755</v>
      </c>
      <c r="Z408">
        <v>1.8144868631151105</v>
      </c>
      <c r="AA408">
        <v>3</v>
      </c>
      <c r="AB408">
        <v>3</v>
      </c>
      <c r="AC408" t="s">
        <v>33</v>
      </c>
      <c r="AD408">
        <v>3</v>
      </c>
      <c r="AE408">
        <v>0</v>
      </c>
      <c r="AG408">
        <v>5</v>
      </c>
      <c r="AH408">
        <v>1</v>
      </c>
      <c r="AI408">
        <v>13</v>
      </c>
      <c r="AJ408">
        <v>1</v>
      </c>
      <c r="AK408">
        <v>7</v>
      </c>
      <c r="AL408">
        <v>1</v>
      </c>
      <c r="AM408">
        <f>AJ408*AK408*AL408/7</f>
        <v>1</v>
      </c>
      <c r="AN408" t="s">
        <v>79</v>
      </c>
      <c r="AO408">
        <v>0</v>
      </c>
      <c r="AV408">
        <f>AU408+AM408</f>
        <v>1</v>
      </c>
      <c r="AX408">
        <v>0</v>
      </c>
      <c r="BE408">
        <f>AM408+AU408+BD408</f>
        <v>1</v>
      </c>
      <c r="BG408">
        <v>0</v>
      </c>
      <c r="BJ408" t="s">
        <v>42</v>
      </c>
      <c r="BK408">
        <v>6</v>
      </c>
      <c r="BL408">
        <v>1</v>
      </c>
      <c r="BM408">
        <v>1</v>
      </c>
      <c r="BN408" t="s">
        <v>55</v>
      </c>
      <c r="BO408">
        <v>2</v>
      </c>
      <c r="BP408">
        <v>201</v>
      </c>
      <c r="BQ408">
        <v>0.1</v>
      </c>
      <c r="BR408">
        <v>3</v>
      </c>
      <c r="BS408">
        <v>0.30000000000000004</v>
      </c>
      <c r="BT408">
        <f>BS408+BD408+AU408+AM408</f>
        <v>1.3</v>
      </c>
      <c r="BU408">
        <v>1</v>
      </c>
      <c r="BV408">
        <v>5</v>
      </c>
      <c r="BW408">
        <v>732.5</v>
      </c>
      <c r="BX408">
        <f>BW408/7</f>
        <v>104.64285714285714</v>
      </c>
      <c r="BY408">
        <f>0.77*BX408</f>
        <v>80.575000000000003</v>
      </c>
      <c r="BZ408">
        <f t="shared" si="6"/>
        <v>81.875</v>
      </c>
    </row>
    <row r="409" spans="1:78">
      <c r="A409" s="1">
        <v>45208.939470532408</v>
      </c>
      <c r="C409">
        <v>408</v>
      </c>
      <c r="D409" s="10">
        <v>34944</v>
      </c>
      <c r="E409">
        <v>28</v>
      </c>
      <c r="F409">
        <v>1</v>
      </c>
      <c r="G409">
        <v>12</v>
      </c>
      <c r="H409">
        <v>4</v>
      </c>
      <c r="I409" s="10">
        <v>44716</v>
      </c>
      <c r="J409">
        <v>1</v>
      </c>
      <c r="K409">
        <v>1</v>
      </c>
      <c r="L409">
        <v>2</v>
      </c>
      <c r="M409">
        <v>3290</v>
      </c>
      <c r="N409">
        <v>2</v>
      </c>
      <c r="O409" s="10">
        <v>44436</v>
      </c>
      <c r="P409">
        <v>1</v>
      </c>
      <c r="Q409">
        <v>40</v>
      </c>
      <c r="R409">
        <v>2</v>
      </c>
      <c r="S409">
        <v>75</v>
      </c>
      <c r="T409">
        <v>158</v>
      </c>
      <c r="U409">
        <v>85</v>
      </c>
      <c r="V409">
        <v>10</v>
      </c>
      <c r="W409">
        <v>2</v>
      </c>
      <c r="X409">
        <v>30.043262297708697</v>
      </c>
      <c r="Y409">
        <v>34.049030604069856</v>
      </c>
      <c r="Z409">
        <v>4.0057683063611584</v>
      </c>
      <c r="AA409">
        <v>4</v>
      </c>
      <c r="AB409">
        <v>4</v>
      </c>
      <c r="AC409" t="s">
        <v>33</v>
      </c>
      <c r="AD409">
        <v>3</v>
      </c>
      <c r="AE409">
        <v>0</v>
      </c>
      <c r="AG409">
        <v>5</v>
      </c>
      <c r="AH409">
        <v>1</v>
      </c>
      <c r="AI409">
        <v>4</v>
      </c>
      <c r="AJ409">
        <v>1</v>
      </c>
      <c r="AK409">
        <v>7</v>
      </c>
      <c r="AL409">
        <v>1</v>
      </c>
      <c r="AM409">
        <f>AJ409*AK409*AL409/7</f>
        <v>1</v>
      </c>
      <c r="AN409" t="s">
        <v>43</v>
      </c>
      <c r="AO409">
        <v>0</v>
      </c>
      <c r="AV409">
        <f>AU409+AM409</f>
        <v>1</v>
      </c>
      <c r="AX409">
        <v>0</v>
      </c>
      <c r="BE409">
        <f>AM409+AU409+BD409</f>
        <v>1</v>
      </c>
      <c r="BG409">
        <v>0</v>
      </c>
      <c r="BJ409" t="s">
        <v>49</v>
      </c>
      <c r="BK409">
        <v>5</v>
      </c>
      <c r="BL409">
        <v>3</v>
      </c>
      <c r="BM409">
        <v>1</v>
      </c>
      <c r="BN409" t="s">
        <v>55</v>
      </c>
      <c r="BO409">
        <v>2</v>
      </c>
      <c r="BP409">
        <v>67</v>
      </c>
      <c r="BQ409">
        <v>0.1</v>
      </c>
      <c r="BR409">
        <v>1</v>
      </c>
      <c r="BS409">
        <v>0.1</v>
      </c>
      <c r="BT409">
        <f>BS409+BD409+AU409+AM409</f>
        <v>1.1000000000000001</v>
      </c>
      <c r="BU409">
        <v>1</v>
      </c>
      <c r="BV409">
        <v>2</v>
      </c>
      <c r="BW409">
        <v>293</v>
      </c>
      <c r="BX409">
        <f>BW409/7</f>
        <v>41.857142857142854</v>
      </c>
      <c r="BY409">
        <f>0.77*BX409</f>
        <v>32.229999999999997</v>
      </c>
      <c r="BZ409">
        <f t="shared" si="6"/>
        <v>33.33</v>
      </c>
    </row>
    <row r="410" spans="1:78">
      <c r="A410" s="1">
        <v>45208.941125914353</v>
      </c>
      <c r="C410">
        <v>409</v>
      </c>
      <c r="D410" s="10">
        <v>32605</v>
      </c>
      <c r="E410">
        <v>34</v>
      </c>
      <c r="F410">
        <v>1</v>
      </c>
      <c r="G410">
        <v>12</v>
      </c>
      <c r="H410">
        <v>4</v>
      </c>
      <c r="I410" s="10">
        <v>44908</v>
      </c>
      <c r="J410">
        <v>1</v>
      </c>
      <c r="K410">
        <v>1</v>
      </c>
      <c r="L410">
        <v>1</v>
      </c>
      <c r="M410">
        <v>2340</v>
      </c>
      <c r="N410">
        <v>1</v>
      </c>
      <c r="O410" s="10">
        <v>44647</v>
      </c>
      <c r="P410">
        <v>0</v>
      </c>
      <c r="Q410">
        <v>37.285714285714285</v>
      </c>
      <c r="R410">
        <v>2</v>
      </c>
      <c r="S410">
        <v>71</v>
      </c>
      <c r="T410">
        <v>159</v>
      </c>
      <c r="U410">
        <v>78.5</v>
      </c>
      <c r="V410">
        <v>7.5</v>
      </c>
      <c r="W410">
        <v>2</v>
      </c>
      <c r="X410">
        <v>28.084332107116012</v>
      </c>
      <c r="Y410">
        <v>31.05098690716348</v>
      </c>
      <c r="Z410">
        <v>2.9666548000474684</v>
      </c>
      <c r="AA410">
        <v>3</v>
      </c>
      <c r="AB410">
        <v>4</v>
      </c>
      <c r="AC410" t="s">
        <v>33</v>
      </c>
      <c r="AD410">
        <v>3</v>
      </c>
      <c r="AE410">
        <v>0</v>
      </c>
      <c r="AG410">
        <v>5</v>
      </c>
      <c r="AH410">
        <v>1</v>
      </c>
      <c r="AI410">
        <v>4</v>
      </c>
      <c r="AJ410">
        <v>1</v>
      </c>
      <c r="AK410">
        <v>7</v>
      </c>
      <c r="AL410">
        <v>1</v>
      </c>
      <c r="AM410">
        <f>AJ410*AK410*AL410/7</f>
        <v>1</v>
      </c>
      <c r="AN410" t="s">
        <v>43</v>
      </c>
      <c r="AO410">
        <v>0</v>
      </c>
      <c r="AV410">
        <f>AU410+AM410</f>
        <v>1</v>
      </c>
      <c r="AW410" t="s">
        <v>314</v>
      </c>
      <c r="AX410">
        <v>1</v>
      </c>
      <c r="AY410" t="s">
        <v>314</v>
      </c>
      <c r="AZ410">
        <v>5</v>
      </c>
      <c r="BA410">
        <v>0.4</v>
      </c>
      <c r="BB410">
        <v>7</v>
      </c>
      <c r="BC410">
        <v>1</v>
      </c>
      <c r="BD410">
        <f>BA410*BB410*1/7</f>
        <v>0.4</v>
      </c>
      <c r="BE410">
        <f>AM410+AU410+BD410</f>
        <v>1.4</v>
      </c>
      <c r="BF410" t="s">
        <v>314</v>
      </c>
      <c r="BG410">
        <v>0</v>
      </c>
      <c r="BH410">
        <v>7</v>
      </c>
      <c r="BI410">
        <v>1</v>
      </c>
      <c r="BJ410" t="s">
        <v>28</v>
      </c>
      <c r="BK410">
        <v>3</v>
      </c>
      <c r="BL410">
        <v>3</v>
      </c>
      <c r="BM410">
        <v>1</v>
      </c>
      <c r="BN410" t="s">
        <v>316</v>
      </c>
      <c r="BO410">
        <v>14</v>
      </c>
      <c r="BP410">
        <v>146.76923076923077</v>
      </c>
      <c r="BQ410">
        <v>0.1</v>
      </c>
      <c r="BR410">
        <v>2</v>
      </c>
      <c r="BS410">
        <v>0.2</v>
      </c>
      <c r="BT410">
        <f>BS410+BD410+AU410+AM410</f>
        <v>1.6</v>
      </c>
      <c r="BU410">
        <v>1</v>
      </c>
      <c r="BV410">
        <v>0.5</v>
      </c>
      <c r="BW410">
        <v>73.25</v>
      </c>
      <c r="BX410">
        <f>BW410/7</f>
        <v>10.464285714285714</v>
      </c>
      <c r="BY410">
        <f>0.77*BX410</f>
        <v>8.0574999999999992</v>
      </c>
      <c r="BZ410">
        <f t="shared" si="6"/>
        <v>9.6574999999999989</v>
      </c>
    </row>
    <row r="411" spans="1:78">
      <c r="A411" s="1">
        <v>45208.9431959375</v>
      </c>
      <c r="C411">
        <v>410</v>
      </c>
      <c r="D411" s="10">
        <v>31286</v>
      </c>
      <c r="E411">
        <v>38</v>
      </c>
      <c r="F411">
        <v>1</v>
      </c>
      <c r="G411">
        <v>16</v>
      </c>
      <c r="H411">
        <v>5</v>
      </c>
      <c r="I411" s="10">
        <v>43724</v>
      </c>
      <c r="J411">
        <v>1</v>
      </c>
      <c r="K411">
        <v>1</v>
      </c>
      <c r="L411">
        <v>1</v>
      </c>
      <c r="M411">
        <v>3630</v>
      </c>
      <c r="N411">
        <v>2</v>
      </c>
      <c r="O411" s="10">
        <v>43458</v>
      </c>
      <c r="P411">
        <v>0</v>
      </c>
      <c r="Q411">
        <v>38</v>
      </c>
      <c r="R411">
        <v>2</v>
      </c>
      <c r="S411">
        <v>61</v>
      </c>
      <c r="T411">
        <v>159</v>
      </c>
      <c r="U411">
        <v>71.3</v>
      </c>
      <c r="V411">
        <v>10.299999999999997</v>
      </c>
      <c r="W411">
        <v>1</v>
      </c>
      <c r="X411">
        <v>24.128792373719392</v>
      </c>
      <c r="Y411">
        <v>28.202998299117912</v>
      </c>
      <c r="Z411">
        <v>4.0742059253985197</v>
      </c>
      <c r="AA411">
        <v>2</v>
      </c>
      <c r="AB411">
        <v>3</v>
      </c>
      <c r="AC411" t="s">
        <v>33</v>
      </c>
      <c r="AD411">
        <v>3</v>
      </c>
      <c r="AE411">
        <v>0</v>
      </c>
      <c r="AG411">
        <v>5</v>
      </c>
      <c r="AH411">
        <v>1</v>
      </c>
      <c r="AI411">
        <v>5</v>
      </c>
      <c r="AJ411">
        <v>5</v>
      </c>
      <c r="AK411">
        <v>7</v>
      </c>
      <c r="AL411">
        <v>1</v>
      </c>
      <c r="AM411">
        <f>AJ411*AK411*AL411/7</f>
        <v>5</v>
      </c>
      <c r="AN411" t="s">
        <v>27</v>
      </c>
      <c r="AO411">
        <v>0</v>
      </c>
      <c r="AV411">
        <f>AU411+AM411</f>
        <v>5</v>
      </c>
      <c r="AX411">
        <v>0</v>
      </c>
      <c r="BE411">
        <f>AM411+AU411+BD411</f>
        <v>5</v>
      </c>
      <c r="BG411">
        <v>0</v>
      </c>
      <c r="BJ411" t="s">
        <v>36</v>
      </c>
      <c r="BK411">
        <v>4</v>
      </c>
      <c r="BL411">
        <v>1</v>
      </c>
      <c r="BM411">
        <v>1</v>
      </c>
      <c r="BN411" t="s">
        <v>55</v>
      </c>
      <c r="BO411">
        <v>2</v>
      </c>
      <c r="BP411">
        <v>134</v>
      </c>
      <c r="BQ411">
        <v>0.1</v>
      </c>
      <c r="BR411">
        <v>2</v>
      </c>
      <c r="BS411">
        <v>0.2</v>
      </c>
      <c r="BT411">
        <f>BS411+BD411+AU411+AM411</f>
        <v>5.2</v>
      </c>
      <c r="BU411">
        <v>1</v>
      </c>
      <c r="BV411">
        <v>2</v>
      </c>
      <c r="BW411">
        <v>293</v>
      </c>
      <c r="BX411">
        <f>BW411/7</f>
        <v>41.857142857142854</v>
      </c>
      <c r="BY411">
        <f>0.77*BX411</f>
        <v>32.229999999999997</v>
      </c>
      <c r="BZ411">
        <f t="shared" si="6"/>
        <v>37.43</v>
      </c>
    </row>
    <row r="412" spans="1:78">
      <c r="A412" s="1">
        <v>45208.945229340279</v>
      </c>
      <c r="C412">
        <v>411</v>
      </c>
      <c r="D412" s="10">
        <v>34444</v>
      </c>
      <c r="E412">
        <v>29</v>
      </c>
      <c r="F412">
        <v>1</v>
      </c>
      <c r="G412">
        <v>1</v>
      </c>
      <c r="H412">
        <v>4</v>
      </c>
      <c r="I412" s="10">
        <v>44992</v>
      </c>
      <c r="J412">
        <v>1</v>
      </c>
      <c r="K412">
        <v>1</v>
      </c>
      <c r="L412">
        <v>1</v>
      </c>
      <c r="M412">
        <v>2809</v>
      </c>
      <c r="N412">
        <v>2</v>
      </c>
      <c r="O412" s="10">
        <v>44740</v>
      </c>
      <c r="P412">
        <v>0</v>
      </c>
      <c r="Q412">
        <v>36</v>
      </c>
      <c r="R412">
        <v>3</v>
      </c>
      <c r="S412">
        <v>60</v>
      </c>
      <c r="T412">
        <v>165</v>
      </c>
      <c r="U412">
        <v>69</v>
      </c>
      <c r="V412">
        <v>9</v>
      </c>
      <c r="W412">
        <v>1</v>
      </c>
      <c r="X412">
        <v>22.03856749311295</v>
      </c>
      <c r="Y412">
        <v>25.344352617079892</v>
      </c>
      <c r="Z412">
        <v>3.3057851239669418</v>
      </c>
      <c r="AA412">
        <v>2</v>
      </c>
      <c r="AB412">
        <v>3</v>
      </c>
      <c r="AC412" t="s">
        <v>33</v>
      </c>
      <c r="AD412">
        <v>3</v>
      </c>
      <c r="AE412">
        <v>0</v>
      </c>
      <c r="AG412">
        <v>5</v>
      </c>
      <c r="AH412">
        <v>1</v>
      </c>
      <c r="AI412">
        <v>10</v>
      </c>
      <c r="AJ412">
        <v>1</v>
      </c>
      <c r="AK412">
        <v>7</v>
      </c>
      <c r="AL412">
        <v>1</v>
      </c>
      <c r="AM412">
        <f>AJ412*AK412*AL412/7</f>
        <v>1</v>
      </c>
      <c r="AN412" t="s">
        <v>166</v>
      </c>
      <c r="AO412">
        <v>0</v>
      </c>
      <c r="AV412">
        <f>AU412+AM412</f>
        <v>1</v>
      </c>
      <c r="AW412" t="s">
        <v>317</v>
      </c>
      <c r="AX412">
        <v>0</v>
      </c>
      <c r="BE412">
        <f>AM412+AU412+BD412</f>
        <v>1</v>
      </c>
      <c r="BF412" t="s">
        <v>317</v>
      </c>
      <c r="BG412">
        <v>1</v>
      </c>
      <c r="BH412">
        <v>7</v>
      </c>
      <c r="BI412">
        <v>1</v>
      </c>
      <c r="BJ412" t="s">
        <v>36</v>
      </c>
      <c r="BK412">
        <v>4</v>
      </c>
      <c r="BL412">
        <v>1</v>
      </c>
      <c r="BM412">
        <v>1</v>
      </c>
      <c r="BN412" t="s">
        <v>37</v>
      </c>
      <c r="BO412">
        <v>4</v>
      </c>
      <c r="BP412">
        <v>55</v>
      </c>
      <c r="BQ412">
        <v>0.05</v>
      </c>
      <c r="BR412">
        <v>1</v>
      </c>
      <c r="BS412">
        <v>0.05</v>
      </c>
      <c r="BT412">
        <f>BS412+BD412+AU412+AM412</f>
        <v>1.05</v>
      </c>
      <c r="BU412">
        <v>1</v>
      </c>
      <c r="BV412">
        <v>0.5</v>
      </c>
      <c r="BW412">
        <v>73.25</v>
      </c>
      <c r="BX412">
        <f>BW412/7</f>
        <v>10.464285714285714</v>
      </c>
      <c r="BY412">
        <f>0.77*BX412</f>
        <v>8.0574999999999992</v>
      </c>
      <c r="BZ412">
        <f t="shared" si="6"/>
        <v>9.1074999999999999</v>
      </c>
    </row>
    <row r="413" spans="1:78">
      <c r="A413" s="1">
        <v>45208.950827523149</v>
      </c>
      <c r="C413">
        <v>412</v>
      </c>
      <c r="D413" s="10">
        <v>28314</v>
      </c>
      <c r="E413">
        <v>46</v>
      </c>
      <c r="F413">
        <v>1</v>
      </c>
      <c r="G413">
        <v>1</v>
      </c>
      <c r="H413">
        <v>4</v>
      </c>
      <c r="I413" s="10">
        <v>43761</v>
      </c>
      <c r="J413">
        <v>3</v>
      </c>
      <c r="K413">
        <v>0</v>
      </c>
      <c r="L413">
        <v>2</v>
      </c>
      <c r="M413">
        <v>2600</v>
      </c>
      <c r="N413">
        <v>2</v>
      </c>
      <c r="O413" s="10">
        <v>43565</v>
      </c>
      <c r="P413">
        <v>0</v>
      </c>
      <c r="Q413">
        <v>28</v>
      </c>
      <c r="R413">
        <v>4</v>
      </c>
      <c r="S413">
        <v>58</v>
      </c>
      <c r="T413">
        <v>158</v>
      </c>
      <c r="U413">
        <v>60</v>
      </c>
      <c r="V413">
        <v>2</v>
      </c>
      <c r="W413">
        <v>1</v>
      </c>
      <c r="X413">
        <v>23.233456176894723</v>
      </c>
      <c r="Y413">
        <v>24.034609838166958</v>
      </c>
      <c r="Z413">
        <v>0.80115366127223453</v>
      </c>
      <c r="AA413">
        <v>2</v>
      </c>
      <c r="AB413">
        <v>2</v>
      </c>
      <c r="AC413" t="s">
        <v>33</v>
      </c>
      <c r="AD413">
        <v>3</v>
      </c>
      <c r="AE413">
        <v>1</v>
      </c>
      <c r="AF413" t="s">
        <v>318</v>
      </c>
      <c r="AG413" t="e">
        <v>#N/A</v>
      </c>
      <c r="AH413">
        <v>1</v>
      </c>
      <c r="AI413">
        <v>3</v>
      </c>
      <c r="AJ413">
        <v>5</v>
      </c>
      <c r="AK413">
        <v>7</v>
      </c>
      <c r="AL413">
        <v>1</v>
      </c>
      <c r="AM413">
        <f>AJ413*AK413*AL413/7</f>
        <v>5</v>
      </c>
      <c r="AN413" t="s">
        <v>319</v>
      </c>
      <c r="AO413">
        <v>0</v>
      </c>
      <c r="AV413">
        <f>AU413+AM413</f>
        <v>5</v>
      </c>
      <c r="AW413" t="s">
        <v>320</v>
      </c>
      <c r="AX413">
        <v>0</v>
      </c>
      <c r="BE413">
        <f>AM413+AU413+BD413</f>
        <v>5</v>
      </c>
      <c r="BF413" t="s">
        <v>320</v>
      </c>
      <c r="BG413">
        <v>1</v>
      </c>
      <c r="BH413">
        <v>7</v>
      </c>
      <c r="BI413">
        <v>1</v>
      </c>
      <c r="BJ413" t="s">
        <v>28</v>
      </c>
      <c r="BK413">
        <v>3</v>
      </c>
      <c r="BL413">
        <v>1</v>
      </c>
      <c r="BM413">
        <v>1</v>
      </c>
      <c r="BN413" t="s">
        <v>63</v>
      </c>
      <c r="BO413">
        <v>5</v>
      </c>
      <c r="BP413">
        <v>96</v>
      </c>
      <c r="BQ413">
        <v>0.06</v>
      </c>
      <c r="BR413">
        <v>2</v>
      </c>
      <c r="BS413">
        <v>0.12</v>
      </c>
      <c r="BT413">
        <f>BS413+BD413+AU413+AM413</f>
        <v>5.12</v>
      </c>
      <c r="BU413">
        <v>1</v>
      </c>
      <c r="BV413">
        <v>1</v>
      </c>
      <c r="BW413">
        <v>146.5</v>
      </c>
      <c r="BX413">
        <f>BW413/7</f>
        <v>20.928571428571427</v>
      </c>
      <c r="BY413">
        <f>0.77*BX413</f>
        <v>16.114999999999998</v>
      </c>
      <c r="BZ413">
        <f t="shared" si="6"/>
        <v>21.234999999999999</v>
      </c>
    </row>
    <row r="414" spans="1:78">
      <c r="A414" s="1">
        <v>45208.96561702546</v>
      </c>
      <c r="C414">
        <v>413</v>
      </c>
      <c r="D414" s="10">
        <v>31361</v>
      </c>
      <c r="E414">
        <v>37</v>
      </c>
      <c r="F414">
        <v>1</v>
      </c>
      <c r="G414">
        <v>1</v>
      </c>
      <c r="H414">
        <v>4</v>
      </c>
      <c r="I414" s="10">
        <v>44943</v>
      </c>
      <c r="J414">
        <v>1</v>
      </c>
      <c r="K414">
        <v>1</v>
      </c>
      <c r="L414">
        <v>1</v>
      </c>
      <c r="M414">
        <v>3060</v>
      </c>
      <c r="N414">
        <v>2</v>
      </c>
      <c r="O414" s="10">
        <v>44670</v>
      </c>
      <c r="P414">
        <v>0</v>
      </c>
      <c r="Q414">
        <v>39</v>
      </c>
      <c r="R414">
        <v>2</v>
      </c>
      <c r="S414">
        <v>62</v>
      </c>
      <c r="T414">
        <v>162</v>
      </c>
      <c r="U414">
        <v>80</v>
      </c>
      <c r="V414">
        <v>18</v>
      </c>
      <c r="W414">
        <v>3</v>
      </c>
      <c r="X414">
        <v>23.624447492760247</v>
      </c>
      <c r="Y414">
        <v>30.48315805517451</v>
      </c>
      <c r="Z414">
        <v>6.858710562414263</v>
      </c>
      <c r="AA414">
        <v>2</v>
      </c>
      <c r="AB414">
        <v>4</v>
      </c>
      <c r="AC414" t="s">
        <v>33</v>
      </c>
      <c r="AD414">
        <v>3</v>
      </c>
      <c r="AE414">
        <v>0</v>
      </c>
      <c r="AG414">
        <v>5</v>
      </c>
      <c r="AH414">
        <v>1</v>
      </c>
      <c r="AI414">
        <v>2</v>
      </c>
      <c r="AJ414">
        <v>5</v>
      </c>
      <c r="AK414">
        <v>7</v>
      </c>
      <c r="AL414">
        <v>1</v>
      </c>
      <c r="AM414">
        <f>AJ414*AK414*AL414/7</f>
        <v>5</v>
      </c>
      <c r="AN414" t="s">
        <v>57</v>
      </c>
      <c r="AO414">
        <v>0</v>
      </c>
      <c r="AV414">
        <f>AU414+AM414</f>
        <v>5</v>
      </c>
      <c r="AW414" t="s">
        <v>35</v>
      </c>
      <c r="AX414">
        <v>1</v>
      </c>
      <c r="AY414" t="s">
        <v>35</v>
      </c>
      <c r="AZ414">
        <v>12</v>
      </c>
      <c r="BA414">
        <v>0.4</v>
      </c>
      <c r="BB414">
        <v>7</v>
      </c>
      <c r="BC414">
        <v>1</v>
      </c>
      <c r="BD414">
        <f>BA414*BB414*1/7</f>
        <v>0.4</v>
      </c>
      <c r="BE414">
        <f>AM414+AU414+BD414</f>
        <v>5.4</v>
      </c>
      <c r="BF414" t="s">
        <v>35</v>
      </c>
      <c r="BG414">
        <v>0</v>
      </c>
      <c r="BH414">
        <v>7</v>
      </c>
      <c r="BI414">
        <v>1</v>
      </c>
      <c r="BJ414" t="s">
        <v>49</v>
      </c>
      <c r="BK414">
        <v>5</v>
      </c>
      <c r="BL414">
        <v>3</v>
      </c>
      <c r="BM414">
        <v>1</v>
      </c>
      <c r="BN414" t="s">
        <v>211</v>
      </c>
      <c r="BO414">
        <v>3</v>
      </c>
      <c r="BP414">
        <v>45</v>
      </c>
      <c r="BQ414">
        <v>0.08</v>
      </c>
      <c r="BR414">
        <v>1</v>
      </c>
      <c r="BS414">
        <v>0.08</v>
      </c>
      <c r="BT414">
        <f>BS414+BD414+AU414+AM414</f>
        <v>5.48</v>
      </c>
      <c r="BU414">
        <v>1</v>
      </c>
      <c r="BV414">
        <v>1</v>
      </c>
      <c r="BW414">
        <v>146.5</v>
      </c>
      <c r="BX414">
        <f>BW414/7</f>
        <v>20.928571428571427</v>
      </c>
      <c r="BY414">
        <f>0.77*BX414</f>
        <v>16.114999999999998</v>
      </c>
      <c r="BZ414">
        <f t="shared" si="6"/>
        <v>21.594999999999999</v>
      </c>
    </row>
    <row r="415" spans="1:78">
      <c r="A415" s="1">
        <v>45208.96896726852</v>
      </c>
      <c r="C415">
        <v>414</v>
      </c>
      <c r="D415" s="10">
        <v>30575</v>
      </c>
      <c r="E415">
        <v>40</v>
      </c>
      <c r="F415">
        <v>1</v>
      </c>
      <c r="G415">
        <v>1</v>
      </c>
      <c r="H415">
        <v>4</v>
      </c>
      <c r="I415" s="10">
        <v>44673</v>
      </c>
      <c r="J415">
        <v>1</v>
      </c>
      <c r="K415">
        <v>1</v>
      </c>
      <c r="L415">
        <v>2</v>
      </c>
      <c r="M415">
        <v>3322</v>
      </c>
      <c r="N415">
        <v>2</v>
      </c>
      <c r="O415" s="10">
        <v>44401</v>
      </c>
      <c r="P415">
        <v>1</v>
      </c>
      <c r="Q415">
        <v>38.857142857142854</v>
      </c>
      <c r="R415">
        <v>2</v>
      </c>
      <c r="S415">
        <v>66</v>
      </c>
      <c r="T415">
        <v>167</v>
      </c>
      <c r="U415">
        <v>79</v>
      </c>
      <c r="V415">
        <v>13</v>
      </c>
      <c r="W415">
        <v>2</v>
      </c>
      <c r="X415">
        <v>23.665244361576249</v>
      </c>
      <c r="Y415">
        <v>28.326580372189753</v>
      </c>
      <c r="Z415">
        <v>4.6613360106135033</v>
      </c>
      <c r="AA415">
        <v>2</v>
      </c>
      <c r="AB415">
        <v>3</v>
      </c>
      <c r="AC415" t="s">
        <v>33</v>
      </c>
      <c r="AD415">
        <v>3</v>
      </c>
      <c r="AE415">
        <v>0</v>
      </c>
      <c r="AG415">
        <v>5</v>
      </c>
      <c r="AH415">
        <v>1</v>
      </c>
      <c r="AI415">
        <v>2</v>
      </c>
      <c r="AJ415">
        <v>5</v>
      </c>
      <c r="AK415">
        <v>7</v>
      </c>
      <c r="AL415">
        <v>1</v>
      </c>
      <c r="AM415">
        <f>AJ415*AK415*AL415/7</f>
        <v>5</v>
      </c>
      <c r="AN415" t="s">
        <v>57</v>
      </c>
      <c r="AO415">
        <v>0</v>
      </c>
      <c r="AV415">
        <f>AU415+AM415</f>
        <v>5</v>
      </c>
      <c r="AW415" t="s">
        <v>322</v>
      </c>
      <c r="AX415">
        <v>0</v>
      </c>
      <c r="BE415">
        <f>AM415+AU415+BD415</f>
        <v>5</v>
      </c>
      <c r="BF415" t="s">
        <v>322</v>
      </c>
      <c r="BG415">
        <v>1</v>
      </c>
      <c r="BH415">
        <v>7</v>
      </c>
      <c r="BI415">
        <v>1</v>
      </c>
      <c r="BJ415" t="s">
        <v>42</v>
      </c>
      <c r="BK415">
        <v>6</v>
      </c>
      <c r="BL415">
        <v>1</v>
      </c>
      <c r="BM415">
        <v>1</v>
      </c>
      <c r="BN415" t="s">
        <v>30</v>
      </c>
      <c r="BO415">
        <v>1</v>
      </c>
      <c r="BP415">
        <v>84</v>
      </c>
      <c r="BQ415">
        <v>0.13</v>
      </c>
      <c r="BR415">
        <v>1</v>
      </c>
      <c r="BS415">
        <v>0.13</v>
      </c>
      <c r="BT415">
        <f>BS415+BD415+AU415+AM415</f>
        <v>5.13</v>
      </c>
      <c r="BU415">
        <v>1</v>
      </c>
      <c r="BV415">
        <v>4</v>
      </c>
      <c r="BW415">
        <v>586</v>
      </c>
      <c r="BX415">
        <f>BW415/7</f>
        <v>83.714285714285708</v>
      </c>
      <c r="BY415">
        <f>0.77*BX415</f>
        <v>64.459999999999994</v>
      </c>
      <c r="BZ415">
        <f t="shared" si="6"/>
        <v>69.589999999999989</v>
      </c>
    </row>
    <row r="416" spans="1:78">
      <c r="A416" s="1">
        <v>45208.980860706019</v>
      </c>
      <c r="C416">
        <v>415</v>
      </c>
      <c r="D416" s="10">
        <v>33221</v>
      </c>
      <c r="E416">
        <v>32</v>
      </c>
      <c r="F416">
        <v>1</v>
      </c>
      <c r="G416">
        <v>1</v>
      </c>
      <c r="H416">
        <v>4</v>
      </c>
      <c r="I416" s="10">
        <v>43277</v>
      </c>
      <c r="J416">
        <v>2</v>
      </c>
      <c r="K416">
        <v>0</v>
      </c>
      <c r="L416">
        <v>1</v>
      </c>
      <c r="M416">
        <v>3590</v>
      </c>
      <c r="N416">
        <v>2</v>
      </c>
      <c r="O416" s="10">
        <v>43011</v>
      </c>
      <c r="P416">
        <v>0</v>
      </c>
      <c r="Q416">
        <v>38</v>
      </c>
      <c r="R416">
        <v>2</v>
      </c>
      <c r="S416">
        <v>66.5</v>
      </c>
      <c r="T416">
        <v>159</v>
      </c>
      <c r="U416">
        <v>77</v>
      </c>
      <c r="V416">
        <v>10.5</v>
      </c>
      <c r="W416">
        <v>2</v>
      </c>
      <c r="X416">
        <v>26.304339227087535</v>
      </c>
      <c r="Y416">
        <v>30.457655947153988</v>
      </c>
      <c r="Z416">
        <v>4.1533167200664529</v>
      </c>
      <c r="AA416">
        <v>3</v>
      </c>
      <c r="AB416">
        <v>4</v>
      </c>
      <c r="AC416" t="s">
        <v>33</v>
      </c>
      <c r="AD416">
        <v>3</v>
      </c>
      <c r="AE416">
        <v>0</v>
      </c>
      <c r="AG416">
        <v>5</v>
      </c>
      <c r="AH416">
        <v>1</v>
      </c>
      <c r="AI416">
        <v>5</v>
      </c>
      <c r="AJ416">
        <v>5</v>
      </c>
      <c r="AK416">
        <v>7</v>
      </c>
      <c r="AL416">
        <v>1</v>
      </c>
      <c r="AM416">
        <f>AJ416*AK416*AL416/7</f>
        <v>5</v>
      </c>
      <c r="AN416" t="s">
        <v>27</v>
      </c>
      <c r="AO416">
        <v>0</v>
      </c>
      <c r="AV416">
        <f>AU416+AM416</f>
        <v>5</v>
      </c>
      <c r="AW416" t="s">
        <v>61</v>
      </c>
      <c r="AX416">
        <v>1</v>
      </c>
      <c r="AY416" t="s">
        <v>61</v>
      </c>
      <c r="AZ416">
        <v>2</v>
      </c>
      <c r="BA416">
        <v>0.27</v>
      </c>
      <c r="BB416">
        <v>7</v>
      </c>
      <c r="BC416">
        <v>1</v>
      </c>
      <c r="BD416">
        <f>BA416*BB416*1/7</f>
        <v>0.27</v>
      </c>
      <c r="BE416">
        <f>AM416+AU416+BD416</f>
        <v>5.27</v>
      </c>
      <c r="BF416" t="s">
        <v>61</v>
      </c>
      <c r="BG416">
        <v>0</v>
      </c>
      <c r="BH416">
        <v>7</v>
      </c>
      <c r="BI416">
        <v>1</v>
      </c>
      <c r="BJ416" t="s">
        <v>49</v>
      </c>
      <c r="BK416">
        <v>5</v>
      </c>
      <c r="BL416">
        <v>1</v>
      </c>
      <c r="BM416">
        <v>1</v>
      </c>
      <c r="BN416" t="s">
        <v>30</v>
      </c>
      <c r="BO416">
        <v>1</v>
      </c>
      <c r="BP416">
        <v>42</v>
      </c>
      <c r="BQ416">
        <v>0.13</v>
      </c>
      <c r="BR416">
        <v>0.5</v>
      </c>
      <c r="BS416">
        <v>6.5000000000000002E-2</v>
      </c>
      <c r="BT416">
        <f>BS416+BD416+AU416+AM416</f>
        <v>5.335</v>
      </c>
      <c r="BU416">
        <v>1</v>
      </c>
      <c r="BV416">
        <v>0.5</v>
      </c>
      <c r="BW416">
        <v>73.25</v>
      </c>
      <c r="BX416">
        <f>BW416/7</f>
        <v>10.464285714285714</v>
      </c>
      <c r="BY416">
        <f>0.77*BX416</f>
        <v>8.0574999999999992</v>
      </c>
      <c r="BZ416">
        <f t="shared" si="6"/>
        <v>13.392499999999998</v>
      </c>
    </row>
    <row r="417" spans="1:78">
      <c r="A417" s="1">
        <v>45208.984287187501</v>
      </c>
      <c r="C417">
        <v>416</v>
      </c>
      <c r="D417" s="10">
        <v>33708</v>
      </c>
      <c r="E417">
        <v>31</v>
      </c>
      <c r="F417">
        <v>1</v>
      </c>
      <c r="G417">
        <v>1</v>
      </c>
      <c r="H417">
        <v>2</v>
      </c>
      <c r="I417" s="10">
        <v>44176</v>
      </c>
      <c r="J417">
        <v>1</v>
      </c>
      <c r="K417">
        <v>1</v>
      </c>
      <c r="L417">
        <v>1</v>
      </c>
      <c r="M417">
        <v>3560</v>
      </c>
      <c r="N417">
        <v>2</v>
      </c>
      <c r="O417" s="10">
        <v>43893</v>
      </c>
      <c r="P417">
        <v>1</v>
      </c>
      <c r="Q417">
        <v>40.428571428571431</v>
      </c>
      <c r="R417">
        <v>2</v>
      </c>
      <c r="S417">
        <v>73.5</v>
      </c>
      <c r="T417">
        <v>157</v>
      </c>
      <c r="U417">
        <v>76.3</v>
      </c>
      <c r="V417">
        <v>2.7999999999999972</v>
      </c>
      <c r="W417">
        <v>1</v>
      </c>
      <c r="X417">
        <v>29.818653900766765</v>
      </c>
      <c r="Y417">
        <v>30.954602620795974</v>
      </c>
      <c r="Z417">
        <v>1.1359487200292087</v>
      </c>
      <c r="AA417">
        <v>3</v>
      </c>
      <c r="AB417">
        <v>4</v>
      </c>
      <c r="AC417" t="s">
        <v>50</v>
      </c>
      <c r="AD417">
        <v>2</v>
      </c>
      <c r="AE417">
        <v>0</v>
      </c>
      <c r="AG417">
        <v>5</v>
      </c>
      <c r="AH417">
        <v>1</v>
      </c>
      <c r="AI417">
        <v>1</v>
      </c>
      <c r="AJ417">
        <v>1</v>
      </c>
      <c r="AK417">
        <v>7</v>
      </c>
      <c r="AL417">
        <v>1</v>
      </c>
      <c r="AM417">
        <f>AJ417*AK417*AL417/7</f>
        <v>1</v>
      </c>
      <c r="AN417" t="s">
        <v>56</v>
      </c>
      <c r="AO417">
        <v>0</v>
      </c>
      <c r="AV417">
        <f>AU417+AM417</f>
        <v>1</v>
      </c>
      <c r="AW417" t="s">
        <v>61</v>
      </c>
      <c r="AX417">
        <v>1</v>
      </c>
      <c r="AY417" t="s">
        <v>61</v>
      </c>
      <c r="AZ417">
        <v>2</v>
      </c>
      <c r="BA417">
        <v>0.27</v>
      </c>
      <c r="BB417">
        <v>7</v>
      </c>
      <c r="BC417">
        <v>1</v>
      </c>
      <c r="BD417">
        <f>BA417*BB417*1/7</f>
        <v>0.27</v>
      </c>
      <c r="BE417">
        <f>AM417+AU417+BD417</f>
        <v>1.27</v>
      </c>
      <c r="BF417" t="s">
        <v>61</v>
      </c>
      <c r="BG417">
        <v>0</v>
      </c>
      <c r="BH417">
        <v>7</v>
      </c>
      <c r="BI417">
        <v>1</v>
      </c>
      <c r="BJ417" t="s">
        <v>42</v>
      </c>
      <c r="BK417">
        <v>6</v>
      </c>
      <c r="BL417">
        <v>3</v>
      </c>
      <c r="BM417">
        <v>1</v>
      </c>
      <c r="BN417" t="s">
        <v>30</v>
      </c>
      <c r="BO417">
        <v>1</v>
      </c>
      <c r="BP417">
        <v>84</v>
      </c>
      <c r="BQ417">
        <v>0.13</v>
      </c>
      <c r="BR417">
        <v>1</v>
      </c>
      <c r="BS417">
        <v>0.13</v>
      </c>
      <c r="BT417">
        <f>BS417+BD417+AU417+AM417</f>
        <v>1.4</v>
      </c>
      <c r="BU417">
        <v>1</v>
      </c>
      <c r="BV417">
        <v>1</v>
      </c>
      <c r="BW417">
        <v>146.5</v>
      </c>
      <c r="BX417">
        <f>BW417/7</f>
        <v>20.928571428571427</v>
      </c>
      <c r="BY417">
        <f>0.77*BX417</f>
        <v>16.114999999999998</v>
      </c>
      <c r="BZ417">
        <f t="shared" si="6"/>
        <v>17.514999999999997</v>
      </c>
    </row>
    <row r="418" spans="1:78">
      <c r="A418" s="1">
        <v>45209.037402893518</v>
      </c>
      <c r="C418">
        <v>417</v>
      </c>
      <c r="D418" s="10">
        <v>31006</v>
      </c>
      <c r="E418">
        <v>38</v>
      </c>
      <c r="F418">
        <v>1</v>
      </c>
      <c r="G418">
        <v>1</v>
      </c>
      <c r="H418">
        <v>4</v>
      </c>
      <c r="I418" s="10">
        <v>44751</v>
      </c>
      <c r="J418">
        <v>1</v>
      </c>
      <c r="K418">
        <v>1</v>
      </c>
      <c r="L418">
        <v>2</v>
      </c>
      <c r="M418">
        <v>3510</v>
      </c>
      <c r="N418">
        <v>2</v>
      </c>
      <c r="O418" s="10">
        <v>44478</v>
      </c>
      <c r="P418">
        <v>1</v>
      </c>
      <c r="Q418">
        <v>39</v>
      </c>
      <c r="R418">
        <v>2</v>
      </c>
      <c r="S418">
        <v>84</v>
      </c>
      <c r="T418">
        <v>161</v>
      </c>
      <c r="U418">
        <v>96</v>
      </c>
      <c r="V418">
        <v>12</v>
      </c>
      <c r="W418">
        <v>3</v>
      </c>
      <c r="X418">
        <v>32.406157169862269</v>
      </c>
      <c r="Y418">
        <v>37.035608194128308</v>
      </c>
      <c r="Z418">
        <v>4.6294510242660394</v>
      </c>
      <c r="AA418">
        <v>4</v>
      </c>
      <c r="AB418">
        <v>4</v>
      </c>
      <c r="AC418" t="s">
        <v>44</v>
      </c>
      <c r="AD418">
        <v>1</v>
      </c>
      <c r="AE418">
        <v>0</v>
      </c>
      <c r="AG418">
        <v>5</v>
      </c>
      <c r="AH418">
        <v>1</v>
      </c>
      <c r="AI418">
        <v>5</v>
      </c>
      <c r="AJ418">
        <v>5</v>
      </c>
      <c r="AK418">
        <v>7</v>
      </c>
      <c r="AL418">
        <v>1</v>
      </c>
      <c r="AM418">
        <f>AJ418*AK418*AL418/7</f>
        <v>5</v>
      </c>
      <c r="AN418" t="s">
        <v>27</v>
      </c>
      <c r="AO418">
        <v>0</v>
      </c>
      <c r="AV418">
        <f>AU418+AM418</f>
        <v>5</v>
      </c>
      <c r="AW418" t="s">
        <v>314</v>
      </c>
      <c r="AX418">
        <v>1</v>
      </c>
      <c r="AY418" t="s">
        <v>314</v>
      </c>
      <c r="AZ418">
        <v>5</v>
      </c>
      <c r="BA418">
        <v>0.4</v>
      </c>
      <c r="BB418">
        <v>7</v>
      </c>
      <c r="BC418">
        <v>1</v>
      </c>
      <c r="BD418">
        <f>BA418*BB418*1/7</f>
        <v>0.4</v>
      </c>
      <c r="BE418">
        <f>AM418+AU418+BD418</f>
        <v>5.4</v>
      </c>
      <c r="BF418" t="s">
        <v>314</v>
      </c>
      <c r="BG418">
        <v>0</v>
      </c>
      <c r="BH418">
        <v>7</v>
      </c>
      <c r="BI418">
        <v>1</v>
      </c>
      <c r="BJ418" t="s">
        <v>228</v>
      </c>
      <c r="BK418">
        <v>4</v>
      </c>
      <c r="BL418">
        <v>1</v>
      </c>
      <c r="BM418">
        <v>1</v>
      </c>
      <c r="BN418" t="s">
        <v>63</v>
      </c>
      <c r="BO418">
        <v>5</v>
      </c>
      <c r="BP418">
        <v>96</v>
      </c>
      <c r="BQ418">
        <v>0.06</v>
      </c>
      <c r="BR418">
        <v>2</v>
      </c>
      <c r="BS418">
        <v>0.12</v>
      </c>
      <c r="BT418">
        <f>BS418+BD418+AU418+AM418</f>
        <v>5.52</v>
      </c>
      <c r="BU418">
        <v>1</v>
      </c>
      <c r="BV418">
        <v>2</v>
      </c>
      <c r="BW418">
        <v>293</v>
      </c>
      <c r="BX418">
        <f>BW418/7</f>
        <v>41.857142857142854</v>
      </c>
      <c r="BY418">
        <f>0.77*BX418</f>
        <v>32.229999999999997</v>
      </c>
      <c r="BZ418">
        <f t="shared" si="6"/>
        <v>37.75</v>
      </c>
    </row>
    <row r="419" spans="1:78">
      <c r="A419" s="1">
        <v>45209.091010520831</v>
      </c>
      <c r="C419">
        <v>418</v>
      </c>
      <c r="D419" s="10">
        <v>33393</v>
      </c>
      <c r="E419">
        <v>32</v>
      </c>
      <c r="F419">
        <v>1</v>
      </c>
      <c r="G419">
        <v>1</v>
      </c>
      <c r="H419">
        <v>3</v>
      </c>
      <c r="I419" s="10">
        <v>44629</v>
      </c>
      <c r="J419">
        <v>2</v>
      </c>
      <c r="K419">
        <v>0</v>
      </c>
      <c r="L419">
        <v>2</v>
      </c>
      <c r="M419">
        <v>4125</v>
      </c>
      <c r="N419">
        <v>3</v>
      </c>
      <c r="O419" s="10">
        <v>44351</v>
      </c>
      <c r="P419">
        <v>1</v>
      </c>
      <c r="Q419">
        <v>39.714285714285715</v>
      </c>
      <c r="R419">
        <v>2</v>
      </c>
      <c r="S419">
        <v>102</v>
      </c>
      <c r="T419">
        <v>160</v>
      </c>
      <c r="U419">
        <v>108</v>
      </c>
      <c r="V419">
        <v>6</v>
      </c>
      <c r="W419">
        <v>1</v>
      </c>
      <c r="X419">
        <v>39.843749999999993</v>
      </c>
      <c r="Y419">
        <v>42.187499999999993</v>
      </c>
      <c r="Z419">
        <v>2.34375</v>
      </c>
      <c r="AA419">
        <v>4</v>
      </c>
      <c r="AB419">
        <v>4</v>
      </c>
      <c r="AC419" t="s">
        <v>33</v>
      </c>
      <c r="AD419">
        <v>3</v>
      </c>
      <c r="AE419">
        <v>0</v>
      </c>
      <c r="AG419">
        <v>5</v>
      </c>
      <c r="AH419">
        <v>1</v>
      </c>
      <c r="AI419">
        <v>13</v>
      </c>
      <c r="AJ419">
        <v>1</v>
      </c>
      <c r="AK419">
        <v>7</v>
      </c>
      <c r="AL419">
        <v>1</v>
      </c>
      <c r="AM419">
        <f>AJ419*AK419*AL419/7</f>
        <v>1</v>
      </c>
      <c r="AN419" t="s">
        <v>79</v>
      </c>
      <c r="AO419">
        <v>0</v>
      </c>
      <c r="AV419">
        <f>AU419+AM419</f>
        <v>1</v>
      </c>
      <c r="AX419">
        <v>0</v>
      </c>
      <c r="BE419">
        <f>AM419+AU419+BD419</f>
        <v>1</v>
      </c>
      <c r="BG419">
        <v>0</v>
      </c>
      <c r="BJ419" t="s">
        <v>42</v>
      </c>
      <c r="BK419">
        <v>6</v>
      </c>
      <c r="BL419">
        <v>1</v>
      </c>
      <c r="BM419">
        <v>1</v>
      </c>
      <c r="BN419" t="s">
        <v>30</v>
      </c>
      <c r="BO419">
        <v>1</v>
      </c>
      <c r="BP419">
        <v>168</v>
      </c>
      <c r="BQ419">
        <v>0.13</v>
      </c>
      <c r="BR419">
        <v>2</v>
      </c>
      <c r="BS419">
        <v>0.26</v>
      </c>
      <c r="BT419">
        <f>BS419+BD419+AU419+AM419</f>
        <v>1.26</v>
      </c>
      <c r="BU419">
        <v>1</v>
      </c>
      <c r="BV419">
        <v>1</v>
      </c>
      <c r="BW419">
        <v>146.5</v>
      </c>
      <c r="BX419">
        <f>BW419/7</f>
        <v>20.928571428571427</v>
      </c>
      <c r="BY419">
        <f>0.77*BX419</f>
        <v>16.114999999999998</v>
      </c>
      <c r="BZ419">
        <f t="shared" si="6"/>
        <v>17.375</v>
      </c>
    </row>
    <row r="420" spans="1:78">
      <c r="A420" s="1">
        <v>45209.106066006949</v>
      </c>
      <c r="C420">
        <v>419</v>
      </c>
      <c r="D420" s="10">
        <v>29941</v>
      </c>
      <c r="E420">
        <v>41</v>
      </c>
      <c r="F420">
        <v>1</v>
      </c>
      <c r="G420">
        <v>1</v>
      </c>
      <c r="H420">
        <v>5</v>
      </c>
      <c r="I420" s="10">
        <v>44615</v>
      </c>
      <c r="J420">
        <v>4</v>
      </c>
      <c r="K420">
        <v>0</v>
      </c>
      <c r="L420">
        <v>2</v>
      </c>
      <c r="M420">
        <v>2650</v>
      </c>
      <c r="N420">
        <v>2</v>
      </c>
      <c r="O420" s="10">
        <v>44335</v>
      </c>
      <c r="P420">
        <v>1</v>
      </c>
      <c r="Q420">
        <v>40</v>
      </c>
      <c r="R420">
        <v>2</v>
      </c>
      <c r="S420">
        <v>50</v>
      </c>
      <c r="T420">
        <v>157</v>
      </c>
      <c r="U420">
        <v>66</v>
      </c>
      <c r="V420">
        <v>16</v>
      </c>
      <c r="W420">
        <v>2</v>
      </c>
      <c r="X420">
        <v>20.28479857195018</v>
      </c>
      <c r="Y420">
        <v>26.775934114974238</v>
      </c>
      <c r="Z420">
        <v>6.4911355430240576</v>
      </c>
      <c r="AA420">
        <v>2</v>
      </c>
      <c r="AB420">
        <v>3</v>
      </c>
      <c r="AC420" t="s">
        <v>295</v>
      </c>
      <c r="AD420">
        <v>2</v>
      </c>
      <c r="AE420">
        <v>0</v>
      </c>
      <c r="AG420">
        <v>5</v>
      </c>
      <c r="AH420">
        <v>1</v>
      </c>
      <c r="AI420">
        <v>4</v>
      </c>
      <c r="AJ420">
        <v>1</v>
      </c>
      <c r="AK420">
        <v>7</v>
      </c>
      <c r="AL420">
        <v>1</v>
      </c>
      <c r="AM420">
        <f>AJ420*AK420*AL420/7</f>
        <v>1</v>
      </c>
      <c r="AN420" t="s">
        <v>43</v>
      </c>
      <c r="AO420">
        <v>0</v>
      </c>
      <c r="AV420">
        <f>AU420+AM420</f>
        <v>1</v>
      </c>
      <c r="AW420" t="s">
        <v>323</v>
      </c>
      <c r="AX420">
        <v>0</v>
      </c>
      <c r="BE420">
        <f>AM420+AU420+BD420</f>
        <v>1</v>
      </c>
      <c r="BF420" t="s">
        <v>323</v>
      </c>
      <c r="BG420">
        <v>1</v>
      </c>
      <c r="BH420">
        <v>7</v>
      </c>
      <c r="BI420">
        <v>1</v>
      </c>
      <c r="BJ420" t="s">
        <v>54</v>
      </c>
      <c r="BK420">
        <v>2</v>
      </c>
      <c r="BL420">
        <v>3</v>
      </c>
      <c r="BM420">
        <v>1</v>
      </c>
      <c r="BN420" t="s">
        <v>30</v>
      </c>
      <c r="BO420">
        <v>1</v>
      </c>
      <c r="BP420">
        <v>168</v>
      </c>
      <c r="BQ420">
        <v>0.13</v>
      </c>
      <c r="BR420">
        <v>2</v>
      </c>
      <c r="BS420">
        <v>0.26</v>
      </c>
      <c r="BT420">
        <f>BS420+BD420+AU420+AM420</f>
        <v>1.26</v>
      </c>
      <c r="BU420">
        <v>1</v>
      </c>
      <c r="BV420">
        <v>2</v>
      </c>
      <c r="BW420">
        <v>293</v>
      </c>
      <c r="BX420">
        <f>BW420/7</f>
        <v>41.857142857142854</v>
      </c>
      <c r="BY420">
        <f>0.77*BX420</f>
        <v>32.229999999999997</v>
      </c>
      <c r="BZ420">
        <f t="shared" si="6"/>
        <v>33.489999999999995</v>
      </c>
    </row>
    <row r="421" spans="1:78">
      <c r="A421" s="1">
        <v>45209.168971203704</v>
      </c>
      <c r="C421">
        <v>420</v>
      </c>
      <c r="D421" s="10">
        <v>44274</v>
      </c>
      <c r="E421">
        <v>34</v>
      </c>
      <c r="F421">
        <v>1</v>
      </c>
      <c r="G421">
        <v>3</v>
      </c>
      <c r="H421">
        <v>4</v>
      </c>
      <c r="I421" s="10">
        <v>44274</v>
      </c>
      <c r="J421">
        <v>2</v>
      </c>
      <c r="K421">
        <v>0</v>
      </c>
      <c r="L421">
        <v>2</v>
      </c>
      <c r="M421">
        <v>2800</v>
      </c>
      <c r="N421">
        <v>2</v>
      </c>
      <c r="O421" s="10">
        <v>44001</v>
      </c>
      <c r="P421">
        <v>1</v>
      </c>
      <c r="Q421">
        <v>39</v>
      </c>
      <c r="R421">
        <v>2</v>
      </c>
      <c r="S421">
        <v>55</v>
      </c>
      <c r="T421">
        <v>160</v>
      </c>
      <c r="U421">
        <v>64</v>
      </c>
      <c r="V421">
        <v>9</v>
      </c>
      <c r="W421">
        <v>1</v>
      </c>
      <c r="X421">
        <v>21.484374999999996</v>
      </c>
      <c r="Y421">
        <v>24.999999999999996</v>
      </c>
      <c r="Z421">
        <v>3.515625</v>
      </c>
      <c r="AA421">
        <v>2</v>
      </c>
      <c r="AB421">
        <v>3</v>
      </c>
      <c r="AC421" t="s">
        <v>33</v>
      </c>
      <c r="AD421">
        <v>3</v>
      </c>
      <c r="AE421">
        <v>0</v>
      </c>
      <c r="AG421">
        <v>5</v>
      </c>
      <c r="AH421">
        <v>1</v>
      </c>
      <c r="AI421">
        <v>13</v>
      </c>
      <c r="AJ421">
        <v>1</v>
      </c>
      <c r="AK421">
        <v>7</v>
      </c>
      <c r="AL421">
        <v>1</v>
      </c>
      <c r="AM421">
        <f>AJ421*AK421*AL421/7</f>
        <v>1</v>
      </c>
      <c r="AN421" t="s">
        <v>79</v>
      </c>
      <c r="AO421">
        <v>0</v>
      </c>
      <c r="AV421">
        <f>AU421+AM421</f>
        <v>1</v>
      </c>
      <c r="AX421">
        <v>0</v>
      </c>
      <c r="BE421">
        <f>AM421+AU421+BD421</f>
        <v>1</v>
      </c>
      <c r="BG421">
        <v>0</v>
      </c>
      <c r="BJ421" t="s">
        <v>42</v>
      </c>
      <c r="BK421">
        <v>6</v>
      </c>
      <c r="BL421">
        <v>1</v>
      </c>
      <c r="BM421">
        <v>1</v>
      </c>
      <c r="BN421" t="s">
        <v>30</v>
      </c>
      <c r="BO421">
        <v>1</v>
      </c>
      <c r="BP421">
        <v>84</v>
      </c>
      <c r="BQ421">
        <v>0.13</v>
      </c>
      <c r="BR421">
        <v>1</v>
      </c>
      <c r="BS421">
        <v>0.13</v>
      </c>
      <c r="BT421">
        <f>BS421+BD421+AU421+AM421</f>
        <v>1.1299999999999999</v>
      </c>
      <c r="BU421">
        <v>1</v>
      </c>
      <c r="BV421">
        <v>2</v>
      </c>
      <c r="BW421">
        <v>293</v>
      </c>
      <c r="BX421">
        <f>BW421/7</f>
        <v>41.857142857142854</v>
      </c>
      <c r="BY421">
        <f>0.77*BX421</f>
        <v>32.229999999999997</v>
      </c>
      <c r="BZ421">
        <f t="shared" si="6"/>
        <v>33.36</v>
      </c>
    </row>
    <row r="422" spans="1:78">
      <c r="A422" s="1">
        <v>45209.302028182872</v>
      </c>
      <c r="C422">
        <v>421</v>
      </c>
      <c r="D422" s="10">
        <v>32917</v>
      </c>
      <c r="E422">
        <v>33</v>
      </c>
      <c r="F422">
        <v>1</v>
      </c>
      <c r="G422">
        <v>1</v>
      </c>
      <c r="H422">
        <v>4</v>
      </c>
      <c r="I422" s="10">
        <v>44308</v>
      </c>
      <c r="J422">
        <v>1</v>
      </c>
      <c r="K422">
        <v>1</v>
      </c>
      <c r="L422">
        <v>1</v>
      </c>
      <c r="M422">
        <v>4405</v>
      </c>
      <c r="N422">
        <v>3</v>
      </c>
      <c r="O422" s="10">
        <v>44028</v>
      </c>
      <c r="P422">
        <v>1</v>
      </c>
      <c r="Q422">
        <v>40</v>
      </c>
      <c r="R422">
        <v>2</v>
      </c>
      <c r="S422">
        <v>90</v>
      </c>
      <c r="T422">
        <v>162</v>
      </c>
      <c r="U422">
        <v>100.7</v>
      </c>
      <c r="V422">
        <v>10.700000000000003</v>
      </c>
      <c r="W422">
        <v>2</v>
      </c>
      <c r="X422">
        <v>34.293552812071326</v>
      </c>
      <c r="Y422">
        <v>38.370675201950917</v>
      </c>
      <c r="Z422">
        <v>4.077122389879591</v>
      </c>
      <c r="AA422">
        <v>4</v>
      </c>
      <c r="AB422">
        <v>4</v>
      </c>
      <c r="AC422" t="s">
        <v>33</v>
      </c>
      <c r="AD422">
        <v>3</v>
      </c>
      <c r="AE422">
        <v>0</v>
      </c>
      <c r="AG422">
        <v>5</v>
      </c>
      <c r="AH422">
        <v>1</v>
      </c>
      <c r="AI422">
        <v>11</v>
      </c>
      <c r="AJ422">
        <v>5</v>
      </c>
      <c r="AK422">
        <v>7</v>
      </c>
      <c r="AL422">
        <v>1</v>
      </c>
      <c r="AM422">
        <f>AJ422*AK422*AL422/7</f>
        <v>5</v>
      </c>
      <c r="AN422" t="s">
        <v>81</v>
      </c>
      <c r="AO422">
        <v>0</v>
      </c>
      <c r="AV422">
        <f>AU422+AM422</f>
        <v>5</v>
      </c>
      <c r="AW422" t="s">
        <v>58</v>
      </c>
      <c r="AX422">
        <v>1</v>
      </c>
      <c r="AY422" t="s">
        <v>58</v>
      </c>
      <c r="AZ422">
        <v>1</v>
      </c>
      <c r="BA422">
        <v>0.8</v>
      </c>
      <c r="BB422">
        <v>7</v>
      </c>
      <c r="BC422">
        <v>1</v>
      </c>
      <c r="BD422">
        <f>BA422*BB422*1/7</f>
        <v>0.8</v>
      </c>
      <c r="BE422">
        <f>AM422+AU422+BD422</f>
        <v>5.8</v>
      </c>
      <c r="BF422" t="s">
        <v>58</v>
      </c>
      <c r="BG422">
        <v>0</v>
      </c>
      <c r="BH422">
        <v>7</v>
      </c>
      <c r="BI422">
        <v>1</v>
      </c>
      <c r="BJ422" t="s">
        <v>54</v>
      </c>
      <c r="BK422">
        <v>2</v>
      </c>
      <c r="BL422">
        <v>1</v>
      </c>
      <c r="BM422">
        <v>1</v>
      </c>
      <c r="BN422" t="s">
        <v>55</v>
      </c>
      <c r="BO422">
        <v>2</v>
      </c>
      <c r="BP422">
        <v>134</v>
      </c>
      <c r="BQ422">
        <v>0.1</v>
      </c>
      <c r="BR422">
        <v>2</v>
      </c>
      <c r="BS422">
        <v>0.2</v>
      </c>
      <c r="BT422">
        <f>BS422+BD422+AU422+AM422</f>
        <v>6</v>
      </c>
      <c r="BU422">
        <v>1</v>
      </c>
      <c r="BV422">
        <v>1</v>
      </c>
      <c r="BW422">
        <v>146.5</v>
      </c>
      <c r="BX422">
        <f>BW422/7</f>
        <v>20.928571428571427</v>
      </c>
      <c r="BY422">
        <f>0.77*BX422</f>
        <v>16.114999999999998</v>
      </c>
      <c r="BZ422">
        <f t="shared" si="6"/>
        <v>22.114999999999998</v>
      </c>
    </row>
    <row r="423" spans="1:78">
      <c r="A423" s="1">
        <v>45209.370823275458</v>
      </c>
      <c r="C423">
        <v>422</v>
      </c>
      <c r="D423" s="10">
        <v>32997</v>
      </c>
      <c r="E423">
        <v>33</v>
      </c>
      <c r="F423">
        <v>1</v>
      </c>
      <c r="G423">
        <v>10</v>
      </c>
      <c r="H423">
        <v>4</v>
      </c>
      <c r="I423" s="10">
        <v>43332</v>
      </c>
      <c r="J423">
        <v>1</v>
      </c>
      <c r="K423">
        <v>1</v>
      </c>
      <c r="L423">
        <v>2</v>
      </c>
      <c r="M423">
        <v>3250</v>
      </c>
      <c r="N423">
        <v>2</v>
      </c>
      <c r="O423" s="10">
        <v>43063</v>
      </c>
      <c r="P423">
        <v>0</v>
      </c>
      <c r="Q423">
        <v>38.428571428571431</v>
      </c>
      <c r="R423">
        <v>2</v>
      </c>
      <c r="S423">
        <v>90</v>
      </c>
      <c r="T423">
        <v>162</v>
      </c>
      <c r="U423">
        <v>96</v>
      </c>
      <c r="V423">
        <v>6</v>
      </c>
      <c r="W423">
        <v>1</v>
      </c>
      <c r="X423">
        <v>34.293552812071326</v>
      </c>
      <c r="Y423">
        <v>36.579789666209415</v>
      </c>
      <c r="Z423">
        <v>2.2862368541380889</v>
      </c>
      <c r="AA423">
        <v>4</v>
      </c>
      <c r="AB423">
        <v>4</v>
      </c>
      <c r="AC423" t="s">
        <v>44</v>
      </c>
      <c r="AD423">
        <v>1</v>
      </c>
      <c r="AE423">
        <v>0</v>
      </c>
      <c r="AG423">
        <v>5</v>
      </c>
      <c r="AH423">
        <v>0</v>
      </c>
      <c r="AI423">
        <v>0</v>
      </c>
      <c r="AN423" t="s">
        <v>41</v>
      </c>
      <c r="AO423">
        <v>0</v>
      </c>
      <c r="AW423" t="s">
        <v>58</v>
      </c>
      <c r="AX423">
        <v>1</v>
      </c>
      <c r="AY423" t="s">
        <v>58</v>
      </c>
      <c r="AZ423">
        <v>1</v>
      </c>
      <c r="BA423">
        <v>0.8</v>
      </c>
      <c r="BB423">
        <v>7</v>
      </c>
      <c r="BC423">
        <v>1</v>
      </c>
      <c r="BD423">
        <f>BA423*BB423*1/7</f>
        <v>0.8</v>
      </c>
      <c r="BE423">
        <f>AM423+AU423+BD423</f>
        <v>0.8</v>
      </c>
      <c r="BF423" t="s">
        <v>58</v>
      </c>
      <c r="BG423">
        <v>0</v>
      </c>
      <c r="BH423">
        <v>7</v>
      </c>
      <c r="BI423">
        <v>1</v>
      </c>
      <c r="BJ423" t="s">
        <v>42</v>
      </c>
      <c r="BK423">
        <v>6</v>
      </c>
      <c r="BL423">
        <v>3</v>
      </c>
      <c r="BM423">
        <v>1</v>
      </c>
      <c r="BN423" t="s">
        <v>37</v>
      </c>
      <c r="BO423">
        <v>4</v>
      </c>
      <c r="BP423">
        <v>110</v>
      </c>
      <c r="BQ423">
        <v>0.05</v>
      </c>
      <c r="BR423">
        <v>2</v>
      </c>
      <c r="BS423">
        <v>0.1</v>
      </c>
      <c r="BT423">
        <f>BS423+BD423+AU423+AM423</f>
        <v>0.9</v>
      </c>
      <c r="BU423">
        <v>1</v>
      </c>
      <c r="BV423">
        <v>1</v>
      </c>
      <c r="BW423">
        <v>146.5</v>
      </c>
      <c r="BX423">
        <f>BW423/7</f>
        <v>20.928571428571427</v>
      </c>
      <c r="BY423">
        <f>0.77*BX423</f>
        <v>16.114999999999998</v>
      </c>
      <c r="BZ423">
        <f t="shared" si="6"/>
        <v>17.014999999999997</v>
      </c>
    </row>
    <row r="424" spans="1:78">
      <c r="A424" s="1">
        <v>45209.375110937501</v>
      </c>
      <c r="C424">
        <v>423</v>
      </c>
      <c r="D424" s="10">
        <v>34182</v>
      </c>
      <c r="E424">
        <v>30</v>
      </c>
      <c r="F424">
        <v>1</v>
      </c>
      <c r="G424">
        <v>2</v>
      </c>
      <c r="H424">
        <v>2</v>
      </c>
      <c r="I424" s="10">
        <v>45036</v>
      </c>
      <c r="J424">
        <v>1</v>
      </c>
      <c r="K424">
        <v>1</v>
      </c>
      <c r="L424">
        <v>1</v>
      </c>
      <c r="M424">
        <v>2950</v>
      </c>
      <c r="N424">
        <v>2</v>
      </c>
      <c r="O424" s="10">
        <v>44770</v>
      </c>
      <c r="P424">
        <v>0</v>
      </c>
      <c r="Q424">
        <v>38</v>
      </c>
      <c r="R424">
        <v>2</v>
      </c>
      <c r="S424">
        <v>94</v>
      </c>
      <c r="T424">
        <v>160</v>
      </c>
      <c r="U424">
        <v>105</v>
      </c>
      <c r="V424">
        <v>11</v>
      </c>
      <c r="W424">
        <v>2</v>
      </c>
      <c r="X424">
        <v>36.718749999999993</v>
      </c>
      <c r="Y424">
        <v>41.015624999999993</v>
      </c>
      <c r="Z424">
        <v>4.296875</v>
      </c>
      <c r="AA424">
        <v>4</v>
      </c>
      <c r="AB424">
        <v>4</v>
      </c>
      <c r="AC424" t="s">
        <v>44</v>
      </c>
      <c r="AD424">
        <v>1</v>
      </c>
      <c r="AE424">
        <v>0</v>
      </c>
      <c r="AG424">
        <v>5</v>
      </c>
      <c r="AH424">
        <v>1</v>
      </c>
      <c r="AI424">
        <v>13</v>
      </c>
      <c r="AJ424">
        <v>1</v>
      </c>
      <c r="AK424">
        <v>7</v>
      </c>
      <c r="AL424">
        <v>1</v>
      </c>
      <c r="AM424">
        <f>AJ424*AK424*AL424/7</f>
        <v>1</v>
      </c>
      <c r="AN424" t="s">
        <v>79</v>
      </c>
      <c r="AO424">
        <v>0</v>
      </c>
      <c r="AV424">
        <f>AU424+AM424</f>
        <v>1</v>
      </c>
      <c r="AX424">
        <v>0</v>
      </c>
      <c r="BE424">
        <f>AM424+AU424+BD424</f>
        <v>1</v>
      </c>
      <c r="BG424">
        <v>0</v>
      </c>
      <c r="BJ424" t="s">
        <v>49</v>
      </c>
      <c r="BK424">
        <v>5</v>
      </c>
      <c r="BL424">
        <v>3</v>
      </c>
      <c r="BM424">
        <v>1</v>
      </c>
      <c r="BN424" t="s">
        <v>30</v>
      </c>
      <c r="BO424">
        <v>1</v>
      </c>
      <c r="BP424">
        <v>168</v>
      </c>
      <c r="BQ424">
        <v>0.13</v>
      </c>
      <c r="BR424">
        <v>2</v>
      </c>
      <c r="BS424">
        <v>0.26</v>
      </c>
      <c r="BT424">
        <f>BS424+BD424+AU424+AM424</f>
        <v>1.26</v>
      </c>
      <c r="BU424">
        <v>1</v>
      </c>
      <c r="BV424">
        <v>0.5</v>
      </c>
      <c r="BW424">
        <v>73.25</v>
      </c>
      <c r="BX424">
        <f>BW424/7</f>
        <v>10.464285714285714</v>
      </c>
      <c r="BY424">
        <f>0.77*BX424</f>
        <v>8.0574999999999992</v>
      </c>
      <c r="BZ424">
        <f t="shared" si="6"/>
        <v>9.317499999999999</v>
      </c>
    </row>
    <row r="425" spans="1:78">
      <c r="A425" s="1">
        <v>45209.411026168978</v>
      </c>
      <c r="C425">
        <v>424</v>
      </c>
      <c r="D425" s="10">
        <v>29977</v>
      </c>
      <c r="E425">
        <v>41</v>
      </c>
      <c r="F425">
        <v>1</v>
      </c>
      <c r="G425">
        <v>1</v>
      </c>
      <c r="H425">
        <v>4</v>
      </c>
      <c r="I425" s="10">
        <v>44693</v>
      </c>
      <c r="J425">
        <v>1</v>
      </c>
      <c r="K425">
        <v>1</v>
      </c>
      <c r="L425">
        <v>2</v>
      </c>
      <c r="M425">
        <v>3320</v>
      </c>
      <c r="N425">
        <v>2</v>
      </c>
      <c r="O425" s="10">
        <v>44418</v>
      </c>
      <c r="P425">
        <v>1</v>
      </c>
      <c r="Q425">
        <v>39.285714285714285</v>
      </c>
      <c r="R425">
        <v>2</v>
      </c>
      <c r="S425">
        <v>64</v>
      </c>
      <c r="T425">
        <v>160</v>
      </c>
      <c r="U425">
        <v>78</v>
      </c>
      <c r="V425">
        <v>14</v>
      </c>
      <c r="W425">
        <v>3</v>
      </c>
      <c r="X425">
        <v>24.999999999999996</v>
      </c>
      <c r="Y425">
        <v>30.468749999999993</v>
      </c>
      <c r="Z425">
        <v>5.4687499999999964</v>
      </c>
      <c r="AA425">
        <v>3</v>
      </c>
      <c r="AB425">
        <v>4</v>
      </c>
      <c r="AC425" t="s">
        <v>44</v>
      </c>
      <c r="AD425">
        <v>1</v>
      </c>
      <c r="AE425">
        <v>0</v>
      </c>
      <c r="AG425">
        <v>5</v>
      </c>
      <c r="AH425">
        <v>1</v>
      </c>
      <c r="AI425">
        <v>2</v>
      </c>
      <c r="AJ425">
        <v>5</v>
      </c>
      <c r="AK425">
        <v>7</v>
      </c>
      <c r="AL425">
        <v>1</v>
      </c>
      <c r="AM425">
        <f>AJ425*AK425*AL425/7</f>
        <v>5</v>
      </c>
      <c r="AN425" t="s">
        <v>57</v>
      </c>
      <c r="AO425">
        <v>1</v>
      </c>
      <c r="AP425">
        <v>18</v>
      </c>
      <c r="AQ425" t="s">
        <v>217</v>
      </c>
      <c r="AR425">
        <v>2</v>
      </c>
      <c r="AS425">
        <v>7</v>
      </c>
      <c r="AT425">
        <v>1</v>
      </c>
      <c r="AU425">
        <f>AR425*AS425*AT425/7</f>
        <v>2</v>
      </c>
      <c r="AV425">
        <f>AU425+AM425</f>
        <v>7</v>
      </c>
      <c r="AW425" t="s">
        <v>326</v>
      </c>
      <c r="AX425">
        <v>0</v>
      </c>
      <c r="BE425">
        <f>AM425+AU425+BD425</f>
        <v>7</v>
      </c>
      <c r="BF425" t="s">
        <v>894</v>
      </c>
      <c r="BG425">
        <v>1</v>
      </c>
      <c r="BH425">
        <v>7</v>
      </c>
      <c r="BI425">
        <v>1</v>
      </c>
      <c r="BJ425" t="s">
        <v>36</v>
      </c>
      <c r="BK425">
        <v>4</v>
      </c>
      <c r="BL425">
        <v>3</v>
      </c>
      <c r="BM425">
        <v>1</v>
      </c>
      <c r="BN425" t="s">
        <v>30</v>
      </c>
      <c r="BO425">
        <v>1</v>
      </c>
      <c r="BP425">
        <v>168</v>
      </c>
      <c r="BQ425">
        <v>0.13</v>
      </c>
      <c r="BR425">
        <v>2</v>
      </c>
      <c r="BS425">
        <v>0.26</v>
      </c>
      <c r="BT425">
        <f>BS425+BD425+AU425+AM425</f>
        <v>7.26</v>
      </c>
      <c r="BU425">
        <v>1</v>
      </c>
      <c r="BV425">
        <v>2</v>
      </c>
      <c r="BW425">
        <v>293</v>
      </c>
      <c r="BX425">
        <f>BW425/7</f>
        <v>41.857142857142854</v>
      </c>
      <c r="BY425">
        <f>0.77*BX425</f>
        <v>32.229999999999997</v>
      </c>
      <c r="BZ425">
        <f t="shared" si="6"/>
        <v>39.489999999999995</v>
      </c>
    </row>
    <row r="426" spans="1:78">
      <c r="A426" s="1">
        <v>45209.413167986109</v>
      </c>
      <c r="C426">
        <v>425</v>
      </c>
      <c r="D426" s="10">
        <v>33187</v>
      </c>
      <c r="E426">
        <v>32</v>
      </c>
      <c r="F426">
        <v>1</v>
      </c>
      <c r="G426">
        <v>6</v>
      </c>
      <c r="H426">
        <v>4</v>
      </c>
      <c r="I426" s="10">
        <v>45122</v>
      </c>
      <c r="J426">
        <v>2</v>
      </c>
      <c r="K426">
        <v>0</v>
      </c>
      <c r="L426">
        <v>1</v>
      </c>
      <c r="M426">
        <v>1998</v>
      </c>
      <c r="N426">
        <v>1</v>
      </c>
      <c r="O426" s="10">
        <v>44884</v>
      </c>
      <c r="P426">
        <v>0</v>
      </c>
      <c r="Q426">
        <v>34</v>
      </c>
      <c r="R426">
        <v>3</v>
      </c>
      <c r="S426">
        <v>72</v>
      </c>
      <c r="T426">
        <v>158</v>
      </c>
      <c r="U426">
        <v>85</v>
      </c>
      <c r="V426">
        <v>13</v>
      </c>
      <c r="W426">
        <v>3</v>
      </c>
      <c r="X426">
        <v>28.841531805800347</v>
      </c>
      <c r="Y426">
        <v>34.049030604069856</v>
      </c>
      <c r="Z426">
        <v>5.2074987982695085</v>
      </c>
      <c r="AA426">
        <v>3</v>
      </c>
      <c r="AB426">
        <v>4</v>
      </c>
      <c r="AC426" t="s">
        <v>25</v>
      </c>
      <c r="AD426">
        <v>1</v>
      </c>
      <c r="AE426">
        <v>0</v>
      </c>
      <c r="AG426">
        <v>5</v>
      </c>
      <c r="AH426">
        <v>1</v>
      </c>
      <c r="AI426">
        <v>5</v>
      </c>
      <c r="AJ426">
        <v>5</v>
      </c>
      <c r="AK426">
        <v>7</v>
      </c>
      <c r="AL426">
        <v>1</v>
      </c>
      <c r="AM426">
        <f>AJ426*AK426*AL426/7</f>
        <v>5</v>
      </c>
      <c r="AN426" t="s">
        <v>27</v>
      </c>
      <c r="AO426">
        <v>0</v>
      </c>
      <c r="AV426">
        <f>AU426+AM426</f>
        <v>5</v>
      </c>
      <c r="AW426" t="s">
        <v>35</v>
      </c>
      <c r="AX426">
        <v>1</v>
      </c>
      <c r="AY426" t="s">
        <v>35</v>
      </c>
      <c r="AZ426">
        <v>12</v>
      </c>
      <c r="BA426">
        <v>0.4</v>
      </c>
      <c r="BB426">
        <v>7</v>
      </c>
      <c r="BC426">
        <v>1</v>
      </c>
      <c r="BD426">
        <f>BA426*BB426*1/7</f>
        <v>0.4</v>
      </c>
      <c r="BE426">
        <f>AM426+AU426+BD426</f>
        <v>5.4</v>
      </c>
      <c r="BF426" t="s">
        <v>35</v>
      </c>
      <c r="BG426">
        <v>0</v>
      </c>
      <c r="BH426">
        <v>7</v>
      </c>
      <c r="BI426">
        <v>1</v>
      </c>
      <c r="BJ426" t="s">
        <v>28</v>
      </c>
      <c r="BK426">
        <v>3</v>
      </c>
      <c r="BL426">
        <v>3</v>
      </c>
      <c r="BM426">
        <v>1</v>
      </c>
      <c r="BN426" t="s">
        <v>47</v>
      </c>
      <c r="BO426">
        <v>14</v>
      </c>
      <c r="BP426">
        <v>73.384615384615387</v>
      </c>
      <c r="BQ426">
        <v>0.1</v>
      </c>
      <c r="BR426">
        <v>1</v>
      </c>
      <c r="BS426">
        <v>0.1</v>
      </c>
      <c r="BT426">
        <f>BS426+BD426+AU426+AM426</f>
        <v>5.5</v>
      </c>
      <c r="BU426">
        <v>1</v>
      </c>
      <c r="BV426">
        <v>1</v>
      </c>
      <c r="BW426">
        <v>146.5</v>
      </c>
      <c r="BX426">
        <f>BW426/7</f>
        <v>20.928571428571427</v>
      </c>
      <c r="BY426">
        <f>0.77*BX426</f>
        <v>16.114999999999998</v>
      </c>
      <c r="BZ426">
        <f t="shared" si="6"/>
        <v>21.614999999999998</v>
      </c>
    </row>
    <row r="427" spans="1:78">
      <c r="A427" s="1">
        <v>45209.424773333332</v>
      </c>
      <c r="C427">
        <v>426</v>
      </c>
      <c r="D427" s="10">
        <v>36381</v>
      </c>
      <c r="E427">
        <v>24</v>
      </c>
      <c r="F427">
        <v>1</v>
      </c>
      <c r="G427">
        <v>1</v>
      </c>
      <c r="H427">
        <v>2</v>
      </c>
      <c r="I427" s="10">
        <v>44000</v>
      </c>
      <c r="J427">
        <v>1</v>
      </c>
      <c r="K427">
        <v>1</v>
      </c>
      <c r="L427">
        <v>1</v>
      </c>
      <c r="M427">
        <v>3250</v>
      </c>
      <c r="N427">
        <v>2</v>
      </c>
      <c r="O427" s="10">
        <v>43728</v>
      </c>
      <c r="P427">
        <v>0</v>
      </c>
      <c r="Q427">
        <v>38.857142857142854</v>
      </c>
      <c r="R427">
        <v>2</v>
      </c>
      <c r="S427">
        <v>40</v>
      </c>
      <c r="T427">
        <v>155</v>
      </c>
      <c r="U427">
        <v>62</v>
      </c>
      <c r="V427">
        <v>22</v>
      </c>
      <c r="W427">
        <v>3</v>
      </c>
      <c r="X427">
        <v>16.649323621227886</v>
      </c>
      <c r="Y427">
        <v>25.806451612903224</v>
      </c>
      <c r="Z427">
        <v>9.1571279916753383</v>
      </c>
      <c r="AA427">
        <v>1</v>
      </c>
      <c r="AB427">
        <v>3</v>
      </c>
      <c r="AC427" t="s">
        <v>33</v>
      </c>
      <c r="AD427">
        <v>3</v>
      </c>
      <c r="AE427">
        <v>0</v>
      </c>
      <c r="AG427">
        <v>5</v>
      </c>
      <c r="AH427">
        <v>1</v>
      </c>
      <c r="AI427">
        <v>4</v>
      </c>
      <c r="AJ427">
        <v>1</v>
      </c>
      <c r="AK427">
        <v>7</v>
      </c>
      <c r="AL427">
        <v>1</v>
      </c>
      <c r="AM427">
        <f>AJ427*AK427*AL427/7</f>
        <v>1</v>
      </c>
      <c r="AN427" t="s">
        <v>43</v>
      </c>
      <c r="AO427">
        <v>1</v>
      </c>
      <c r="AP427">
        <v>19</v>
      </c>
      <c r="AQ427" t="s">
        <v>184</v>
      </c>
      <c r="AR427">
        <v>2</v>
      </c>
      <c r="AS427">
        <v>7</v>
      </c>
      <c r="AT427">
        <v>1</v>
      </c>
      <c r="AU427">
        <f>AR427*AS427*AT427/7</f>
        <v>2</v>
      </c>
      <c r="AV427">
        <f>AU427+AM427</f>
        <v>3</v>
      </c>
      <c r="AW427" t="s">
        <v>184</v>
      </c>
      <c r="AX427">
        <v>0</v>
      </c>
      <c r="BE427">
        <f>AM427+AU427+BD427</f>
        <v>3</v>
      </c>
      <c r="BG427">
        <v>0</v>
      </c>
      <c r="BJ427" t="s">
        <v>49</v>
      </c>
      <c r="BK427">
        <v>5</v>
      </c>
      <c r="BL427">
        <v>1</v>
      </c>
      <c r="BM427">
        <v>1</v>
      </c>
      <c r="BN427" t="s">
        <v>30</v>
      </c>
      <c r="BO427">
        <v>1</v>
      </c>
      <c r="BP427">
        <v>168</v>
      </c>
      <c r="BQ427">
        <v>0.13</v>
      </c>
      <c r="BR427">
        <v>2</v>
      </c>
      <c r="BS427">
        <v>0.26</v>
      </c>
      <c r="BT427">
        <f>BS427+BD427+AU427+AM427</f>
        <v>3.26</v>
      </c>
      <c r="BU427">
        <v>1</v>
      </c>
      <c r="BV427">
        <v>2</v>
      </c>
      <c r="BW427">
        <v>293</v>
      </c>
      <c r="BX427">
        <f>BW427/7</f>
        <v>41.857142857142854</v>
      </c>
      <c r="BY427">
        <f>0.77*BX427</f>
        <v>32.229999999999997</v>
      </c>
      <c r="BZ427">
        <f t="shared" si="6"/>
        <v>35.489999999999995</v>
      </c>
    </row>
    <row r="428" spans="1:78">
      <c r="A428" s="1">
        <v>45209.438469050925</v>
      </c>
      <c r="C428">
        <v>427</v>
      </c>
      <c r="D428" s="10">
        <v>33586</v>
      </c>
      <c r="E428">
        <v>31</v>
      </c>
      <c r="F428">
        <v>1</v>
      </c>
      <c r="G428">
        <v>1</v>
      </c>
      <c r="H428">
        <v>4</v>
      </c>
      <c r="I428" s="10">
        <v>45100</v>
      </c>
      <c r="J428">
        <v>2</v>
      </c>
      <c r="K428">
        <v>0</v>
      </c>
      <c r="L428">
        <v>1</v>
      </c>
      <c r="M428">
        <v>3380</v>
      </c>
      <c r="N428">
        <v>2</v>
      </c>
      <c r="O428" s="10">
        <v>44827</v>
      </c>
      <c r="P428">
        <v>0</v>
      </c>
      <c r="Q428">
        <v>39</v>
      </c>
      <c r="R428">
        <v>2</v>
      </c>
      <c r="S428">
        <v>72</v>
      </c>
      <c r="T428">
        <v>160</v>
      </c>
      <c r="U428">
        <v>80</v>
      </c>
      <c r="V428">
        <v>8</v>
      </c>
      <c r="W428">
        <v>2</v>
      </c>
      <c r="X428">
        <v>28.124999999999993</v>
      </c>
      <c r="Y428">
        <v>31.249999999999993</v>
      </c>
      <c r="Z428">
        <v>3.125</v>
      </c>
      <c r="AA428">
        <v>3</v>
      </c>
      <c r="AB428">
        <v>4</v>
      </c>
      <c r="AC428" t="s">
        <v>33</v>
      </c>
      <c r="AD428">
        <v>3</v>
      </c>
      <c r="AE428">
        <v>0</v>
      </c>
      <c r="AG428">
        <v>5</v>
      </c>
      <c r="AH428">
        <v>1</v>
      </c>
      <c r="AI428">
        <v>13</v>
      </c>
      <c r="AJ428">
        <v>1</v>
      </c>
      <c r="AK428">
        <v>7</v>
      </c>
      <c r="AL428">
        <v>1</v>
      </c>
      <c r="AM428">
        <f>AJ428*AK428*AL428/7</f>
        <v>1</v>
      </c>
      <c r="AN428" t="s">
        <v>79</v>
      </c>
      <c r="AO428">
        <v>0</v>
      </c>
      <c r="AV428">
        <f>AU428+AM428</f>
        <v>1</v>
      </c>
      <c r="AX428">
        <v>0</v>
      </c>
      <c r="BE428">
        <f>AM428+AU428+BD428</f>
        <v>1</v>
      </c>
      <c r="BG428">
        <v>0</v>
      </c>
      <c r="BJ428" t="s">
        <v>42</v>
      </c>
      <c r="BK428">
        <v>6</v>
      </c>
      <c r="BL428">
        <v>3</v>
      </c>
      <c r="BM428">
        <v>1</v>
      </c>
      <c r="BN428" t="s">
        <v>30</v>
      </c>
      <c r="BO428">
        <v>1</v>
      </c>
      <c r="BP428">
        <v>252</v>
      </c>
      <c r="BQ428">
        <v>0.13</v>
      </c>
      <c r="BR428">
        <v>3</v>
      </c>
      <c r="BS428">
        <v>0.39</v>
      </c>
      <c r="BT428">
        <f>BS428+BD428+AU428+AM428</f>
        <v>1.3900000000000001</v>
      </c>
      <c r="BU428">
        <v>1</v>
      </c>
      <c r="BV428">
        <v>5</v>
      </c>
      <c r="BW428">
        <v>732.5</v>
      </c>
      <c r="BX428">
        <f>BW428/7</f>
        <v>104.64285714285714</v>
      </c>
      <c r="BY428">
        <f>0.77*BX428</f>
        <v>80.575000000000003</v>
      </c>
      <c r="BZ428">
        <f t="shared" si="6"/>
        <v>81.965000000000003</v>
      </c>
    </row>
    <row r="429" spans="1:78">
      <c r="A429" s="1">
        <v>45209.509655196758</v>
      </c>
      <c r="C429">
        <v>428</v>
      </c>
      <c r="D429" s="10">
        <v>32171</v>
      </c>
      <c r="E429">
        <v>35</v>
      </c>
      <c r="F429">
        <v>1</v>
      </c>
      <c r="G429">
        <v>10</v>
      </c>
      <c r="H429">
        <v>4</v>
      </c>
      <c r="I429" s="10">
        <v>44978</v>
      </c>
      <c r="J429">
        <v>2</v>
      </c>
      <c r="K429">
        <v>0</v>
      </c>
      <c r="L429">
        <v>2</v>
      </c>
      <c r="M429">
        <v>3785</v>
      </c>
      <c r="N429">
        <v>2</v>
      </c>
      <c r="O429" s="10">
        <v>44705</v>
      </c>
      <c r="P429">
        <v>0</v>
      </c>
      <c r="Q429">
        <v>39</v>
      </c>
      <c r="R429">
        <v>2</v>
      </c>
      <c r="S429">
        <v>74</v>
      </c>
      <c r="T429">
        <v>149</v>
      </c>
      <c r="U429">
        <v>85</v>
      </c>
      <c r="V429">
        <v>11</v>
      </c>
      <c r="W429">
        <v>2</v>
      </c>
      <c r="X429">
        <v>33.331831899463985</v>
      </c>
      <c r="Y429">
        <v>38.286563668303231</v>
      </c>
      <c r="Z429">
        <v>4.9547317688392454</v>
      </c>
      <c r="AA429">
        <v>4</v>
      </c>
      <c r="AB429">
        <v>4</v>
      </c>
      <c r="AC429" t="s">
        <v>33</v>
      </c>
      <c r="AD429">
        <v>3</v>
      </c>
      <c r="AE429">
        <v>0</v>
      </c>
      <c r="AG429">
        <v>5</v>
      </c>
      <c r="AH429">
        <v>1</v>
      </c>
      <c r="AI429">
        <v>13</v>
      </c>
      <c r="AJ429">
        <v>1</v>
      </c>
      <c r="AK429">
        <v>6</v>
      </c>
      <c r="AL429">
        <v>2</v>
      </c>
      <c r="AM429">
        <f>AJ429*AK429*AL429/7</f>
        <v>1.7142857142857142</v>
      </c>
      <c r="AN429" t="s">
        <v>79</v>
      </c>
      <c r="AO429">
        <v>0</v>
      </c>
      <c r="AV429">
        <f>AU429+AM429</f>
        <v>1.7142857142857142</v>
      </c>
      <c r="AX429">
        <v>0</v>
      </c>
      <c r="BE429">
        <f>AM429+AU429+BD429</f>
        <v>1.7142857142857142</v>
      </c>
      <c r="BG429">
        <v>0</v>
      </c>
      <c r="BJ429" t="s">
        <v>36</v>
      </c>
      <c r="BK429">
        <v>4</v>
      </c>
      <c r="BL429">
        <v>1</v>
      </c>
      <c r="BM429">
        <v>1</v>
      </c>
      <c r="BN429" t="s">
        <v>30</v>
      </c>
      <c r="BO429">
        <v>1</v>
      </c>
      <c r="BP429">
        <v>168</v>
      </c>
      <c r="BQ429">
        <v>0.13</v>
      </c>
      <c r="BR429">
        <v>2</v>
      </c>
      <c r="BS429">
        <v>0.26</v>
      </c>
      <c r="BT429">
        <f>BS429+BD429+AU429+AM429</f>
        <v>1.9742857142857142</v>
      </c>
      <c r="BU429">
        <v>1</v>
      </c>
      <c r="BV429">
        <v>2</v>
      </c>
      <c r="BW429">
        <v>293</v>
      </c>
      <c r="BX429">
        <f>BW429/7</f>
        <v>41.857142857142854</v>
      </c>
      <c r="BY429">
        <f>0.77*BX429</f>
        <v>32.229999999999997</v>
      </c>
      <c r="BZ429">
        <f t="shared" si="6"/>
        <v>34.20428571428571</v>
      </c>
    </row>
    <row r="430" spans="1:78">
      <c r="A430" s="1">
        <v>45209.512541851851</v>
      </c>
      <c r="C430">
        <v>429</v>
      </c>
      <c r="D430" s="10">
        <v>34915</v>
      </c>
      <c r="E430">
        <v>28</v>
      </c>
      <c r="F430">
        <v>1</v>
      </c>
      <c r="G430">
        <v>3</v>
      </c>
      <c r="H430">
        <v>5</v>
      </c>
      <c r="I430" s="10">
        <v>44018</v>
      </c>
      <c r="J430">
        <v>1</v>
      </c>
      <c r="K430">
        <v>1</v>
      </c>
      <c r="L430">
        <v>1</v>
      </c>
      <c r="M430">
        <v>2498</v>
      </c>
      <c r="N430">
        <v>1</v>
      </c>
      <c r="O430" s="10">
        <v>43773</v>
      </c>
      <c r="P430">
        <v>0</v>
      </c>
      <c r="Q430">
        <v>35</v>
      </c>
      <c r="R430">
        <v>3</v>
      </c>
      <c r="S430">
        <v>60</v>
      </c>
      <c r="T430">
        <v>153</v>
      </c>
      <c r="U430">
        <v>69</v>
      </c>
      <c r="V430">
        <v>9</v>
      </c>
      <c r="W430">
        <v>2</v>
      </c>
      <c r="X430">
        <v>25.631167499679609</v>
      </c>
      <c r="Y430">
        <v>29.475842624631554</v>
      </c>
      <c r="Z430">
        <v>3.8446751249519444</v>
      </c>
      <c r="AA430">
        <v>3</v>
      </c>
      <c r="AB430">
        <v>3</v>
      </c>
      <c r="AC430" t="s">
        <v>25</v>
      </c>
      <c r="AD430">
        <v>1</v>
      </c>
      <c r="AE430">
        <v>0</v>
      </c>
      <c r="AG430">
        <v>5</v>
      </c>
      <c r="AH430">
        <v>1</v>
      </c>
      <c r="AI430">
        <v>4</v>
      </c>
      <c r="AJ430">
        <v>1</v>
      </c>
      <c r="AK430">
        <v>7</v>
      </c>
      <c r="AL430">
        <v>1</v>
      </c>
      <c r="AM430">
        <f>AJ430*AK430*AL430/7</f>
        <v>1</v>
      </c>
      <c r="AN430" t="s">
        <v>43</v>
      </c>
      <c r="AO430">
        <v>0</v>
      </c>
      <c r="AV430">
        <f>AU430+AM430</f>
        <v>1</v>
      </c>
      <c r="AX430">
        <v>0</v>
      </c>
      <c r="BE430">
        <f>AM430+AU430+BD430</f>
        <v>1</v>
      </c>
      <c r="BG430">
        <v>0</v>
      </c>
      <c r="BJ430" t="s">
        <v>49</v>
      </c>
      <c r="BK430">
        <v>5</v>
      </c>
      <c r="BL430">
        <v>1</v>
      </c>
      <c r="BM430">
        <v>1</v>
      </c>
      <c r="BN430" t="s">
        <v>55</v>
      </c>
      <c r="BO430">
        <v>2</v>
      </c>
      <c r="BP430">
        <v>67</v>
      </c>
      <c r="BQ430">
        <v>0.1</v>
      </c>
      <c r="BR430">
        <v>1</v>
      </c>
      <c r="BS430">
        <v>0.1</v>
      </c>
      <c r="BT430">
        <f>BS430+BD430+AU430+AM430</f>
        <v>1.1000000000000001</v>
      </c>
      <c r="BU430">
        <v>1</v>
      </c>
      <c r="BV430">
        <v>1</v>
      </c>
      <c r="BW430">
        <v>146.5</v>
      </c>
      <c r="BX430">
        <f>BW430/7</f>
        <v>20.928571428571427</v>
      </c>
      <c r="BY430">
        <f>0.77*BX430</f>
        <v>16.114999999999998</v>
      </c>
      <c r="BZ430">
        <f t="shared" si="6"/>
        <v>17.215</v>
      </c>
    </row>
    <row r="431" spans="1:78">
      <c r="A431" s="1">
        <v>45209.516848553241</v>
      </c>
      <c r="C431">
        <v>430</v>
      </c>
      <c r="D431" s="10">
        <v>33187</v>
      </c>
      <c r="E431">
        <v>32</v>
      </c>
      <c r="F431">
        <v>1</v>
      </c>
      <c r="G431">
        <v>6</v>
      </c>
      <c r="H431">
        <v>4</v>
      </c>
      <c r="I431" s="10">
        <v>44427</v>
      </c>
      <c r="J431">
        <v>1</v>
      </c>
      <c r="K431">
        <v>1</v>
      </c>
      <c r="L431">
        <v>2</v>
      </c>
      <c r="M431">
        <v>2970</v>
      </c>
      <c r="N431">
        <v>2</v>
      </c>
      <c r="O431" s="10">
        <v>44154</v>
      </c>
      <c r="P431">
        <v>1</v>
      </c>
      <c r="Q431">
        <v>39</v>
      </c>
      <c r="R431">
        <v>2</v>
      </c>
      <c r="S431">
        <v>120</v>
      </c>
      <c r="T431">
        <v>169</v>
      </c>
      <c r="U431">
        <v>128.5</v>
      </c>
      <c r="V431">
        <v>8.5</v>
      </c>
      <c r="W431">
        <v>2</v>
      </c>
      <c r="X431">
        <v>42.015335597493092</v>
      </c>
      <c r="Y431">
        <v>44.991421868982187</v>
      </c>
      <c r="Z431">
        <v>2.9760862714890948</v>
      </c>
      <c r="AA431">
        <v>4</v>
      </c>
      <c r="AB431">
        <v>4</v>
      </c>
      <c r="AC431" t="s">
        <v>33</v>
      </c>
      <c r="AD431">
        <v>3</v>
      </c>
      <c r="AE431">
        <v>0</v>
      </c>
      <c r="AG431">
        <v>5</v>
      </c>
      <c r="AH431">
        <v>1</v>
      </c>
      <c r="AI431">
        <v>2</v>
      </c>
      <c r="AJ431">
        <v>5</v>
      </c>
      <c r="AK431">
        <v>7</v>
      </c>
      <c r="AL431">
        <v>1</v>
      </c>
      <c r="AM431">
        <f>AJ431*AK431*AL431/7</f>
        <v>5</v>
      </c>
      <c r="AN431" t="s">
        <v>57</v>
      </c>
      <c r="AO431">
        <v>0</v>
      </c>
      <c r="AV431">
        <f>AU431+AM431</f>
        <v>5</v>
      </c>
      <c r="AW431" t="s">
        <v>186</v>
      </c>
      <c r="AX431">
        <v>1</v>
      </c>
      <c r="AY431" t="s">
        <v>186</v>
      </c>
      <c r="AZ431">
        <v>5</v>
      </c>
      <c r="BA431">
        <v>0.4</v>
      </c>
      <c r="BB431">
        <v>7</v>
      </c>
      <c r="BC431">
        <v>1</v>
      </c>
      <c r="BD431">
        <f>BA431*BB431*1/7</f>
        <v>0.4</v>
      </c>
      <c r="BE431">
        <f>AM431+AU431+BD431</f>
        <v>5.4</v>
      </c>
      <c r="BF431" t="s">
        <v>186</v>
      </c>
      <c r="BG431">
        <v>0</v>
      </c>
      <c r="BH431">
        <v>7</v>
      </c>
      <c r="BI431">
        <v>1</v>
      </c>
      <c r="BJ431" t="s">
        <v>49</v>
      </c>
      <c r="BK431">
        <v>5</v>
      </c>
      <c r="BL431">
        <v>3</v>
      </c>
      <c r="BM431">
        <v>1</v>
      </c>
      <c r="BN431" t="s">
        <v>30</v>
      </c>
      <c r="BO431">
        <v>1</v>
      </c>
      <c r="BP431">
        <v>252</v>
      </c>
      <c r="BQ431">
        <v>0.13</v>
      </c>
      <c r="BR431">
        <v>3</v>
      </c>
      <c r="BS431">
        <v>0.39</v>
      </c>
      <c r="BT431">
        <f>BS431+BD431+AU431+AM431</f>
        <v>5.79</v>
      </c>
      <c r="BU431">
        <v>1</v>
      </c>
      <c r="BV431">
        <v>3</v>
      </c>
      <c r="BW431">
        <v>439.5</v>
      </c>
      <c r="BX431">
        <f>BW431/7</f>
        <v>62.785714285714285</v>
      </c>
      <c r="BY431">
        <f>0.77*BX431</f>
        <v>48.344999999999999</v>
      </c>
      <c r="BZ431">
        <f t="shared" si="6"/>
        <v>54.134999999999998</v>
      </c>
    </row>
    <row r="432" spans="1:78">
      <c r="A432" s="1">
        <v>45209.521986851847</v>
      </c>
      <c r="C432">
        <v>431</v>
      </c>
      <c r="D432" s="10">
        <v>30706</v>
      </c>
      <c r="E432">
        <v>39</v>
      </c>
      <c r="F432">
        <v>1</v>
      </c>
      <c r="G432">
        <v>1</v>
      </c>
      <c r="H432">
        <v>4</v>
      </c>
      <c r="I432" s="10">
        <v>43243</v>
      </c>
      <c r="J432">
        <v>2</v>
      </c>
      <c r="K432">
        <v>0</v>
      </c>
      <c r="L432">
        <v>1</v>
      </c>
      <c r="M432">
        <v>3750</v>
      </c>
      <c r="N432">
        <v>2</v>
      </c>
      <c r="O432" s="10">
        <v>42984</v>
      </c>
      <c r="P432">
        <v>0</v>
      </c>
      <c r="Q432">
        <v>37</v>
      </c>
      <c r="R432">
        <v>2</v>
      </c>
      <c r="S432">
        <v>80</v>
      </c>
      <c r="T432">
        <v>166</v>
      </c>
      <c r="U432">
        <v>85</v>
      </c>
      <c r="V432">
        <v>5</v>
      </c>
      <c r="W432">
        <v>1</v>
      </c>
      <c r="X432">
        <v>29.031789809841779</v>
      </c>
      <c r="Y432">
        <v>30.84627667295689</v>
      </c>
      <c r="Z432">
        <v>1.8144868631151105</v>
      </c>
      <c r="AA432">
        <v>3</v>
      </c>
      <c r="AB432">
        <v>4</v>
      </c>
      <c r="AC432" t="s">
        <v>33</v>
      </c>
      <c r="AD432">
        <v>3</v>
      </c>
      <c r="AE432">
        <v>0</v>
      </c>
      <c r="AG432">
        <v>5</v>
      </c>
      <c r="AH432">
        <v>1</v>
      </c>
      <c r="AI432">
        <v>4</v>
      </c>
      <c r="AJ432">
        <v>1</v>
      </c>
      <c r="AK432">
        <v>7</v>
      </c>
      <c r="AL432">
        <v>1</v>
      </c>
      <c r="AM432">
        <f>AJ432*AK432*AL432/7</f>
        <v>1</v>
      </c>
      <c r="AN432" t="s">
        <v>43</v>
      </c>
      <c r="AO432">
        <v>0</v>
      </c>
      <c r="AV432">
        <f>AU432+AM432</f>
        <v>1</v>
      </c>
      <c r="AW432" t="s">
        <v>58</v>
      </c>
      <c r="AX432">
        <v>1</v>
      </c>
      <c r="AY432" t="s">
        <v>58</v>
      </c>
      <c r="AZ432">
        <v>1</v>
      </c>
      <c r="BA432">
        <v>0.8</v>
      </c>
      <c r="BB432">
        <v>7</v>
      </c>
      <c r="BC432">
        <v>1</v>
      </c>
      <c r="BD432">
        <f>BA432*BB432*1/7</f>
        <v>0.8</v>
      </c>
      <c r="BE432">
        <f>AM432+AU432+BD432</f>
        <v>1.8</v>
      </c>
      <c r="BF432" t="s">
        <v>58</v>
      </c>
      <c r="BG432">
        <v>0</v>
      </c>
      <c r="BH432">
        <v>7</v>
      </c>
      <c r="BI432">
        <v>1</v>
      </c>
      <c r="BJ432" t="s">
        <v>28</v>
      </c>
      <c r="BK432">
        <v>3</v>
      </c>
      <c r="BL432">
        <v>1</v>
      </c>
      <c r="BM432">
        <v>1</v>
      </c>
      <c r="BN432" t="s">
        <v>30</v>
      </c>
      <c r="BO432">
        <v>1</v>
      </c>
      <c r="BP432">
        <v>252</v>
      </c>
      <c r="BQ432">
        <v>0.13</v>
      </c>
      <c r="BR432">
        <v>3</v>
      </c>
      <c r="BS432">
        <v>0.39</v>
      </c>
      <c r="BT432">
        <f>BS432+BD432+AU432+AM432</f>
        <v>2.19</v>
      </c>
      <c r="BU432">
        <v>1</v>
      </c>
      <c r="BV432">
        <v>3</v>
      </c>
      <c r="BW432">
        <v>439.5</v>
      </c>
      <c r="BX432">
        <f>BW432/7</f>
        <v>62.785714285714285</v>
      </c>
      <c r="BY432">
        <f>0.77*BX432</f>
        <v>48.344999999999999</v>
      </c>
      <c r="BZ432">
        <f t="shared" si="6"/>
        <v>50.534999999999997</v>
      </c>
    </row>
    <row r="433" spans="1:78">
      <c r="A433" s="1">
        <v>45209.548187928245</v>
      </c>
      <c r="C433">
        <v>432</v>
      </c>
      <c r="D433" s="10">
        <v>30433</v>
      </c>
      <c r="E433">
        <v>40</v>
      </c>
      <c r="F433">
        <v>1</v>
      </c>
      <c r="G433">
        <v>12</v>
      </c>
      <c r="H433">
        <v>2</v>
      </c>
      <c r="I433" s="10">
        <v>44971</v>
      </c>
      <c r="J433">
        <v>2</v>
      </c>
      <c r="K433">
        <v>0</v>
      </c>
      <c r="L433">
        <v>1</v>
      </c>
      <c r="M433">
        <v>3135</v>
      </c>
      <c r="N433">
        <v>2</v>
      </c>
      <c r="O433" s="10">
        <v>44715</v>
      </c>
      <c r="P433">
        <v>0</v>
      </c>
      <c r="Q433">
        <v>36.571428571428569</v>
      </c>
      <c r="R433">
        <v>3</v>
      </c>
      <c r="S433">
        <v>60</v>
      </c>
      <c r="T433">
        <v>160</v>
      </c>
      <c r="U433">
        <v>68</v>
      </c>
      <c r="V433">
        <v>8</v>
      </c>
      <c r="W433">
        <v>1</v>
      </c>
      <c r="X433">
        <v>23.437499999999996</v>
      </c>
      <c r="Y433">
        <v>26.562499999999996</v>
      </c>
      <c r="Z433">
        <v>3.125</v>
      </c>
      <c r="AA433">
        <v>2</v>
      </c>
      <c r="AB433">
        <v>3</v>
      </c>
      <c r="AC433" t="s">
        <v>25</v>
      </c>
      <c r="AD433">
        <v>1</v>
      </c>
      <c r="AE433">
        <v>1</v>
      </c>
      <c r="AF433" t="s">
        <v>330</v>
      </c>
      <c r="AG433" t="e">
        <v>#N/A</v>
      </c>
      <c r="AH433">
        <v>1</v>
      </c>
      <c r="AI433">
        <v>5</v>
      </c>
      <c r="AJ433">
        <v>5</v>
      </c>
      <c r="AK433">
        <v>7</v>
      </c>
      <c r="AL433">
        <v>1</v>
      </c>
      <c r="AM433">
        <f>AJ433*AK433*AL433/7</f>
        <v>5</v>
      </c>
      <c r="AN433" t="s">
        <v>27</v>
      </c>
      <c r="AO433">
        <v>0</v>
      </c>
      <c r="AV433">
        <f>AU433+AM433</f>
        <v>5</v>
      </c>
      <c r="AX433">
        <v>0</v>
      </c>
      <c r="BE433">
        <f>AM433+AU433+BD433</f>
        <v>5</v>
      </c>
      <c r="BG433">
        <v>0</v>
      </c>
      <c r="BJ433" t="s">
        <v>42</v>
      </c>
      <c r="BK433">
        <v>6</v>
      </c>
      <c r="BL433">
        <v>1</v>
      </c>
      <c r="BM433">
        <v>1</v>
      </c>
      <c r="BN433" t="s">
        <v>55</v>
      </c>
      <c r="BO433">
        <v>2</v>
      </c>
      <c r="BP433">
        <v>67</v>
      </c>
      <c r="BQ433">
        <v>0.1</v>
      </c>
      <c r="BR433">
        <v>1</v>
      </c>
      <c r="BS433">
        <v>0.1</v>
      </c>
      <c r="BT433">
        <f>BS433+BD433+AU433+AM433</f>
        <v>5.0999999999999996</v>
      </c>
      <c r="BU433">
        <v>1</v>
      </c>
      <c r="BV433">
        <v>1</v>
      </c>
      <c r="BW433">
        <v>146.5</v>
      </c>
      <c r="BX433">
        <f>BW433/7</f>
        <v>20.928571428571427</v>
      </c>
      <c r="BY433">
        <f>0.77*BX433</f>
        <v>16.114999999999998</v>
      </c>
      <c r="BZ433">
        <f t="shared" si="6"/>
        <v>21.214999999999996</v>
      </c>
    </row>
    <row r="434" spans="1:78">
      <c r="A434" s="1">
        <v>45209.561214895832</v>
      </c>
      <c r="C434">
        <v>433</v>
      </c>
      <c r="D434" s="10">
        <v>36174</v>
      </c>
      <c r="E434">
        <v>24</v>
      </c>
      <c r="F434">
        <v>1</v>
      </c>
      <c r="G434">
        <v>1</v>
      </c>
      <c r="H434">
        <v>4</v>
      </c>
      <c r="I434" s="10">
        <v>45145</v>
      </c>
      <c r="J434">
        <v>2</v>
      </c>
      <c r="K434">
        <v>0</v>
      </c>
      <c r="L434">
        <v>2</v>
      </c>
      <c r="M434">
        <v>3110</v>
      </c>
      <c r="N434">
        <v>2</v>
      </c>
      <c r="O434" s="10">
        <v>44879</v>
      </c>
      <c r="P434">
        <v>0</v>
      </c>
      <c r="Q434">
        <v>38</v>
      </c>
      <c r="R434">
        <v>2</v>
      </c>
      <c r="S434">
        <v>50</v>
      </c>
      <c r="T434">
        <v>158</v>
      </c>
      <c r="U434">
        <v>60</v>
      </c>
      <c r="V434">
        <v>10</v>
      </c>
      <c r="W434">
        <v>1</v>
      </c>
      <c r="X434">
        <v>20.028841531805796</v>
      </c>
      <c r="Y434">
        <v>24.034609838166958</v>
      </c>
      <c r="Z434">
        <v>4.005768306361162</v>
      </c>
      <c r="AA434">
        <v>2</v>
      </c>
      <c r="AB434">
        <v>2</v>
      </c>
      <c r="AC434" t="s">
        <v>33</v>
      </c>
      <c r="AD434">
        <v>3</v>
      </c>
      <c r="AE434">
        <v>0</v>
      </c>
      <c r="AG434">
        <v>5</v>
      </c>
      <c r="AH434">
        <v>0</v>
      </c>
      <c r="AI434">
        <v>0</v>
      </c>
      <c r="AN434" t="s">
        <v>41</v>
      </c>
      <c r="AO434">
        <v>0</v>
      </c>
      <c r="AW434" t="s">
        <v>58</v>
      </c>
      <c r="AX434">
        <v>1</v>
      </c>
      <c r="AY434" t="s">
        <v>58</v>
      </c>
      <c r="AZ434">
        <v>1</v>
      </c>
      <c r="BA434">
        <v>0.8</v>
      </c>
      <c r="BB434">
        <v>7</v>
      </c>
      <c r="BC434">
        <v>1</v>
      </c>
      <c r="BD434">
        <f>BA434*BB434*1/7</f>
        <v>0.8</v>
      </c>
      <c r="BE434">
        <f>AM434+AU434+BD434</f>
        <v>0.8</v>
      </c>
      <c r="BF434" t="s">
        <v>58</v>
      </c>
      <c r="BG434">
        <v>0</v>
      </c>
      <c r="BH434">
        <v>7</v>
      </c>
      <c r="BI434">
        <v>1</v>
      </c>
      <c r="BJ434" t="s">
        <v>42</v>
      </c>
      <c r="BK434">
        <v>6</v>
      </c>
      <c r="BL434">
        <v>1</v>
      </c>
      <c r="BM434">
        <v>1</v>
      </c>
      <c r="BN434" t="s">
        <v>30</v>
      </c>
      <c r="BO434">
        <v>1</v>
      </c>
      <c r="BP434">
        <v>84</v>
      </c>
      <c r="BQ434">
        <v>0.13</v>
      </c>
      <c r="BR434">
        <v>1</v>
      </c>
      <c r="BS434">
        <v>0.13</v>
      </c>
      <c r="BT434">
        <f>BS434+BD434+AU434+AM434</f>
        <v>0.93</v>
      </c>
      <c r="BU434">
        <v>1</v>
      </c>
      <c r="BV434">
        <v>2</v>
      </c>
      <c r="BW434">
        <v>293</v>
      </c>
      <c r="BX434">
        <f>BW434/7</f>
        <v>41.857142857142854</v>
      </c>
      <c r="BY434">
        <f>0.77*BX434</f>
        <v>32.229999999999997</v>
      </c>
      <c r="BZ434">
        <f t="shared" si="6"/>
        <v>33.159999999999997</v>
      </c>
    </row>
    <row r="435" spans="1:78">
      <c r="A435" s="1">
        <v>45209.569863946759</v>
      </c>
      <c r="C435">
        <v>434</v>
      </c>
      <c r="D435" s="10">
        <v>35357</v>
      </c>
      <c r="E435">
        <v>26</v>
      </c>
      <c r="F435">
        <v>1</v>
      </c>
      <c r="G435">
        <v>12</v>
      </c>
      <c r="H435">
        <v>4</v>
      </c>
      <c r="I435" s="10">
        <v>44758</v>
      </c>
      <c r="J435">
        <v>1</v>
      </c>
      <c r="K435">
        <v>1</v>
      </c>
      <c r="L435">
        <v>2</v>
      </c>
      <c r="M435">
        <v>3340</v>
      </c>
      <c r="N435">
        <v>2</v>
      </c>
      <c r="O435" s="10">
        <v>44482</v>
      </c>
      <c r="P435">
        <v>1</v>
      </c>
      <c r="Q435">
        <v>39.428571428571431</v>
      </c>
      <c r="R435">
        <v>2</v>
      </c>
      <c r="S435">
        <v>80</v>
      </c>
      <c r="T435">
        <v>175</v>
      </c>
      <c r="U435">
        <v>88</v>
      </c>
      <c r="V435">
        <v>8</v>
      </c>
      <c r="W435">
        <v>2</v>
      </c>
      <c r="X435">
        <v>26.122448979591837</v>
      </c>
      <c r="Y435">
        <v>28.73469387755102</v>
      </c>
      <c r="Z435">
        <v>2.612244897959183</v>
      </c>
      <c r="AA435">
        <v>3</v>
      </c>
      <c r="AB435">
        <v>3</v>
      </c>
      <c r="AC435" t="s">
        <v>33</v>
      </c>
      <c r="AD435">
        <v>3</v>
      </c>
      <c r="AE435">
        <v>0</v>
      </c>
      <c r="AG435">
        <v>5</v>
      </c>
      <c r="AH435">
        <v>0</v>
      </c>
      <c r="AI435">
        <v>0</v>
      </c>
      <c r="AN435" t="s">
        <v>41</v>
      </c>
      <c r="AO435">
        <v>0</v>
      </c>
      <c r="AW435" t="s">
        <v>58</v>
      </c>
      <c r="AX435">
        <v>1</v>
      </c>
      <c r="AY435" t="s">
        <v>58</v>
      </c>
      <c r="AZ435">
        <v>1</v>
      </c>
      <c r="BA435">
        <v>0.8</v>
      </c>
      <c r="BB435">
        <v>5</v>
      </c>
      <c r="BC435">
        <v>1</v>
      </c>
      <c r="BD435">
        <f>BA435*BB435*1/7</f>
        <v>0.5714285714285714</v>
      </c>
      <c r="BE435">
        <f>AM435+AU435+BD435</f>
        <v>0.5714285714285714</v>
      </c>
      <c r="BF435" t="s">
        <v>58</v>
      </c>
      <c r="BG435">
        <v>0</v>
      </c>
      <c r="BH435">
        <v>5</v>
      </c>
      <c r="BI435">
        <v>1</v>
      </c>
      <c r="BJ435" t="s">
        <v>42</v>
      </c>
      <c r="BK435">
        <v>6</v>
      </c>
      <c r="BL435">
        <v>1</v>
      </c>
      <c r="BM435">
        <v>1</v>
      </c>
      <c r="BN435" t="s">
        <v>55</v>
      </c>
      <c r="BO435">
        <v>2</v>
      </c>
      <c r="BP435">
        <v>134</v>
      </c>
      <c r="BQ435">
        <v>0.1</v>
      </c>
      <c r="BR435">
        <v>2</v>
      </c>
      <c r="BS435">
        <v>0.2</v>
      </c>
      <c r="BT435">
        <f>BS435+BD435+AU435+AM435</f>
        <v>0.77142857142857135</v>
      </c>
      <c r="BU435">
        <v>1</v>
      </c>
      <c r="BV435">
        <v>1</v>
      </c>
      <c r="BW435">
        <v>146.5</v>
      </c>
      <c r="BX435">
        <f>BW435/7</f>
        <v>20.928571428571427</v>
      </c>
      <c r="BY435">
        <f>0.77*BX435</f>
        <v>16.114999999999998</v>
      </c>
      <c r="BZ435">
        <f t="shared" si="6"/>
        <v>16.886428571428571</v>
      </c>
    </row>
    <row r="436" spans="1:78">
      <c r="A436" s="1">
        <v>45209.578171782407</v>
      </c>
      <c r="C436">
        <v>435</v>
      </c>
      <c r="D436" s="10">
        <v>32716</v>
      </c>
      <c r="E436">
        <v>34</v>
      </c>
      <c r="F436">
        <v>1</v>
      </c>
      <c r="G436">
        <v>6</v>
      </c>
      <c r="H436">
        <v>3</v>
      </c>
      <c r="I436" s="10">
        <v>45053</v>
      </c>
      <c r="J436">
        <v>3</v>
      </c>
      <c r="K436">
        <v>0</v>
      </c>
      <c r="L436">
        <v>1</v>
      </c>
      <c r="M436">
        <v>3970</v>
      </c>
      <c r="N436">
        <v>2</v>
      </c>
      <c r="O436" s="10">
        <v>44773</v>
      </c>
      <c r="P436">
        <v>0</v>
      </c>
      <c r="Q436">
        <v>40</v>
      </c>
      <c r="R436">
        <v>2</v>
      </c>
      <c r="S436">
        <v>50</v>
      </c>
      <c r="T436">
        <v>153</v>
      </c>
      <c r="U436">
        <v>65</v>
      </c>
      <c r="V436">
        <v>15</v>
      </c>
      <c r="W436">
        <v>2</v>
      </c>
      <c r="X436">
        <v>21.35930624973301</v>
      </c>
      <c r="Y436">
        <v>27.767098124652911</v>
      </c>
      <c r="Z436">
        <v>6.4077918749199014</v>
      </c>
      <c r="AA436">
        <v>2</v>
      </c>
      <c r="AB436">
        <v>3</v>
      </c>
      <c r="AC436" t="s">
        <v>33</v>
      </c>
      <c r="AD436">
        <v>3</v>
      </c>
      <c r="AE436">
        <v>1</v>
      </c>
      <c r="AF436" t="s">
        <v>331</v>
      </c>
      <c r="AG436">
        <v>1</v>
      </c>
      <c r="AH436">
        <v>1</v>
      </c>
      <c r="AI436">
        <v>5</v>
      </c>
      <c r="AJ436">
        <v>5</v>
      </c>
      <c r="AK436">
        <v>7</v>
      </c>
      <c r="AL436">
        <v>1</v>
      </c>
      <c r="AM436">
        <f>AJ436*AK436*AL436/7</f>
        <v>5</v>
      </c>
      <c r="AN436" t="s">
        <v>27</v>
      </c>
      <c r="AO436">
        <v>0</v>
      </c>
      <c r="AV436">
        <f>AU436+AM436</f>
        <v>5</v>
      </c>
      <c r="AW436" t="s">
        <v>71</v>
      </c>
      <c r="AX436">
        <v>1</v>
      </c>
      <c r="AY436" t="s">
        <v>71</v>
      </c>
      <c r="AZ436">
        <v>5</v>
      </c>
      <c r="BA436">
        <v>0.4</v>
      </c>
      <c r="BB436">
        <v>4</v>
      </c>
      <c r="BC436">
        <v>1</v>
      </c>
      <c r="BD436">
        <f>BA436*BB436*1/7</f>
        <v>0.22857142857142859</v>
      </c>
      <c r="BE436">
        <f>AM436+AU436+BD436</f>
        <v>5.2285714285714286</v>
      </c>
      <c r="BF436" t="s">
        <v>71</v>
      </c>
      <c r="BG436">
        <v>0</v>
      </c>
      <c r="BH436">
        <v>4</v>
      </c>
      <c r="BI436">
        <v>1</v>
      </c>
      <c r="BJ436" t="s">
        <v>49</v>
      </c>
      <c r="BK436">
        <v>5</v>
      </c>
      <c r="BL436">
        <v>1</v>
      </c>
      <c r="BM436">
        <v>1</v>
      </c>
      <c r="BN436" t="s">
        <v>332</v>
      </c>
      <c r="BO436">
        <v>2</v>
      </c>
      <c r="BP436">
        <v>96</v>
      </c>
      <c r="BQ436">
        <v>0.1</v>
      </c>
      <c r="BR436">
        <v>2</v>
      </c>
      <c r="BS436">
        <v>0.2</v>
      </c>
      <c r="BT436">
        <f>BS436+BD436+AU436+AM436</f>
        <v>5.4285714285714288</v>
      </c>
      <c r="BU436">
        <v>1</v>
      </c>
      <c r="BV436">
        <v>2</v>
      </c>
      <c r="BW436">
        <v>293</v>
      </c>
      <c r="BX436">
        <f>BW436/7</f>
        <v>41.857142857142854</v>
      </c>
      <c r="BY436">
        <f>0.77*BX436</f>
        <v>32.229999999999997</v>
      </c>
      <c r="BZ436">
        <f t="shared" si="6"/>
        <v>37.658571428571427</v>
      </c>
    </row>
    <row r="437" spans="1:78">
      <c r="A437" s="1">
        <v>45209.588001377313</v>
      </c>
      <c r="C437">
        <v>436</v>
      </c>
      <c r="D437" s="10">
        <v>32996</v>
      </c>
      <c r="E437">
        <v>33</v>
      </c>
      <c r="F437">
        <v>1</v>
      </c>
      <c r="G437">
        <v>1</v>
      </c>
      <c r="H437">
        <v>5</v>
      </c>
      <c r="I437" s="10">
        <v>43995</v>
      </c>
      <c r="J437">
        <v>2</v>
      </c>
      <c r="K437">
        <v>0</v>
      </c>
      <c r="L437">
        <v>2</v>
      </c>
      <c r="M437">
        <v>1850</v>
      </c>
      <c r="N437">
        <v>1</v>
      </c>
      <c r="O437" s="10">
        <v>43757</v>
      </c>
      <c r="P437">
        <v>0</v>
      </c>
      <c r="Q437">
        <v>34</v>
      </c>
      <c r="R437">
        <v>3</v>
      </c>
      <c r="S437">
        <v>50</v>
      </c>
      <c r="T437">
        <v>160</v>
      </c>
      <c r="U437">
        <v>66</v>
      </c>
      <c r="V437">
        <v>16</v>
      </c>
      <c r="W437">
        <v>2</v>
      </c>
      <c r="X437">
        <v>19.531249999999996</v>
      </c>
      <c r="Y437">
        <v>25.781249999999996</v>
      </c>
      <c r="Z437">
        <v>6.25</v>
      </c>
      <c r="AA437">
        <v>2</v>
      </c>
      <c r="AB437">
        <v>3</v>
      </c>
      <c r="AC437" t="s">
        <v>44</v>
      </c>
      <c r="AD437">
        <v>1</v>
      </c>
      <c r="AE437">
        <v>0</v>
      </c>
      <c r="AG437">
        <v>5</v>
      </c>
      <c r="AH437">
        <v>1</v>
      </c>
      <c r="AI437">
        <v>13</v>
      </c>
      <c r="AJ437">
        <v>1</v>
      </c>
      <c r="AK437">
        <v>7</v>
      </c>
      <c r="AL437">
        <v>1</v>
      </c>
      <c r="AM437">
        <f>AJ437*AK437*AL437/7</f>
        <v>1</v>
      </c>
      <c r="AN437" t="s">
        <v>79</v>
      </c>
      <c r="AO437">
        <v>0</v>
      </c>
      <c r="AV437">
        <f>AU437+AM437</f>
        <v>1</v>
      </c>
      <c r="AX437">
        <v>0</v>
      </c>
      <c r="BE437">
        <f>AM437+AU437+BD437</f>
        <v>1</v>
      </c>
      <c r="BG437">
        <v>0</v>
      </c>
      <c r="BJ437" t="s">
        <v>42</v>
      </c>
      <c r="BK437">
        <v>6</v>
      </c>
      <c r="BL437">
        <v>1</v>
      </c>
      <c r="BM437">
        <v>1</v>
      </c>
      <c r="BN437" t="s">
        <v>55</v>
      </c>
      <c r="BO437">
        <v>2</v>
      </c>
      <c r="BP437">
        <v>67</v>
      </c>
      <c r="BQ437">
        <v>0.1</v>
      </c>
      <c r="BR437">
        <v>1</v>
      </c>
      <c r="BS437">
        <v>0.1</v>
      </c>
      <c r="BT437">
        <f>BS437+BD437+AU437+AM437</f>
        <v>1.1000000000000001</v>
      </c>
      <c r="BU437">
        <v>1</v>
      </c>
      <c r="BV437">
        <v>1</v>
      </c>
      <c r="BW437">
        <v>146.5</v>
      </c>
      <c r="BX437">
        <f>BW437/7</f>
        <v>20.928571428571427</v>
      </c>
      <c r="BY437">
        <f>0.77*BX437</f>
        <v>16.114999999999998</v>
      </c>
      <c r="BZ437">
        <f t="shared" si="6"/>
        <v>17.215</v>
      </c>
    </row>
    <row r="438" spans="1:78">
      <c r="A438" s="1">
        <v>45209.59094548611</v>
      </c>
      <c r="B438" s="9" t="s">
        <v>866</v>
      </c>
      <c r="C438">
        <v>437</v>
      </c>
      <c r="D438" s="10">
        <v>32534</v>
      </c>
      <c r="E438">
        <v>34</v>
      </c>
      <c r="F438">
        <v>1</v>
      </c>
      <c r="G438">
        <v>4</v>
      </c>
      <c r="H438">
        <v>3</v>
      </c>
      <c r="I438" s="10">
        <v>44095</v>
      </c>
      <c r="J438">
        <v>1</v>
      </c>
      <c r="K438">
        <v>1</v>
      </c>
      <c r="L438">
        <v>2</v>
      </c>
      <c r="M438">
        <v>3150</v>
      </c>
      <c r="N438">
        <v>2</v>
      </c>
      <c r="O438" s="10">
        <v>43829</v>
      </c>
      <c r="P438">
        <v>0</v>
      </c>
      <c r="Q438">
        <v>38</v>
      </c>
      <c r="R438">
        <v>2</v>
      </c>
      <c r="S438">
        <v>48</v>
      </c>
      <c r="T438">
        <v>147</v>
      </c>
      <c r="U438">
        <v>59</v>
      </c>
      <c r="V438">
        <v>11</v>
      </c>
      <c r="W438">
        <v>1</v>
      </c>
      <c r="X438">
        <v>22.212966819380814</v>
      </c>
      <c r="Y438">
        <v>27.303438382155587</v>
      </c>
      <c r="Z438">
        <v>5.0904715627747734</v>
      </c>
      <c r="AA438">
        <v>2</v>
      </c>
      <c r="AB438">
        <v>3</v>
      </c>
      <c r="AC438" t="s">
        <v>33</v>
      </c>
      <c r="AD438">
        <v>3</v>
      </c>
      <c r="AE438">
        <v>0</v>
      </c>
      <c r="AG438">
        <v>5</v>
      </c>
      <c r="AH438">
        <v>1</v>
      </c>
      <c r="AI438" t="s">
        <v>258</v>
      </c>
      <c r="AJ438" t="s">
        <v>258</v>
      </c>
      <c r="AK438">
        <v>7</v>
      </c>
      <c r="AL438">
        <v>1</v>
      </c>
      <c r="AM438" t="s">
        <v>258</v>
      </c>
      <c r="AN438" t="s">
        <v>316</v>
      </c>
      <c r="AO438">
        <v>0</v>
      </c>
      <c r="AW438" t="s">
        <v>316</v>
      </c>
      <c r="AX438">
        <v>1</v>
      </c>
      <c r="AY438" t="s">
        <v>316</v>
      </c>
      <c r="AZ438">
        <v>16</v>
      </c>
      <c r="BA438" t="s">
        <v>258</v>
      </c>
      <c r="BB438">
        <v>7</v>
      </c>
      <c r="BC438">
        <v>1</v>
      </c>
      <c r="BE438" t="s">
        <v>258</v>
      </c>
      <c r="BF438" t="s">
        <v>316</v>
      </c>
      <c r="BG438" t="s">
        <v>258</v>
      </c>
      <c r="BH438">
        <v>7</v>
      </c>
      <c r="BI438">
        <v>1</v>
      </c>
      <c r="BJ438" t="s">
        <v>49</v>
      </c>
      <c r="BK438">
        <v>5</v>
      </c>
      <c r="BL438">
        <v>1</v>
      </c>
      <c r="BM438">
        <v>1</v>
      </c>
      <c r="BN438" t="s">
        <v>595</v>
      </c>
      <c r="BO438">
        <v>9</v>
      </c>
      <c r="BP438">
        <v>118</v>
      </c>
      <c r="BQ438">
        <v>0.09</v>
      </c>
      <c r="BR438">
        <v>2</v>
      </c>
      <c r="BS438">
        <v>0.18</v>
      </c>
      <c r="BT438" t="e">
        <f>BS438+BD438+AU438+AM438</f>
        <v>#VALUE!</v>
      </c>
      <c r="BU438">
        <v>1</v>
      </c>
      <c r="BV438">
        <v>2</v>
      </c>
      <c r="BW438">
        <v>293</v>
      </c>
      <c r="BX438">
        <f>BW438/7</f>
        <v>41.857142857142854</v>
      </c>
      <c r="BY438">
        <f>0.77*BX438</f>
        <v>32.229999999999997</v>
      </c>
      <c r="BZ438" t="e">
        <f t="shared" si="6"/>
        <v>#VALUE!</v>
      </c>
    </row>
    <row r="439" spans="1:78">
      <c r="A439" s="1">
        <v>45209.603746203706</v>
      </c>
      <c r="C439">
        <v>438</v>
      </c>
      <c r="D439" s="10">
        <v>34052</v>
      </c>
      <c r="E439">
        <v>30</v>
      </c>
      <c r="F439">
        <v>1</v>
      </c>
      <c r="G439">
        <v>2</v>
      </c>
      <c r="H439">
        <v>5</v>
      </c>
      <c r="I439" s="10">
        <v>44704</v>
      </c>
      <c r="J439">
        <v>2</v>
      </c>
      <c r="K439">
        <v>0</v>
      </c>
      <c r="L439">
        <v>1</v>
      </c>
      <c r="M439">
        <v>2165</v>
      </c>
      <c r="N439">
        <v>1</v>
      </c>
      <c r="O439" s="10">
        <v>44459</v>
      </c>
      <c r="P439">
        <v>1</v>
      </c>
      <c r="Q439">
        <v>35</v>
      </c>
      <c r="R439">
        <v>3</v>
      </c>
      <c r="S439">
        <v>57</v>
      </c>
      <c r="T439">
        <v>162</v>
      </c>
      <c r="U439">
        <v>68</v>
      </c>
      <c r="V439">
        <v>11</v>
      </c>
      <c r="W439">
        <v>1</v>
      </c>
      <c r="X439">
        <v>21.719250114311837</v>
      </c>
      <c r="Y439">
        <v>25.910684346898332</v>
      </c>
      <c r="Z439">
        <v>4.1914342325864951</v>
      </c>
      <c r="AA439">
        <v>2</v>
      </c>
      <c r="AB439">
        <v>3</v>
      </c>
      <c r="AC439" t="s">
        <v>44</v>
      </c>
      <c r="AD439">
        <v>1</v>
      </c>
      <c r="AE439">
        <v>0</v>
      </c>
      <c r="AG439">
        <v>5</v>
      </c>
      <c r="AH439">
        <v>1</v>
      </c>
      <c r="AI439">
        <v>13</v>
      </c>
      <c r="AJ439">
        <v>1</v>
      </c>
      <c r="AK439">
        <v>7</v>
      </c>
      <c r="AL439">
        <v>1</v>
      </c>
      <c r="AM439">
        <f>AJ439*AK439*AL439/7</f>
        <v>1</v>
      </c>
      <c r="AN439" t="s">
        <v>79</v>
      </c>
      <c r="AO439">
        <v>0</v>
      </c>
      <c r="AV439">
        <f>AU439+AM439</f>
        <v>1</v>
      </c>
      <c r="AX439">
        <v>0</v>
      </c>
      <c r="BE439">
        <f>AM439+AU439+BD439</f>
        <v>1</v>
      </c>
      <c r="BG439">
        <v>0</v>
      </c>
      <c r="BJ439" t="s">
        <v>28</v>
      </c>
      <c r="BK439">
        <v>3</v>
      </c>
      <c r="BL439">
        <v>1</v>
      </c>
      <c r="BM439">
        <v>1</v>
      </c>
      <c r="BN439" t="s">
        <v>55</v>
      </c>
      <c r="BO439">
        <v>2</v>
      </c>
      <c r="BP439">
        <v>134</v>
      </c>
      <c r="BQ439">
        <v>0.1</v>
      </c>
      <c r="BR439">
        <v>2</v>
      </c>
      <c r="BS439">
        <v>0.2</v>
      </c>
      <c r="BT439">
        <f>BS439+BD439+AU439+AM439</f>
        <v>1.2</v>
      </c>
      <c r="BU439">
        <v>1</v>
      </c>
      <c r="BV439">
        <v>2</v>
      </c>
      <c r="BW439">
        <v>293</v>
      </c>
      <c r="BX439">
        <f>BW439/7</f>
        <v>41.857142857142854</v>
      </c>
      <c r="BY439">
        <f>0.77*BX439</f>
        <v>32.229999999999997</v>
      </c>
      <c r="BZ439">
        <f t="shared" si="6"/>
        <v>33.43</v>
      </c>
    </row>
    <row r="440" spans="1:78">
      <c r="A440" s="1">
        <v>45209.612009664357</v>
      </c>
      <c r="C440">
        <v>439</v>
      </c>
      <c r="D440" s="10">
        <v>31644</v>
      </c>
      <c r="E440">
        <v>37</v>
      </c>
      <c r="F440">
        <v>1</v>
      </c>
      <c r="G440">
        <v>1</v>
      </c>
      <c r="H440">
        <v>5</v>
      </c>
      <c r="I440" s="10">
        <v>45713</v>
      </c>
      <c r="J440">
        <v>1</v>
      </c>
      <c r="K440">
        <v>1</v>
      </c>
      <c r="L440">
        <v>2</v>
      </c>
      <c r="M440">
        <v>3605</v>
      </c>
      <c r="N440">
        <v>2</v>
      </c>
      <c r="O440" s="10">
        <v>45430</v>
      </c>
      <c r="P440">
        <v>0</v>
      </c>
      <c r="Q440">
        <v>40.428571428571431</v>
      </c>
      <c r="R440">
        <v>2</v>
      </c>
      <c r="S440">
        <v>68</v>
      </c>
      <c r="T440">
        <v>163</v>
      </c>
      <c r="U440">
        <v>88</v>
      </c>
      <c r="V440">
        <v>20</v>
      </c>
      <c r="W440">
        <v>3</v>
      </c>
      <c r="X440">
        <v>25.59373706198954</v>
      </c>
      <c r="Y440">
        <v>33.121306786104107</v>
      </c>
      <c r="Z440">
        <v>7.5275697241145672</v>
      </c>
      <c r="AA440">
        <v>3</v>
      </c>
      <c r="AB440">
        <v>4</v>
      </c>
      <c r="AC440" t="s">
        <v>33</v>
      </c>
      <c r="AD440">
        <v>3</v>
      </c>
      <c r="AE440">
        <v>0</v>
      </c>
      <c r="AG440">
        <v>5</v>
      </c>
      <c r="AH440">
        <v>1</v>
      </c>
      <c r="AI440">
        <v>4</v>
      </c>
      <c r="AJ440">
        <v>1</v>
      </c>
      <c r="AK440">
        <v>7</v>
      </c>
      <c r="AL440">
        <v>1</v>
      </c>
      <c r="AM440">
        <f>AJ440*AK440*AL440/7</f>
        <v>1</v>
      </c>
      <c r="AN440" t="s">
        <v>43</v>
      </c>
      <c r="AO440">
        <v>0</v>
      </c>
      <c r="AV440">
        <f>AU440+AM440</f>
        <v>1</v>
      </c>
      <c r="AW440" t="s">
        <v>35</v>
      </c>
      <c r="AX440">
        <v>1</v>
      </c>
      <c r="AY440" t="s">
        <v>35</v>
      </c>
      <c r="AZ440">
        <v>12</v>
      </c>
      <c r="BA440">
        <v>0.4</v>
      </c>
      <c r="BB440">
        <v>7</v>
      </c>
      <c r="BC440">
        <v>1</v>
      </c>
      <c r="BD440">
        <f>BA440*BB440*1/7</f>
        <v>0.4</v>
      </c>
      <c r="BE440">
        <f>AM440+AU440+BD440</f>
        <v>1.4</v>
      </c>
      <c r="BF440" t="s">
        <v>35</v>
      </c>
      <c r="BG440">
        <v>0</v>
      </c>
      <c r="BH440">
        <v>7</v>
      </c>
      <c r="BI440">
        <v>1</v>
      </c>
      <c r="BJ440" t="s">
        <v>42</v>
      </c>
      <c r="BK440">
        <v>6</v>
      </c>
      <c r="BL440">
        <v>1</v>
      </c>
      <c r="BM440">
        <v>1</v>
      </c>
      <c r="BN440" t="s">
        <v>55</v>
      </c>
      <c r="BO440">
        <v>2</v>
      </c>
      <c r="BP440">
        <v>67</v>
      </c>
      <c r="BQ440">
        <v>0.1</v>
      </c>
      <c r="BR440">
        <v>1</v>
      </c>
      <c r="BS440">
        <v>0.1</v>
      </c>
      <c r="BT440">
        <f>BS440+BD440+AU440+AM440</f>
        <v>1.5</v>
      </c>
      <c r="BU440">
        <v>1</v>
      </c>
      <c r="BV440">
        <v>2</v>
      </c>
      <c r="BW440">
        <v>293</v>
      </c>
      <c r="BX440">
        <f>BW440/7</f>
        <v>41.857142857142854</v>
      </c>
      <c r="BY440">
        <f>0.77*BX440</f>
        <v>32.229999999999997</v>
      </c>
      <c r="BZ440">
        <f t="shared" si="6"/>
        <v>33.729999999999997</v>
      </c>
    </row>
    <row r="441" spans="1:78">
      <c r="A441" s="1">
        <v>45209.615774456019</v>
      </c>
      <c r="C441">
        <v>440</v>
      </c>
      <c r="D441" s="10">
        <v>33260</v>
      </c>
      <c r="E441">
        <v>32</v>
      </c>
      <c r="F441">
        <v>1</v>
      </c>
      <c r="G441">
        <v>1</v>
      </c>
      <c r="H441">
        <v>4</v>
      </c>
      <c r="I441" s="10">
        <v>43383</v>
      </c>
      <c r="J441">
        <v>2</v>
      </c>
      <c r="K441">
        <v>0</v>
      </c>
      <c r="L441">
        <v>1</v>
      </c>
      <c r="M441">
        <v>2280</v>
      </c>
      <c r="N441">
        <v>1</v>
      </c>
      <c r="O441" s="10">
        <v>43134</v>
      </c>
      <c r="P441">
        <v>0</v>
      </c>
      <c r="Q441">
        <v>35.571428571428569</v>
      </c>
      <c r="R441">
        <v>3</v>
      </c>
      <c r="S441">
        <v>90</v>
      </c>
      <c r="T441">
        <v>167</v>
      </c>
      <c r="U441">
        <v>111</v>
      </c>
      <c r="V441">
        <v>21</v>
      </c>
      <c r="W441">
        <v>3</v>
      </c>
      <c r="X441">
        <v>32.270787765785798</v>
      </c>
      <c r="Y441">
        <v>39.800638244469148</v>
      </c>
      <c r="Z441">
        <v>7.5298504786833504</v>
      </c>
      <c r="AA441">
        <v>4</v>
      </c>
      <c r="AB441">
        <v>4</v>
      </c>
      <c r="AC441" t="s">
        <v>25</v>
      </c>
      <c r="AD441">
        <v>1</v>
      </c>
      <c r="AE441">
        <v>1</v>
      </c>
      <c r="AF441" t="s">
        <v>333</v>
      </c>
      <c r="AG441" t="e">
        <v>#N/A</v>
      </c>
      <c r="AH441">
        <v>1</v>
      </c>
      <c r="AI441">
        <v>1</v>
      </c>
      <c r="AJ441">
        <v>1</v>
      </c>
      <c r="AK441">
        <v>7</v>
      </c>
      <c r="AL441">
        <v>1</v>
      </c>
      <c r="AM441">
        <f>AJ441*AK441*AL441/7</f>
        <v>1</v>
      </c>
      <c r="AN441" t="s">
        <v>56</v>
      </c>
      <c r="AO441">
        <v>0</v>
      </c>
      <c r="AV441">
        <f>AU441+AM441</f>
        <v>1</v>
      </c>
      <c r="AX441">
        <v>0</v>
      </c>
      <c r="BE441">
        <f>AM441+AU441+BD441</f>
        <v>1</v>
      </c>
      <c r="BG441">
        <v>0</v>
      </c>
      <c r="BJ441" t="s">
        <v>49</v>
      </c>
      <c r="BK441">
        <v>5</v>
      </c>
      <c r="BL441">
        <v>1</v>
      </c>
      <c r="BM441">
        <v>1</v>
      </c>
      <c r="BN441" t="s">
        <v>55</v>
      </c>
      <c r="BO441">
        <v>2</v>
      </c>
      <c r="BP441">
        <v>201</v>
      </c>
      <c r="BQ441">
        <v>0.1</v>
      </c>
      <c r="BR441">
        <v>3</v>
      </c>
      <c r="BS441">
        <v>0.30000000000000004</v>
      </c>
      <c r="BT441">
        <f>BS441+BD441+AU441+AM441</f>
        <v>1.3</v>
      </c>
      <c r="BU441">
        <v>1</v>
      </c>
      <c r="BV441">
        <v>1</v>
      </c>
      <c r="BW441">
        <v>146.5</v>
      </c>
      <c r="BX441">
        <f>BW441/7</f>
        <v>20.928571428571427</v>
      </c>
      <c r="BY441">
        <f>0.77*BX441</f>
        <v>16.114999999999998</v>
      </c>
      <c r="BZ441">
        <f t="shared" si="6"/>
        <v>17.414999999999999</v>
      </c>
    </row>
    <row r="442" spans="1:78">
      <c r="A442" s="1">
        <v>45209.621008599541</v>
      </c>
      <c r="C442">
        <v>441</v>
      </c>
      <c r="D442" s="10">
        <v>33071</v>
      </c>
      <c r="E442">
        <v>33</v>
      </c>
      <c r="F442">
        <v>1</v>
      </c>
      <c r="G442">
        <v>1</v>
      </c>
      <c r="H442">
        <v>4</v>
      </c>
      <c r="I442" s="10">
        <v>44746</v>
      </c>
      <c r="J442">
        <v>1</v>
      </c>
      <c r="K442">
        <v>1</v>
      </c>
      <c r="L442">
        <v>2</v>
      </c>
      <c r="M442">
        <v>3160</v>
      </c>
      <c r="N442">
        <v>2</v>
      </c>
      <c r="O442" s="10">
        <v>44463</v>
      </c>
      <c r="P442">
        <v>1</v>
      </c>
      <c r="Q442">
        <v>40.428571428571431</v>
      </c>
      <c r="R442">
        <v>2</v>
      </c>
      <c r="S442">
        <v>73</v>
      </c>
      <c r="T442">
        <v>163</v>
      </c>
      <c r="U442">
        <v>82</v>
      </c>
      <c r="V442">
        <v>9</v>
      </c>
      <c r="W442">
        <v>2</v>
      </c>
      <c r="X442">
        <v>27.475629493018182</v>
      </c>
      <c r="Y442">
        <v>30.863035868869737</v>
      </c>
      <c r="Z442">
        <v>3.3874063758515547</v>
      </c>
      <c r="AA442">
        <v>3</v>
      </c>
      <c r="AB442">
        <v>4</v>
      </c>
      <c r="AC442" t="s">
        <v>33</v>
      </c>
      <c r="AD442">
        <v>3</v>
      </c>
      <c r="AE442">
        <v>0</v>
      </c>
      <c r="AG442">
        <v>5</v>
      </c>
      <c r="AH442">
        <v>0</v>
      </c>
      <c r="AI442">
        <v>0</v>
      </c>
      <c r="AN442" t="s">
        <v>41</v>
      </c>
      <c r="AO442">
        <v>0</v>
      </c>
      <c r="AX442">
        <v>1</v>
      </c>
      <c r="AY442" t="s">
        <v>882</v>
      </c>
      <c r="AZ442">
        <v>1</v>
      </c>
      <c r="BA442">
        <v>0.8</v>
      </c>
      <c r="BB442">
        <v>7</v>
      </c>
      <c r="BC442">
        <v>1</v>
      </c>
      <c r="BD442">
        <f>BA442*BB442*1/7</f>
        <v>0.8</v>
      </c>
      <c r="BE442">
        <f>AM442+AU442+BD442</f>
        <v>0.8</v>
      </c>
      <c r="BF442" t="s">
        <v>882</v>
      </c>
      <c r="BG442">
        <v>0</v>
      </c>
      <c r="BH442">
        <v>7</v>
      </c>
      <c r="BI442">
        <v>1</v>
      </c>
      <c r="BJ442" t="s">
        <v>42</v>
      </c>
      <c r="BK442">
        <v>6</v>
      </c>
      <c r="BL442">
        <v>3</v>
      </c>
      <c r="BM442">
        <v>1</v>
      </c>
      <c r="BN442" t="s">
        <v>30</v>
      </c>
      <c r="BO442">
        <v>1</v>
      </c>
      <c r="BP442">
        <v>168</v>
      </c>
      <c r="BQ442">
        <v>0.13</v>
      </c>
      <c r="BR442">
        <v>2</v>
      </c>
      <c r="BS442">
        <v>0.26</v>
      </c>
      <c r="BT442">
        <f>BS442+BD442+AU442+AM442</f>
        <v>1.06</v>
      </c>
      <c r="BU442">
        <v>1</v>
      </c>
      <c r="BV442">
        <v>4</v>
      </c>
      <c r="BW442">
        <v>586</v>
      </c>
      <c r="BX442">
        <f>BW442/7</f>
        <v>83.714285714285708</v>
      </c>
      <c r="BY442">
        <f>0.77*BX442</f>
        <v>64.459999999999994</v>
      </c>
      <c r="BZ442">
        <f t="shared" si="6"/>
        <v>65.52</v>
      </c>
    </row>
    <row r="443" spans="1:78">
      <c r="A443" s="1">
        <v>45209.634476296298</v>
      </c>
      <c r="C443">
        <v>442</v>
      </c>
      <c r="D443" s="10">
        <v>32935</v>
      </c>
      <c r="E443">
        <v>33</v>
      </c>
      <c r="F443">
        <v>1</v>
      </c>
      <c r="G443">
        <v>2</v>
      </c>
      <c r="H443">
        <v>4</v>
      </c>
      <c r="I443" s="10">
        <v>43882</v>
      </c>
      <c r="J443">
        <v>1</v>
      </c>
      <c r="K443">
        <v>1</v>
      </c>
      <c r="L443">
        <v>2</v>
      </c>
      <c r="M443">
        <v>3335</v>
      </c>
      <c r="N443">
        <v>2</v>
      </c>
      <c r="O443" s="10">
        <v>43616</v>
      </c>
      <c r="P443">
        <v>0</v>
      </c>
      <c r="Q443">
        <v>38</v>
      </c>
      <c r="R443">
        <v>2</v>
      </c>
      <c r="S443">
        <v>62.5</v>
      </c>
      <c r="T443">
        <v>158</v>
      </c>
      <c r="U443">
        <v>74</v>
      </c>
      <c r="V443">
        <v>11.5</v>
      </c>
      <c r="W443">
        <v>2</v>
      </c>
      <c r="X443">
        <v>25.036051914757248</v>
      </c>
      <c r="Y443">
        <v>29.642685467072578</v>
      </c>
      <c r="Z443">
        <v>4.6066335523153299</v>
      </c>
      <c r="AA443">
        <v>3</v>
      </c>
      <c r="AB443">
        <v>3</v>
      </c>
      <c r="AC443" t="s">
        <v>33</v>
      </c>
      <c r="AD443">
        <v>3</v>
      </c>
      <c r="AE443">
        <v>0</v>
      </c>
      <c r="AG443">
        <v>5</v>
      </c>
      <c r="AH443">
        <v>1</v>
      </c>
      <c r="AI443">
        <v>13</v>
      </c>
      <c r="AJ443">
        <v>1</v>
      </c>
      <c r="AK443">
        <v>7</v>
      </c>
      <c r="AL443">
        <v>1</v>
      </c>
      <c r="AM443">
        <f>AJ443*AK443*AL443/7</f>
        <v>1</v>
      </c>
      <c r="AN443" t="s">
        <v>79</v>
      </c>
      <c r="AO443">
        <v>0</v>
      </c>
      <c r="AV443">
        <f>AU443+AM443</f>
        <v>1</v>
      </c>
      <c r="AX443">
        <v>0</v>
      </c>
      <c r="BE443">
        <f>AM443+AU443+BD443</f>
        <v>1</v>
      </c>
      <c r="BG443">
        <v>0</v>
      </c>
      <c r="BJ443" t="s">
        <v>49</v>
      </c>
      <c r="BK443">
        <v>5</v>
      </c>
      <c r="BL443">
        <v>1</v>
      </c>
      <c r="BM443">
        <v>1</v>
      </c>
      <c r="BN443" t="s">
        <v>55</v>
      </c>
      <c r="BO443">
        <v>2</v>
      </c>
      <c r="BP443">
        <v>134</v>
      </c>
      <c r="BQ443">
        <v>0.1</v>
      </c>
      <c r="BR443">
        <v>2</v>
      </c>
      <c r="BS443">
        <v>0.2</v>
      </c>
      <c r="BT443">
        <f>BS443+BD443+AU443+AM443</f>
        <v>1.2</v>
      </c>
      <c r="BU443">
        <v>1</v>
      </c>
      <c r="BV443">
        <v>2</v>
      </c>
      <c r="BW443">
        <v>293</v>
      </c>
      <c r="BX443">
        <f>BW443/7</f>
        <v>41.857142857142854</v>
      </c>
      <c r="BY443">
        <f>0.77*BX443</f>
        <v>32.229999999999997</v>
      </c>
      <c r="BZ443">
        <f t="shared" si="6"/>
        <v>33.43</v>
      </c>
    </row>
    <row r="444" spans="1:78">
      <c r="A444" s="1">
        <v>45209.63472991898</v>
      </c>
      <c r="C444">
        <v>443</v>
      </c>
      <c r="D444" s="10">
        <v>31928</v>
      </c>
      <c r="E444">
        <v>36</v>
      </c>
      <c r="F444">
        <v>1</v>
      </c>
      <c r="G444">
        <v>1</v>
      </c>
      <c r="H444">
        <v>4</v>
      </c>
      <c r="I444" s="10">
        <v>43967</v>
      </c>
      <c r="J444">
        <v>2</v>
      </c>
      <c r="K444">
        <v>0</v>
      </c>
      <c r="L444">
        <v>2</v>
      </c>
      <c r="M444">
        <v>3850</v>
      </c>
      <c r="N444">
        <v>2</v>
      </c>
      <c r="O444" s="10">
        <v>43687</v>
      </c>
      <c r="P444">
        <v>0</v>
      </c>
      <c r="Q444">
        <v>40</v>
      </c>
      <c r="R444">
        <v>2</v>
      </c>
      <c r="S444">
        <v>50</v>
      </c>
      <c r="T444">
        <v>160</v>
      </c>
      <c r="U444">
        <v>65</v>
      </c>
      <c r="V444">
        <v>15</v>
      </c>
      <c r="W444">
        <v>2</v>
      </c>
      <c r="X444">
        <v>19.531249999999996</v>
      </c>
      <c r="Y444">
        <v>25.390624999999996</v>
      </c>
      <c r="Z444">
        <v>5.859375</v>
      </c>
      <c r="AA444">
        <v>2</v>
      </c>
      <c r="AB444">
        <v>3</v>
      </c>
      <c r="AC444" t="s">
        <v>33</v>
      </c>
      <c r="AD444">
        <v>3</v>
      </c>
      <c r="AE444">
        <v>0</v>
      </c>
      <c r="AG444">
        <v>5</v>
      </c>
      <c r="AH444">
        <v>0</v>
      </c>
      <c r="AI444">
        <v>0</v>
      </c>
      <c r="AN444" t="s">
        <v>41</v>
      </c>
      <c r="AO444">
        <v>0</v>
      </c>
      <c r="AW444" t="s">
        <v>58</v>
      </c>
      <c r="AX444">
        <v>1</v>
      </c>
      <c r="AY444" t="s">
        <v>58</v>
      </c>
      <c r="AZ444">
        <v>1</v>
      </c>
      <c r="BA444">
        <v>0.8</v>
      </c>
      <c r="BB444">
        <v>7</v>
      </c>
      <c r="BC444">
        <v>1</v>
      </c>
      <c r="BD444">
        <f>BA444*BB444*1/7</f>
        <v>0.8</v>
      </c>
      <c r="BE444">
        <f>AM444+AU444+BD444</f>
        <v>0.8</v>
      </c>
      <c r="BF444" t="s">
        <v>58</v>
      </c>
      <c r="BG444">
        <v>0</v>
      </c>
      <c r="BH444">
        <v>7</v>
      </c>
      <c r="BI444">
        <v>1</v>
      </c>
      <c r="BJ444" t="s">
        <v>49</v>
      </c>
      <c r="BK444">
        <v>5</v>
      </c>
      <c r="BL444">
        <v>1</v>
      </c>
      <c r="BM444">
        <v>1</v>
      </c>
      <c r="BN444" t="s">
        <v>30</v>
      </c>
      <c r="BO444">
        <v>1</v>
      </c>
      <c r="BP444">
        <v>84</v>
      </c>
      <c r="BQ444">
        <v>0.13</v>
      </c>
      <c r="BR444">
        <v>1</v>
      </c>
      <c r="BS444">
        <v>0.13</v>
      </c>
      <c r="BT444">
        <f>BS444+BD444+AU444+AM444</f>
        <v>0.93</v>
      </c>
      <c r="BU444">
        <v>1</v>
      </c>
      <c r="BV444">
        <v>1</v>
      </c>
      <c r="BW444">
        <v>146.5</v>
      </c>
      <c r="BX444">
        <f>BW444/7</f>
        <v>20.928571428571427</v>
      </c>
      <c r="BY444">
        <f>0.77*BX444</f>
        <v>16.114999999999998</v>
      </c>
      <c r="BZ444">
        <f t="shared" si="6"/>
        <v>17.044999999999998</v>
      </c>
    </row>
    <row r="445" spans="1:78">
      <c r="A445" s="1">
        <v>45209.646545185184</v>
      </c>
      <c r="C445">
        <v>444</v>
      </c>
      <c r="D445" s="10">
        <v>32211</v>
      </c>
      <c r="E445">
        <v>35</v>
      </c>
      <c r="F445">
        <v>1</v>
      </c>
      <c r="G445">
        <v>1</v>
      </c>
      <c r="H445">
        <v>4</v>
      </c>
      <c r="I445" s="10">
        <v>45182</v>
      </c>
      <c r="J445">
        <v>3</v>
      </c>
      <c r="K445">
        <v>0</v>
      </c>
      <c r="L445">
        <v>2</v>
      </c>
      <c r="M445">
        <v>3400</v>
      </c>
      <c r="N445">
        <v>2</v>
      </c>
      <c r="O445" s="10">
        <v>44916</v>
      </c>
      <c r="P445">
        <v>0</v>
      </c>
      <c r="Q445">
        <v>38</v>
      </c>
      <c r="R445">
        <v>2</v>
      </c>
      <c r="S445">
        <v>76</v>
      </c>
      <c r="T445">
        <v>150</v>
      </c>
      <c r="U445">
        <v>87</v>
      </c>
      <c r="V445">
        <v>11</v>
      </c>
      <c r="W445">
        <v>2</v>
      </c>
      <c r="X445">
        <v>33.777777777777779</v>
      </c>
      <c r="Y445">
        <v>38.666666666666664</v>
      </c>
      <c r="Z445">
        <v>4.8888888888888857</v>
      </c>
      <c r="AA445">
        <v>4</v>
      </c>
      <c r="AB445">
        <v>4</v>
      </c>
      <c r="AC445" t="s">
        <v>33</v>
      </c>
      <c r="AD445">
        <v>3</v>
      </c>
      <c r="AE445">
        <v>0</v>
      </c>
      <c r="AG445">
        <v>5</v>
      </c>
      <c r="AH445">
        <v>1</v>
      </c>
      <c r="AI445">
        <v>2</v>
      </c>
      <c r="AJ445">
        <v>5</v>
      </c>
      <c r="AK445">
        <v>7</v>
      </c>
      <c r="AL445">
        <v>1</v>
      </c>
      <c r="AM445">
        <f>AJ445*AK445*AL445/7</f>
        <v>5</v>
      </c>
      <c r="AN445" t="s">
        <v>57</v>
      </c>
      <c r="AO445">
        <v>0</v>
      </c>
      <c r="AV445">
        <f>AU445+AM445</f>
        <v>5</v>
      </c>
      <c r="AX445">
        <v>0</v>
      </c>
      <c r="BE445">
        <f>AM445+AU445+BD445</f>
        <v>5</v>
      </c>
      <c r="BG445">
        <v>0</v>
      </c>
      <c r="BJ445" t="s">
        <v>42</v>
      </c>
      <c r="BK445">
        <v>6</v>
      </c>
      <c r="BL445">
        <v>1</v>
      </c>
      <c r="BM445">
        <v>1</v>
      </c>
      <c r="BN445" t="s">
        <v>55</v>
      </c>
      <c r="BO445">
        <v>2</v>
      </c>
      <c r="BP445">
        <v>201</v>
      </c>
      <c r="BQ445">
        <v>0.1</v>
      </c>
      <c r="BR445">
        <v>3</v>
      </c>
      <c r="BS445">
        <v>0.30000000000000004</v>
      </c>
      <c r="BT445">
        <f>BS445+BD445+AU445+AM445</f>
        <v>5.3</v>
      </c>
      <c r="BU445">
        <v>1</v>
      </c>
      <c r="BV445">
        <v>1</v>
      </c>
      <c r="BW445">
        <v>146.5</v>
      </c>
      <c r="BX445">
        <f>BW445/7</f>
        <v>20.928571428571427</v>
      </c>
      <c r="BY445">
        <f>0.77*BX445</f>
        <v>16.114999999999998</v>
      </c>
      <c r="BZ445">
        <f t="shared" si="6"/>
        <v>21.414999999999999</v>
      </c>
    </row>
    <row r="446" spans="1:78">
      <c r="A446" s="1">
        <v>45209.64901940972</v>
      </c>
      <c r="C446">
        <v>445</v>
      </c>
      <c r="D446" s="10">
        <v>34283</v>
      </c>
      <c r="E446">
        <v>29</v>
      </c>
      <c r="F446">
        <v>1</v>
      </c>
      <c r="G446">
        <v>2</v>
      </c>
      <c r="H446">
        <v>4</v>
      </c>
      <c r="I446" s="10">
        <v>44424</v>
      </c>
      <c r="J446">
        <v>1</v>
      </c>
      <c r="K446">
        <v>1</v>
      </c>
      <c r="L446">
        <v>2</v>
      </c>
      <c r="M446">
        <v>3100</v>
      </c>
      <c r="N446">
        <v>2</v>
      </c>
      <c r="O446" s="10">
        <v>44151</v>
      </c>
      <c r="P446">
        <v>1</v>
      </c>
      <c r="Q446">
        <v>39</v>
      </c>
      <c r="R446">
        <v>2</v>
      </c>
      <c r="S446">
        <v>70</v>
      </c>
      <c r="T446">
        <v>156</v>
      </c>
      <c r="U446">
        <v>80</v>
      </c>
      <c r="V446">
        <v>10</v>
      </c>
      <c r="W446">
        <v>2</v>
      </c>
      <c r="X446">
        <v>28.763971071663377</v>
      </c>
      <c r="Y446">
        <v>32.873109796186718</v>
      </c>
      <c r="Z446">
        <v>4.1091387245233406</v>
      </c>
      <c r="AA446">
        <v>3</v>
      </c>
      <c r="AB446">
        <v>4</v>
      </c>
      <c r="AC446" t="s">
        <v>33</v>
      </c>
      <c r="AD446">
        <v>3</v>
      </c>
      <c r="AE446">
        <v>0</v>
      </c>
      <c r="AG446">
        <v>5</v>
      </c>
      <c r="AH446">
        <v>1</v>
      </c>
      <c r="AI446">
        <v>1</v>
      </c>
      <c r="AJ446">
        <v>1</v>
      </c>
      <c r="AK446">
        <v>7</v>
      </c>
      <c r="AL446">
        <v>1</v>
      </c>
      <c r="AM446">
        <f>AJ446*AK446*AL446/7</f>
        <v>1</v>
      </c>
      <c r="AN446" t="s">
        <v>56</v>
      </c>
      <c r="AO446">
        <v>0</v>
      </c>
      <c r="AV446">
        <f>AU446+AM446</f>
        <v>1</v>
      </c>
      <c r="AW446" t="s">
        <v>58</v>
      </c>
      <c r="AX446">
        <v>1</v>
      </c>
      <c r="AY446" t="s">
        <v>58</v>
      </c>
      <c r="AZ446">
        <v>1</v>
      </c>
      <c r="BA446">
        <v>0.8</v>
      </c>
      <c r="BB446">
        <v>1</v>
      </c>
      <c r="BC446">
        <v>1</v>
      </c>
      <c r="BD446">
        <f>BA446*BB446*1/7</f>
        <v>0.1142857142857143</v>
      </c>
      <c r="BE446">
        <f>AM446+AU446+BD446</f>
        <v>1.1142857142857143</v>
      </c>
      <c r="BF446" t="s">
        <v>58</v>
      </c>
      <c r="BG446">
        <v>0</v>
      </c>
      <c r="BH446">
        <v>1</v>
      </c>
      <c r="BI446">
        <v>1</v>
      </c>
      <c r="BJ446" t="s">
        <v>28</v>
      </c>
      <c r="BK446">
        <v>3</v>
      </c>
      <c r="BL446">
        <v>1</v>
      </c>
      <c r="BM446">
        <v>1</v>
      </c>
      <c r="BN446" t="s">
        <v>30</v>
      </c>
      <c r="BO446">
        <v>1</v>
      </c>
      <c r="BP446">
        <v>168</v>
      </c>
      <c r="BQ446">
        <v>0.13</v>
      </c>
      <c r="BR446">
        <v>2</v>
      </c>
      <c r="BS446">
        <v>0.26</v>
      </c>
      <c r="BT446">
        <f>BS446+BD446+AU446+AM446</f>
        <v>1.3742857142857143</v>
      </c>
      <c r="BU446">
        <v>1</v>
      </c>
      <c r="BV446">
        <v>1</v>
      </c>
      <c r="BW446">
        <v>146.5</v>
      </c>
      <c r="BX446">
        <f>BW446/7</f>
        <v>20.928571428571427</v>
      </c>
      <c r="BY446">
        <f>0.77*BX446</f>
        <v>16.114999999999998</v>
      </c>
      <c r="BZ446">
        <f t="shared" si="6"/>
        <v>17.489285714285714</v>
      </c>
    </row>
    <row r="447" spans="1:78">
      <c r="A447" s="1">
        <v>45209.652927002317</v>
      </c>
      <c r="C447">
        <v>446</v>
      </c>
      <c r="D447" s="10">
        <v>33230</v>
      </c>
      <c r="E447">
        <v>32</v>
      </c>
      <c r="F447">
        <v>1</v>
      </c>
      <c r="G447">
        <v>5</v>
      </c>
      <c r="H447">
        <v>4</v>
      </c>
      <c r="I447" s="10">
        <v>43822</v>
      </c>
      <c r="J447">
        <v>1</v>
      </c>
      <c r="K447">
        <v>1</v>
      </c>
      <c r="L447">
        <v>2</v>
      </c>
      <c r="M447">
        <v>3090</v>
      </c>
      <c r="N447">
        <v>2</v>
      </c>
      <c r="O447" s="10">
        <v>43542</v>
      </c>
      <c r="P447">
        <v>0</v>
      </c>
      <c r="Q447">
        <v>40</v>
      </c>
      <c r="R447">
        <v>2</v>
      </c>
      <c r="S447">
        <v>75</v>
      </c>
      <c r="T447">
        <v>165</v>
      </c>
      <c r="U447">
        <v>85</v>
      </c>
      <c r="V447">
        <v>10</v>
      </c>
      <c r="W447">
        <v>2</v>
      </c>
      <c r="X447">
        <v>27.548209366391188</v>
      </c>
      <c r="Y447">
        <v>31.221303948576679</v>
      </c>
      <c r="Z447">
        <v>3.6730945821854917</v>
      </c>
      <c r="AA447">
        <v>3</v>
      </c>
      <c r="AB447">
        <v>4</v>
      </c>
      <c r="AC447" t="s">
        <v>33</v>
      </c>
      <c r="AD447">
        <v>3</v>
      </c>
      <c r="AE447">
        <v>0</v>
      </c>
      <c r="AG447">
        <v>5</v>
      </c>
      <c r="AH447">
        <v>1</v>
      </c>
      <c r="AI447">
        <v>13</v>
      </c>
      <c r="AJ447">
        <v>1</v>
      </c>
      <c r="AK447">
        <v>7</v>
      </c>
      <c r="AL447">
        <v>1</v>
      </c>
      <c r="AM447">
        <f>AJ447*AK447*AL447/7</f>
        <v>1</v>
      </c>
      <c r="AN447" t="s">
        <v>79</v>
      </c>
      <c r="AO447">
        <v>0</v>
      </c>
      <c r="AV447">
        <f>AU447+AM447</f>
        <v>1</v>
      </c>
      <c r="AX447">
        <v>0</v>
      </c>
      <c r="BE447">
        <f>AM447+AU447+BD447</f>
        <v>1</v>
      </c>
      <c r="BG447">
        <v>0</v>
      </c>
      <c r="BJ447" t="s">
        <v>42</v>
      </c>
      <c r="BK447">
        <v>6</v>
      </c>
      <c r="BL447">
        <v>1</v>
      </c>
      <c r="BM447">
        <v>1</v>
      </c>
      <c r="BN447" t="s">
        <v>30</v>
      </c>
      <c r="BO447">
        <v>1</v>
      </c>
      <c r="BP447">
        <v>84</v>
      </c>
      <c r="BQ447">
        <v>0.13</v>
      </c>
      <c r="BR447">
        <v>1</v>
      </c>
      <c r="BS447">
        <v>0.13</v>
      </c>
      <c r="BT447">
        <f>BS447+BD447+AU447+AM447</f>
        <v>1.1299999999999999</v>
      </c>
      <c r="BU447">
        <v>1</v>
      </c>
      <c r="BV447">
        <v>1</v>
      </c>
      <c r="BW447">
        <v>146.5</v>
      </c>
      <c r="BX447">
        <f>BW447/7</f>
        <v>20.928571428571427</v>
      </c>
      <c r="BY447">
        <f>0.77*BX447</f>
        <v>16.114999999999998</v>
      </c>
      <c r="BZ447">
        <f t="shared" si="6"/>
        <v>17.244999999999997</v>
      </c>
    </row>
    <row r="448" spans="1:78">
      <c r="A448" s="1">
        <v>45209.658494363423</v>
      </c>
      <c r="C448">
        <v>447</v>
      </c>
      <c r="D448" s="10">
        <v>32999</v>
      </c>
      <c r="E448">
        <v>33</v>
      </c>
      <c r="F448">
        <v>1</v>
      </c>
      <c r="G448">
        <v>2</v>
      </c>
      <c r="H448">
        <v>4</v>
      </c>
      <c r="I448" s="10">
        <v>44734</v>
      </c>
      <c r="J448">
        <v>1</v>
      </c>
      <c r="K448">
        <v>1</v>
      </c>
      <c r="L448">
        <v>1</v>
      </c>
      <c r="M448">
        <v>2750</v>
      </c>
      <c r="N448">
        <v>2</v>
      </c>
      <c r="O448" s="10">
        <v>44461</v>
      </c>
      <c r="P448">
        <v>1</v>
      </c>
      <c r="Q448">
        <v>39</v>
      </c>
      <c r="R448">
        <v>2</v>
      </c>
      <c r="S448">
        <v>88.5</v>
      </c>
      <c r="T448">
        <v>163</v>
      </c>
      <c r="U448">
        <v>93</v>
      </c>
      <c r="V448">
        <v>4.5</v>
      </c>
      <c r="W448">
        <v>1</v>
      </c>
      <c r="X448">
        <v>33.309496029206976</v>
      </c>
      <c r="Y448">
        <v>35.003199217132753</v>
      </c>
      <c r="Z448">
        <v>1.6937031879257773</v>
      </c>
      <c r="AA448">
        <v>4</v>
      </c>
      <c r="AB448">
        <v>4</v>
      </c>
      <c r="AC448" t="s">
        <v>50</v>
      </c>
      <c r="AD448">
        <v>2</v>
      </c>
      <c r="AE448">
        <v>0</v>
      </c>
      <c r="AG448">
        <v>5</v>
      </c>
      <c r="AH448">
        <v>1</v>
      </c>
      <c r="AI448">
        <v>13</v>
      </c>
      <c r="AJ448">
        <v>1</v>
      </c>
      <c r="AK448">
        <v>7</v>
      </c>
      <c r="AL448">
        <v>1</v>
      </c>
      <c r="AM448">
        <f>AJ448*AK448*AL448/7</f>
        <v>1</v>
      </c>
      <c r="AN448" t="s">
        <v>79</v>
      </c>
      <c r="AO448">
        <v>0</v>
      </c>
      <c r="AV448">
        <f>AU448+AM448</f>
        <v>1</v>
      </c>
      <c r="AW448" t="s">
        <v>334</v>
      </c>
      <c r="AX448">
        <v>0</v>
      </c>
      <c r="BE448">
        <f>AM448+AU448+BD448</f>
        <v>1</v>
      </c>
      <c r="BF448" t="s">
        <v>334</v>
      </c>
      <c r="BG448">
        <v>1</v>
      </c>
      <c r="BH448">
        <v>7</v>
      </c>
      <c r="BI448">
        <v>1</v>
      </c>
      <c r="BJ448" t="s">
        <v>54</v>
      </c>
      <c r="BK448">
        <v>2</v>
      </c>
      <c r="BL448">
        <v>1</v>
      </c>
      <c r="BM448">
        <v>1</v>
      </c>
      <c r="BN448" t="s">
        <v>55</v>
      </c>
      <c r="BO448">
        <v>2</v>
      </c>
      <c r="BP448">
        <v>201</v>
      </c>
      <c r="BQ448">
        <v>0.1</v>
      </c>
      <c r="BR448">
        <v>3</v>
      </c>
      <c r="BS448">
        <v>0.30000000000000004</v>
      </c>
      <c r="BT448">
        <f>BS448+BD448+AU448+AM448</f>
        <v>1.3</v>
      </c>
      <c r="BU448">
        <v>1</v>
      </c>
      <c r="BV448">
        <v>2</v>
      </c>
      <c r="BW448">
        <v>293</v>
      </c>
      <c r="BX448">
        <f>BW448/7</f>
        <v>41.857142857142854</v>
      </c>
      <c r="BY448">
        <f>0.77*BX448</f>
        <v>32.229999999999997</v>
      </c>
      <c r="BZ448">
        <f t="shared" si="6"/>
        <v>33.529999999999994</v>
      </c>
    </row>
    <row r="449" spans="1:78">
      <c r="A449" s="1">
        <v>45209.683397291665</v>
      </c>
      <c r="C449">
        <v>448</v>
      </c>
      <c r="D449" s="10">
        <v>32312</v>
      </c>
      <c r="E449">
        <v>35</v>
      </c>
      <c r="F449">
        <v>1</v>
      </c>
      <c r="G449">
        <v>12</v>
      </c>
      <c r="H449">
        <v>4</v>
      </c>
      <c r="I449" s="10">
        <v>44247</v>
      </c>
      <c r="J449">
        <v>2</v>
      </c>
      <c r="K449">
        <v>0</v>
      </c>
      <c r="L449">
        <v>2</v>
      </c>
      <c r="M449">
        <v>3945</v>
      </c>
      <c r="N449">
        <v>2</v>
      </c>
      <c r="O449" s="10">
        <v>43967</v>
      </c>
      <c r="P449">
        <v>1</v>
      </c>
      <c r="Q449">
        <v>40</v>
      </c>
      <c r="R449">
        <v>2</v>
      </c>
      <c r="S449">
        <v>71</v>
      </c>
      <c r="T449">
        <v>160</v>
      </c>
      <c r="U449">
        <v>82</v>
      </c>
      <c r="V449">
        <v>11</v>
      </c>
      <c r="W449">
        <v>2</v>
      </c>
      <c r="X449">
        <v>27.734374999999993</v>
      </c>
      <c r="Y449">
        <v>32.031249999999993</v>
      </c>
      <c r="Z449">
        <v>4.296875</v>
      </c>
      <c r="AA449">
        <v>3</v>
      </c>
      <c r="AB449">
        <v>4</v>
      </c>
      <c r="AC449" t="s">
        <v>44</v>
      </c>
      <c r="AD449">
        <v>1</v>
      </c>
      <c r="AE449">
        <v>0</v>
      </c>
      <c r="AG449">
        <v>5</v>
      </c>
      <c r="AH449">
        <v>1</v>
      </c>
      <c r="AI449">
        <v>13</v>
      </c>
      <c r="AJ449">
        <v>1</v>
      </c>
      <c r="AK449">
        <v>7</v>
      </c>
      <c r="AL449">
        <v>1</v>
      </c>
      <c r="AM449">
        <f>AJ449*AK449*AL449/7</f>
        <v>1</v>
      </c>
      <c r="AN449" t="s">
        <v>79</v>
      </c>
      <c r="AO449">
        <v>0</v>
      </c>
      <c r="AV449">
        <f>AU449+AM449</f>
        <v>1</v>
      </c>
      <c r="AX449">
        <v>0</v>
      </c>
      <c r="BE449">
        <f>AM449+AU449+BD449</f>
        <v>1</v>
      </c>
      <c r="BG449">
        <v>0</v>
      </c>
      <c r="BJ449" t="s">
        <v>42</v>
      </c>
      <c r="BK449">
        <v>6</v>
      </c>
      <c r="BL449">
        <v>1</v>
      </c>
      <c r="BM449">
        <v>1</v>
      </c>
      <c r="BN449" t="s">
        <v>55</v>
      </c>
      <c r="BO449">
        <v>2</v>
      </c>
      <c r="BP449">
        <v>134</v>
      </c>
      <c r="BQ449">
        <v>0.1</v>
      </c>
      <c r="BR449">
        <v>2</v>
      </c>
      <c r="BS449">
        <v>0.2</v>
      </c>
      <c r="BT449">
        <f>BS449+BD449+AU449+AM449</f>
        <v>1.2</v>
      </c>
      <c r="BU449">
        <v>1</v>
      </c>
      <c r="BV449">
        <v>1</v>
      </c>
      <c r="BW449">
        <v>146.5</v>
      </c>
      <c r="BX449">
        <f>BW449/7</f>
        <v>20.928571428571427</v>
      </c>
      <c r="BY449">
        <f>0.77*BX449</f>
        <v>16.114999999999998</v>
      </c>
      <c r="BZ449">
        <f t="shared" si="6"/>
        <v>17.314999999999998</v>
      </c>
    </row>
    <row r="450" spans="1:78">
      <c r="A450" s="1">
        <v>45209.699458842588</v>
      </c>
      <c r="C450">
        <v>449</v>
      </c>
      <c r="D450" s="10">
        <v>32746</v>
      </c>
      <c r="E450">
        <v>34</v>
      </c>
      <c r="F450">
        <v>1</v>
      </c>
      <c r="G450">
        <v>1</v>
      </c>
      <c r="H450">
        <v>4</v>
      </c>
      <c r="I450" s="10">
        <v>44696</v>
      </c>
      <c r="J450">
        <v>3</v>
      </c>
      <c r="K450">
        <v>0</v>
      </c>
      <c r="L450">
        <v>1</v>
      </c>
      <c r="M450">
        <v>3758</v>
      </c>
      <c r="N450">
        <v>2</v>
      </c>
      <c r="O450" s="10">
        <v>44430</v>
      </c>
      <c r="P450">
        <v>1</v>
      </c>
      <c r="Q450">
        <v>38</v>
      </c>
      <c r="R450">
        <v>2</v>
      </c>
      <c r="S450">
        <v>63</v>
      </c>
      <c r="T450">
        <v>163</v>
      </c>
      <c r="U450">
        <v>78</v>
      </c>
      <c r="V450">
        <v>15</v>
      </c>
      <c r="W450">
        <v>2</v>
      </c>
      <c r="X450">
        <v>23.711844630960897</v>
      </c>
      <c r="Y450">
        <v>29.357521924046825</v>
      </c>
      <c r="Z450">
        <v>5.645677293085928</v>
      </c>
      <c r="AA450">
        <v>2</v>
      </c>
      <c r="AB450">
        <v>3</v>
      </c>
      <c r="AC450" t="s">
        <v>33</v>
      </c>
      <c r="AD450">
        <v>3</v>
      </c>
      <c r="AE450">
        <v>0</v>
      </c>
      <c r="AG450">
        <v>5</v>
      </c>
      <c r="AH450">
        <v>1</v>
      </c>
      <c r="AI450">
        <v>4</v>
      </c>
      <c r="AJ450">
        <v>1</v>
      </c>
      <c r="AK450">
        <v>7</v>
      </c>
      <c r="AL450">
        <v>1</v>
      </c>
      <c r="AM450">
        <f>AJ450*AK450*AL450/7</f>
        <v>1</v>
      </c>
      <c r="AN450" t="s">
        <v>43</v>
      </c>
      <c r="AO450">
        <v>0</v>
      </c>
      <c r="AV450">
        <f>AU450+AM450</f>
        <v>1</v>
      </c>
      <c r="AW450" t="s">
        <v>335</v>
      </c>
      <c r="AX450">
        <v>1</v>
      </c>
      <c r="AY450" t="s">
        <v>335</v>
      </c>
      <c r="AZ450">
        <v>14</v>
      </c>
      <c r="BA450">
        <v>0.5</v>
      </c>
      <c r="BB450">
        <v>7</v>
      </c>
      <c r="BC450">
        <v>1</v>
      </c>
      <c r="BD450">
        <f>BA450*BB450*1/7</f>
        <v>0.5</v>
      </c>
      <c r="BE450">
        <f>AM450+AU450+BD450</f>
        <v>1.5</v>
      </c>
      <c r="BF450" t="s">
        <v>335</v>
      </c>
      <c r="BG450">
        <v>0</v>
      </c>
      <c r="BH450">
        <v>7</v>
      </c>
      <c r="BI450">
        <v>1</v>
      </c>
      <c r="BJ450" t="s">
        <v>28</v>
      </c>
      <c r="BK450">
        <v>3</v>
      </c>
      <c r="BL450">
        <v>1</v>
      </c>
      <c r="BM450">
        <v>1</v>
      </c>
      <c r="BN450" t="s">
        <v>30</v>
      </c>
      <c r="BO450">
        <v>1</v>
      </c>
      <c r="BP450">
        <v>252</v>
      </c>
      <c r="BQ450">
        <v>0.13</v>
      </c>
      <c r="BR450">
        <v>3</v>
      </c>
      <c r="BS450">
        <v>0.39</v>
      </c>
      <c r="BT450">
        <f>BS450+BD450+AU450+AM450</f>
        <v>1.8900000000000001</v>
      </c>
      <c r="BU450">
        <v>1</v>
      </c>
      <c r="BV450">
        <v>4</v>
      </c>
      <c r="BW450">
        <v>586</v>
      </c>
      <c r="BX450">
        <f>BW450/7</f>
        <v>83.714285714285708</v>
      </c>
      <c r="BY450">
        <f>0.77*BX450</f>
        <v>64.459999999999994</v>
      </c>
      <c r="BZ450">
        <f t="shared" si="6"/>
        <v>66.349999999999994</v>
      </c>
    </row>
    <row r="451" spans="1:78">
      <c r="A451" s="1">
        <v>45209.704907962965</v>
      </c>
      <c r="C451">
        <v>450</v>
      </c>
      <c r="D451" s="10">
        <v>32533</v>
      </c>
      <c r="E451">
        <v>34</v>
      </c>
      <c r="F451">
        <v>1</v>
      </c>
      <c r="G451">
        <v>1</v>
      </c>
      <c r="H451">
        <v>4</v>
      </c>
      <c r="I451" s="10">
        <v>44932</v>
      </c>
      <c r="J451">
        <v>2</v>
      </c>
      <c r="K451">
        <v>0</v>
      </c>
      <c r="L451">
        <v>1</v>
      </c>
      <c r="M451">
        <v>2765</v>
      </c>
      <c r="N451">
        <v>2</v>
      </c>
      <c r="O451" s="10">
        <v>44687</v>
      </c>
      <c r="P451">
        <v>0</v>
      </c>
      <c r="Q451">
        <v>35</v>
      </c>
      <c r="R451">
        <v>3</v>
      </c>
      <c r="S451">
        <v>48</v>
      </c>
      <c r="T451">
        <v>160</v>
      </c>
      <c r="U451">
        <v>55</v>
      </c>
      <c r="V451">
        <v>7</v>
      </c>
      <c r="W451">
        <v>1</v>
      </c>
      <c r="X451">
        <v>18.749999999999996</v>
      </c>
      <c r="Y451">
        <v>21.484374999999996</v>
      </c>
      <c r="Z451">
        <v>2.734375</v>
      </c>
      <c r="AA451">
        <v>2</v>
      </c>
      <c r="AB451">
        <v>2</v>
      </c>
      <c r="AC451" t="s">
        <v>33</v>
      </c>
      <c r="AD451">
        <v>3</v>
      </c>
      <c r="AE451">
        <v>0</v>
      </c>
      <c r="AG451">
        <v>5</v>
      </c>
      <c r="AH451">
        <v>1</v>
      </c>
      <c r="AI451">
        <v>2</v>
      </c>
      <c r="AJ451">
        <v>5</v>
      </c>
      <c r="AK451">
        <v>7</v>
      </c>
      <c r="AL451">
        <v>3</v>
      </c>
      <c r="AM451">
        <f>AJ451*AK451*AL451/7</f>
        <v>15</v>
      </c>
      <c r="AN451" t="s">
        <v>57</v>
      </c>
      <c r="AO451">
        <v>0</v>
      </c>
      <c r="AV451">
        <f>AU451+AM451</f>
        <v>15</v>
      </c>
      <c r="AX451">
        <v>0</v>
      </c>
      <c r="BE451">
        <f>AM451+AU451+BD451</f>
        <v>15</v>
      </c>
      <c r="BG451">
        <v>0</v>
      </c>
      <c r="BJ451" t="s">
        <v>42</v>
      </c>
      <c r="BK451">
        <v>6</v>
      </c>
      <c r="BL451">
        <v>1</v>
      </c>
      <c r="BM451">
        <v>1</v>
      </c>
      <c r="BN451" t="s">
        <v>30</v>
      </c>
      <c r="BO451">
        <v>1</v>
      </c>
      <c r="BP451">
        <v>168</v>
      </c>
      <c r="BQ451">
        <v>0.13</v>
      </c>
      <c r="BR451">
        <v>2</v>
      </c>
      <c r="BS451">
        <v>0.26</v>
      </c>
      <c r="BT451">
        <f>BS451+BD451+AU451+AM451</f>
        <v>15.26</v>
      </c>
      <c r="BU451">
        <v>1</v>
      </c>
      <c r="BV451">
        <v>3</v>
      </c>
      <c r="BW451">
        <v>439.5</v>
      </c>
      <c r="BX451">
        <f>BW451/7</f>
        <v>62.785714285714285</v>
      </c>
      <c r="BY451">
        <f>0.77*BX451</f>
        <v>48.344999999999999</v>
      </c>
      <c r="BZ451">
        <f t="shared" si="6"/>
        <v>63.604999999999997</v>
      </c>
    </row>
    <row r="452" spans="1:78">
      <c r="A452" s="1">
        <v>45209.71018170139</v>
      </c>
      <c r="C452">
        <v>451</v>
      </c>
      <c r="D452" s="10">
        <v>33246</v>
      </c>
      <c r="E452">
        <v>32</v>
      </c>
      <c r="F452">
        <v>1</v>
      </c>
      <c r="G452">
        <v>10</v>
      </c>
      <c r="H452">
        <v>4</v>
      </c>
      <c r="I452" s="10">
        <v>43679</v>
      </c>
      <c r="J452">
        <v>2</v>
      </c>
      <c r="K452">
        <v>0</v>
      </c>
      <c r="L452">
        <v>1</v>
      </c>
      <c r="M452">
        <v>4500</v>
      </c>
      <c r="N452">
        <v>3</v>
      </c>
      <c r="O452" s="10">
        <v>43418</v>
      </c>
      <c r="P452">
        <v>0</v>
      </c>
      <c r="Q452">
        <v>37.285714285714285</v>
      </c>
      <c r="R452">
        <v>2</v>
      </c>
      <c r="S452">
        <v>75</v>
      </c>
      <c r="T452">
        <v>159</v>
      </c>
      <c r="U452">
        <v>80</v>
      </c>
      <c r="V452">
        <v>5</v>
      </c>
      <c r="W452">
        <v>1</v>
      </c>
      <c r="X452">
        <v>29.666548000474663</v>
      </c>
      <c r="Y452">
        <v>31.644317867172973</v>
      </c>
      <c r="Z452">
        <v>1.9777698666983099</v>
      </c>
      <c r="AA452">
        <v>3</v>
      </c>
      <c r="AB452">
        <v>4</v>
      </c>
      <c r="AC452" t="s">
        <v>44</v>
      </c>
      <c r="AD452">
        <v>1</v>
      </c>
      <c r="AE452">
        <v>0</v>
      </c>
      <c r="AG452">
        <v>5</v>
      </c>
      <c r="AH452">
        <v>1</v>
      </c>
      <c r="AI452">
        <v>1</v>
      </c>
      <c r="AJ452">
        <v>1</v>
      </c>
      <c r="AK452">
        <v>7</v>
      </c>
      <c r="AL452">
        <v>1</v>
      </c>
      <c r="AM452">
        <f>AJ452*AK452*AL452/7</f>
        <v>1</v>
      </c>
      <c r="AN452" t="s">
        <v>56</v>
      </c>
      <c r="AO452">
        <v>0</v>
      </c>
      <c r="AV452">
        <f>AU452+AM452</f>
        <v>1</v>
      </c>
      <c r="AX452">
        <v>0</v>
      </c>
      <c r="BE452">
        <f>AM452+AU452+BD452</f>
        <v>1</v>
      </c>
      <c r="BG452">
        <v>0</v>
      </c>
      <c r="BJ452" t="s">
        <v>28</v>
      </c>
      <c r="BK452">
        <v>3</v>
      </c>
      <c r="BL452">
        <v>1</v>
      </c>
      <c r="BM452">
        <v>1</v>
      </c>
      <c r="BN452" t="s">
        <v>30</v>
      </c>
      <c r="BO452">
        <v>1</v>
      </c>
      <c r="BP452">
        <v>42</v>
      </c>
      <c r="BQ452">
        <v>0.13</v>
      </c>
      <c r="BR452">
        <v>0.5</v>
      </c>
      <c r="BS452">
        <v>6.5000000000000002E-2</v>
      </c>
      <c r="BT452">
        <f>BS452+BD452+AU452+AM452</f>
        <v>1.0649999999999999</v>
      </c>
      <c r="BU452">
        <v>1</v>
      </c>
      <c r="BV452">
        <v>2</v>
      </c>
      <c r="BW452">
        <v>293</v>
      </c>
      <c r="BX452">
        <f>BW452/7</f>
        <v>41.857142857142854</v>
      </c>
      <c r="BY452">
        <f>0.77*BX452</f>
        <v>32.229999999999997</v>
      </c>
      <c r="BZ452">
        <f t="shared" ref="BZ452:BZ515" si="7">BS452+BD452+AU452+AM452+BY452</f>
        <v>33.294999999999995</v>
      </c>
    </row>
    <row r="453" spans="1:78">
      <c r="A453" s="1">
        <v>45209.716786018515</v>
      </c>
      <c r="C453">
        <v>452</v>
      </c>
      <c r="D453" s="10">
        <v>34358</v>
      </c>
      <c r="E453">
        <v>29</v>
      </c>
      <c r="F453">
        <v>1</v>
      </c>
      <c r="G453">
        <v>14</v>
      </c>
      <c r="H453">
        <v>2</v>
      </c>
      <c r="I453" s="10">
        <v>44483</v>
      </c>
      <c r="J453">
        <v>1</v>
      </c>
      <c r="K453">
        <v>1</v>
      </c>
      <c r="L453">
        <v>2</v>
      </c>
      <c r="M453">
        <v>2930</v>
      </c>
      <c r="N453">
        <v>2</v>
      </c>
      <c r="O453" s="10">
        <v>44217</v>
      </c>
      <c r="P453">
        <v>1</v>
      </c>
      <c r="Q453">
        <v>38</v>
      </c>
      <c r="R453">
        <v>2</v>
      </c>
      <c r="S453">
        <v>55</v>
      </c>
      <c r="T453">
        <v>163</v>
      </c>
      <c r="U453">
        <v>67</v>
      </c>
      <c r="V453">
        <v>12</v>
      </c>
      <c r="W453">
        <v>2</v>
      </c>
      <c r="X453">
        <v>20.700816741315069</v>
      </c>
      <c r="Y453">
        <v>25.217358575783809</v>
      </c>
      <c r="Z453">
        <v>4.5165418344687396</v>
      </c>
      <c r="AA453">
        <v>2</v>
      </c>
      <c r="AB453">
        <v>3</v>
      </c>
      <c r="AC453" t="s">
        <v>33</v>
      </c>
      <c r="AD453">
        <v>3</v>
      </c>
      <c r="AE453">
        <v>0</v>
      </c>
      <c r="AG453">
        <v>5</v>
      </c>
      <c r="AH453">
        <v>1</v>
      </c>
      <c r="AI453">
        <v>5</v>
      </c>
      <c r="AJ453">
        <v>5</v>
      </c>
      <c r="AK453">
        <v>7</v>
      </c>
      <c r="AL453">
        <v>1</v>
      </c>
      <c r="AM453">
        <f>AJ453*AK453*AL453/7</f>
        <v>5</v>
      </c>
      <c r="AN453" t="s">
        <v>27</v>
      </c>
      <c r="AO453">
        <v>0</v>
      </c>
      <c r="AV453">
        <f>AU453+AM453</f>
        <v>5</v>
      </c>
      <c r="AW453" t="s">
        <v>314</v>
      </c>
      <c r="AX453">
        <v>1</v>
      </c>
      <c r="AY453" t="s">
        <v>314</v>
      </c>
      <c r="AZ453">
        <v>5</v>
      </c>
      <c r="BA453">
        <v>0.4</v>
      </c>
      <c r="BB453">
        <v>7</v>
      </c>
      <c r="BC453">
        <v>1</v>
      </c>
      <c r="BD453">
        <f>BA453*BB453*1/7</f>
        <v>0.4</v>
      </c>
      <c r="BE453">
        <f>AM453+AU453+BD453</f>
        <v>5.4</v>
      </c>
      <c r="BF453" t="s">
        <v>314</v>
      </c>
      <c r="BG453">
        <v>0</v>
      </c>
      <c r="BH453">
        <v>7</v>
      </c>
      <c r="BI453">
        <v>1</v>
      </c>
      <c r="BJ453" t="s">
        <v>36</v>
      </c>
      <c r="BK453">
        <v>4</v>
      </c>
      <c r="BL453">
        <v>1</v>
      </c>
      <c r="BM453">
        <v>1</v>
      </c>
      <c r="BN453" t="s">
        <v>30</v>
      </c>
      <c r="BO453">
        <v>1</v>
      </c>
      <c r="BP453">
        <v>168</v>
      </c>
      <c r="BQ453">
        <v>0.13</v>
      </c>
      <c r="BR453">
        <v>2</v>
      </c>
      <c r="BS453">
        <v>0.26</v>
      </c>
      <c r="BT453">
        <f>BS453+BD453+AU453+AM453</f>
        <v>5.66</v>
      </c>
      <c r="BU453">
        <v>1</v>
      </c>
      <c r="BV453">
        <v>2</v>
      </c>
      <c r="BW453">
        <v>293</v>
      </c>
      <c r="BX453">
        <f>BW453/7</f>
        <v>41.857142857142854</v>
      </c>
      <c r="BY453">
        <f>0.77*BX453</f>
        <v>32.229999999999997</v>
      </c>
      <c r="BZ453">
        <f t="shared" si="7"/>
        <v>37.89</v>
      </c>
    </row>
    <row r="454" spans="1:78">
      <c r="A454" s="1">
        <v>45209.723907280088</v>
      </c>
      <c r="C454">
        <v>453</v>
      </c>
      <c r="D454" s="10">
        <v>31836</v>
      </c>
      <c r="E454">
        <v>36</v>
      </c>
      <c r="F454">
        <v>1</v>
      </c>
      <c r="G454">
        <v>1</v>
      </c>
      <c r="H454">
        <v>4</v>
      </c>
      <c r="I454" s="10">
        <v>43695</v>
      </c>
      <c r="J454">
        <v>1</v>
      </c>
      <c r="K454">
        <v>1</v>
      </c>
      <c r="L454">
        <v>2</v>
      </c>
      <c r="M454">
        <v>3150</v>
      </c>
      <c r="N454">
        <v>2</v>
      </c>
      <c r="O454" s="10">
        <v>43443</v>
      </c>
      <c r="P454">
        <v>0</v>
      </c>
      <c r="Q454">
        <v>36</v>
      </c>
      <c r="R454">
        <v>3</v>
      </c>
      <c r="S454">
        <v>52</v>
      </c>
      <c r="T454">
        <v>150</v>
      </c>
      <c r="U454">
        <v>59</v>
      </c>
      <c r="V454">
        <v>7</v>
      </c>
      <c r="W454">
        <v>1</v>
      </c>
      <c r="X454">
        <v>23.111111111111111</v>
      </c>
      <c r="Y454">
        <v>26.222222222222221</v>
      </c>
      <c r="Z454">
        <v>3.1111111111111107</v>
      </c>
      <c r="AA454">
        <v>2</v>
      </c>
      <c r="AB454">
        <v>3</v>
      </c>
      <c r="AC454" t="s">
        <v>33</v>
      </c>
      <c r="AD454">
        <v>3</v>
      </c>
      <c r="AE454">
        <v>0</v>
      </c>
      <c r="AG454">
        <v>5</v>
      </c>
      <c r="AH454">
        <v>1</v>
      </c>
      <c r="AI454">
        <v>5</v>
      </c>
      <c r="AJ454">
        <v>5</v>
      </c>
      <c r="AK454">
        <v>7</v>
      </c>
      <c r="AL454">
        <v>1</v>
      </c>
      <c r="AM454">
        <f>AJ454*AK454*AL454/7</f>
        <v>5</v>
      </c>
      <c r="AN454" t="s">
        <v>27</v>
      </c>
      <c r="AO454">
        <v>0</v>
      </c>
      <c r="AV454">
        <f>AU454+AM454</f>
        <v>5</v>
      </c>
      <c r="AW454" t="s">
        <v>314</v>
      </c>
      <c r="AX454">
        <v>1</v>
      </c>
      <c r="AY454" t="s">
        <v>314</v>
      </c>
      <c r="AZ454">
        <v>5</v>
      </c>
      <c r="BA454">
        <v>0.4</v>
      </c>
      <c r="BB454">
        <v>7</v>
      </c>
      <c r="BC454">
        <v>1</v>
      </c>
      <c r="BD454">
        <f>BA454*BB454*1/7</f>
        <v>0.4</v>
      </c>
      <c r="BE454">
        <f>AM454+AU454+BD454</f>
        <v>5.4</v>
      </c>
      <c r="BF454" t="s">
        <v>314</v>
      </c>
      <c r="BG454">
        <v>0</v>
      </c>
      <c r="BH454">
        <v>7</v>
      </c>
      <c r="BI454">
        <v>1</v>
      </c>
      <c r="BJ454" t="s">
        <v>28</v>
      </c>
      <c r="BK454">
        <v>3</v>
      </c>
      <c r="BL454">
        <v>1</v>
      </c>
      <c r="BM454">
        <v>1</v>
      </c>
      <c r="BN454" t="s">
        <v>55</v>
      </c>
      <c r="BO454">
        <v>2</v>
      </c>
      <c r="BP454">
        <v>67</v>
      </c>
      <c r="BQ454">
        <v>0.1</v>
      </c>
      <c r="BR454">
        <v>1</v>
      </c>
      <c r="BS454">
        <v>0.1</v>
      </c>
      <c r="BT454">
        <f>BS454+BD454+AU454+AM454</f>
        <v>5.5</v>
      </c>
      <c r="BU454">
        <v>1</v>
      </c>
      <c r="BV454">
        <v>0.5</v>
      </c>
      <c r="BW454">
        <v>73.25</v>
      </c>
      <c r="BX454">
        <f>BW454/7</f>
        <v>10.464285714285714</v>
      </c>
      <c r="BY454">
        <f>0.77*BX454</f>
        <v>8.0574999999999992</v>
      </c>
      <c r="BZ454">
        <f t="shared" si="7"/>
        <v>13.557499999999999</v>
      </c>
    </row>
    <row r="455" spans="1:78">
      <c r="A455" s="1">
        <v>45209.733878125</v>
      </c>
      <c r="C455">
        <v>454</v>
      </c>
      <c r="D455" s="10">
        <v>31561</v>
      </c>
      <c r="E455">
        <v>37</v>
      </c>
      <c r="F455">
        <v>1</v>
      </c>
      <c r="G455">
        <v>1</v>
      </c>
      <c r="H455">
        <v>3</v>
      </c>
      <c r="I455" s="10">
        <v>44216</v>
      </c>
      <c r="J455">
        <v>1</v>
      </c>
      <c r="K455">
        <v>1</v>
      </c>
      <c r="L455">
        <v>2</v>
      </c>
      <c r="M455">
        <v>3280</v>
      </c>
      <c r="N455">
        <v>2</v>
      </c>
      <c r="O455" s="10">
        <v>43936</v>
      </c>
      <c r="P455">
        <v>1</v>
      </c>
      <c r="Q455">
        <v>40</v>
      </c>
      <c r="R455">
        <v>2</v>
      </c>
      <c r="S455">
        <v>86</v>
      </c>
      <c r="T455">
        <v>162</v>
      </c>
      <c r="U455">
        <v>90.1</v>
      </c>
      <c r="V455">
        <v>4.0999999999999943</v>
      </c>
      <c r="W455">
        <v>1</v>
      </c>
      <c r="X455">
        <v>32.769394909312595</v>
      </c>
      <c r="Y455">
        <v>34.331656759640289</v>
      </c>
      <c r="Z455">
        <v>1.5622618503276939</v>
      </c>
      <c r="AA455">
        <v>4</v>
      </c>
      <c r="AB455">
        <v>4</v>
      </c>
      <c r="AC455" t="s">
        <v>33</v>
      </c>
      <c r="AD455">
        <v>3</v>
      </c>
      <c r="AE455">
        <v>0</v>
      </c>
      <c r="AG455">
        <v>5</v>
      </c>
      <c r="AH455">
        <v>0</v>
      </c>
      <c r="AI455">
        <v>0</v>
      </c>
      <c r="AO455">
        <v>0</v>
      </c>
      <c r="AW455" t="s">
        <v>336</v>
      </c>
      <c r="AX455">
        <v>0</v>
      </c>
      <c r="BF455" t="s">
        <v>336</v>
      </c>
      <c r="BG455">
        <v>1</v>
      </c>
      <c r="BH455">
        <v>7</v>
      </c>
      <c r="BI455">
        <v>1</v>
      </c>
      <c r="BJ455" t="s">
        <v>51</v>
      </c>
      <c r="BK455">
        <v>1</v>
      </c>
      <c r="BL455">
        <v>3</v>
      </c>
      <c r="BM455">
        <v>1</v>
      </c>
      <c r="BN455" t="s">
        <v>30</v>
      </c>
      <c r="BO455">
        <v>1</v>
      </c>
      <c r="BP455">
        <v>336</v>
      </c>
      <c r="BQ455">
        <v>0.13</v>
      </c>
      <c r="BR455">
        <v>4</v>
      </c>
      <c r="BS455">
        <v>0.52</v>
      </c>
      <c r="BT455">
        <f>BS455+BD455+AU455+AM455</f>
        <v>0.52</v>
      </c>
      <c r="BU455">
        <v>1</v>
      </c>
      <c r="BV455">
        <v>0.5</v>
      </c>
      <c r="BW455">
        <v>73.25</v>
      </c>
      <c r="BX455">
        <f>BW455/7</f>
        <v>10.464285714285714</v>
      </c>
      <c r="BY455">
        <f>0.77*BX455</f>
        <v>8.0574999999999992</v>
      </c>
      <c r="BZ455">
        <f t="shared" si="7"/>
        <v>8.5774999999999988</v>
      </c>
    </row>
    <row r="456" spans="1:78">
      <c r="A456" s="1">
        <v>45209.745361400463</v>
      </c>
      <c r="C456">
        <v>455</v>
      </c>
      <c r="D456" s="10">
        <v>31258</v>
      </c>
      <c r="E456">
        <v>38</v>
      </c>
      <c r="F456">
        <v>1</v>
      </c>
      <c r="G456">
        <v>9</v>
      </c>
      <c r="H456">
        <v>4</v>
      </c>
      <c r="I456" s="10">
        <v>44692</v>
      </c>
      <c r="J456">
        <v>2</v>
      </c>
      <c r="K456">
        <v>0</v>
      </c>
      <c r="L456">
        <v>1</v>
      </c>
      <c r="M456">
        <v>3150</v>
      </c>
      <c r="N456">
        <v>2</v>
      </c>
      <c r="O456" s="10">
        <v>44433</v>
      </c>
      <c r="P456">
        <v>1</v>
      </c>
      <c r="Q456">
        <v>37</v>
      </c>
      <c r="R456">
        <v>2</v>
      </c>
      <c r="S456">
        <v>61</v>
      </c>
      <c r="T456">
        <v>157</v>
      </c>
      <c r="U456">
        <v>68</v>
      </c>
      <c r="V456">
        <v>7</v>
      </c>
      <c r="W456">
        <v>1</v>
      </c>
      <c r="X456">
        <v>24.747454257779218</v>
      </c>
      <c r="Y456">
        <v>27.587326057852245</v>
      </c>
      <c r="Z456">
        <v>2.839871800073027</v>
      </c>
      <c r="AA456">
        <v>2</v>
      </c>
      <c r="AB456">
        <v>3</v>
      </c>
      <c r="AC456" t="s">
        <v>33</v>
      </c>
      <c r="AD456">
        <v>3</v>
      </c>
      <c r="AE456">
        <v>0</v>
      </c>
      <c r="AG456">
        <v>5</v>
      </c>
      <c r="AH456">
        <v>1</v>
      </c>
      <c r="AI456">
        <v>4</v>
      </c>
      <c r="AJ456">
        <v>1</v>
      </c>
      <c r="AK456">
        <v>7</v>
      </c>
      <c r="AL456">
        <v>1</v>
      </c>
      <c r="AM456">
        <f>AJ456*AK456*AL456/7</f>
        <v>1</v>
      </c>
      <c r="AN456" t="s">
        <v>43</v>
      </c>
      <c r="AO456">
        <v>0</v>
      </c>
      <c r="AV456">
        <f>AU456+AM456</f>
        <v>1</v>
      </c>
      <c r="AX456">
        <v>0</v>
      </c>
      <c r="BE456">
        <f>AM456+AU456+BD456</f>
        <v>1</v>
      </c>
      <c r="BG456">
        <v>0</v>
      </c>
      <c r="BJ456" t="s">
        <v>49</v>
      </c>
      <c r="BK456">
        <v>5</v>
      </c>
      <c r="BL456">
        <v>1</v>
      </c>
      <c r="BM456">
        <v>1</v>
      </c>
      <c r="BN456" t="s">
        <v>37</v>
      </c>
      <c r="BO456">
        <v>4</v>
      </c>
      <c r="BP456">
        <v>55</v>
      </c>
      <c r="BQ456">
        <v>0.05</v>
      </c>
      <c r="BR456">
        <v>1</v>
      </c>
      <c r="BS456">
        <v>0.05</v>
      </c>
      <c r="BT456">
        <f>BS456+BD456+AU456+AM456</f>
        <v>1.05</v>
      </c>
      <c r="BU456">
        <v>1</v>
      </c>
      <c r="BV456">
        <v>2</v>
      </c>
      <c r="BW456">
        <v>293</v>
      </c>
      <c r="BX456">
        <f>BW456/7</f>
        <v>41.857142857142854</v>
      </c>
      <c r="BY456">
        <f>0.77*BX456</f>
        <v>32.229999999999997</v>
      </c>
      <c r="BZ456">
        <f t="shared" si="7"/>
        <v>33.279999999999994</v>
      </c>
    </row>
    <row r="457" spans="1:78">
      <c r="A457" s="1">
        <v>45209.755973831023</v>
      </c>
      <c r="C457">
        <v>456</v>
      </c>
      <c r="D457" s="10">
        <v>32359</v>
      </c>
      <c r="E457">
        <v>35</v>
      </c>
      <c r="F457">
        <v>1</v>
      </c>
      <c r="G457">
        <v>1</v>
      </c>
      <c r="H457">
        <v>5</v>
      </c>
      <c r="I457" s="10">
        <v>44524</v>
      </c>
      <c r="J457">
        <v>1</v>
      </c>
      <c r="K457">
        <v>1</v>
      </c>
      <c r="L457">
        <v>2</v>
      </c>
      <c r="M457">
        <v>4180</v>
      </c>
      <c r="N457">
        <v>3</v>
      </c>
      <c r="O457" s="10">
        <v>44241</v>
      </c>
      <c r="P457">
        <v>1</v>
      </c>
      <c r="Q457">
        <v>40.428571428571431</v>
      </c>
      <c r="R457">
        <v>2</v>
      </c>
      <c r="S457">
        <v>72</v>
      </c>
      <c r="T457">
        <v>170</v>
      </c>
      <c r="U457">
        <v>91.5</v>
      </c>
      <c r="V457">
        <v>19.5</v>
      </c>
      <c r="W457">
        <v>3</v>
      </c>
      <c r="X457">
        <v>24.913494809688583</v>
      </c>
      <c r="Y457">
        <v>31.660899653979243</v>
      </c>
      <c r="Z457">
        <v>6.74740484429066</v>
      </c>
      <c r="AA457">
        <v>2</v>
      </c>
      <c r="AB457">
        <v>4</v>
      </c>
      <c r="AC457" t="s">
        <v>33</v>
      </c>
      <c r="AD457">
        <v>3</v>
      </c>
      <c r="AE457">
        <v>0</v>
      </c>
      <c r="AG457">
        <v>5</v>
      </c>
      <c r="AH457">
        <v>0</v>
      </c>
      <c r="AI457">
        <v>0</v>
      </c>
      <c r="AN457" t="s">
        <v>41</v>
      </c>
      <c r="AO457">
        <v>0</v>
      </c>
      <c r="AW457" t="s">
        <v>58</v>
      </c>
      <c r="AX457">
        <v>1</v>
      </c>
      <c r="AY457" t="s">
        <v>58</v>
      </c>
      <c r="AZ457">
        <v>1</v>
      </c>
      <c r="BA457">
        <v>0.8</v>
      </c>
      <c r="BB457">
        <v>7</v>
      </c>
      <c r="BC457">
        <v>1</v>
      </c>
      <c r="BD457">
        <f>BA457*BB457*1/7</f>
        <v>0.8</v>
      </c>
      <c r="BE457">
        <f>AM457+AU457+BD457</f>
        <v>0.8</v>
      </c>
      <c r="BF457" t="s">
        <v>58</v>
      </c>
      <c r="BG457">
        <v>0</v>
      </c>
      <c r="BH457">
        <v>7</v>
      </c>
      <c r="BI457">
        <v>1</v>
      </c>
      <c r="BJ457" t="s">
        <v>42</v>
      </c>
      <c r="BK457">
        <v>6</v>
      </c>
      <c r="BL457">
        <v>1</v>
      </c>
      <c r="BM457">
        <v>1</v>
      </c>
      <c r="BN457" t="s">
        <v>37</v>
      </c>
      <c r="BO457">
        <v>4</v>
      </c>
      <c r="BP457">
        <v>55</v>
      </c>
      <c r="BQ457">
        <v>0.05</v>
      </c>
      <c r="BR457">
        <v>1</v>
      </c>
      <c r="BS457">
        <v>0.05</v>
      </c>
      <c r="BT457">
        <f>BS457+BD457+AU457+AM457</f>
        <v>0.85000000000000009</v>
      </c>
      <c r="BU457">
        <v>1</v>
      </c>
      <c r="BV457">
        <v>1</v>
      </c>
      <c r="BW457">
        <v>146.5</v>
      </c>
      <c r="BX457">
        <f>BW457/7</f>
        <v>20.928571428571427</v>
      </c>
      <c r="BY457">
        <f>0.77*BX457</f>
        <v>16.114999999999998</v>
      </c>
      <c r="BZ457">
        <f t="shared" si="7"/>
        <v>16.965</v>
      </c>
    </row>
    <row r="458" spans="1:78">
      <c r="A458" s="1">
        <v>45209.809021886569</v>
      </c>
      <c r="C458">
        <v>457</v>
      </c>
      <c r="D458" s="10">
        <v>34673</v>
      </c>
      <c r="E458">
        <v>28</v>
      </c>
      <c r="F458">
        <v>1</v>
      </c>
      <c r="G458">
        <v>12</v>
      </c>
      <c r="H458">
        <v>5</v>
      </c>
      <c r="I458" s="10">
        <v>45104</v>
      </c>
      <c r="J458">
        <v>1</v>
      </c>
      <c r="K458">
        <v>1</v>
      </c>
      <c r="L458">
        <v>1</v>
      </c>
      <c r="M458">
        <v>4760</v>
      </c>
      <c r="N458">
        <v>3</v>
      </c>
      <c r="O458" s="10">
        <v>44824</v>
      </c>
      <c r="P458">
        <v>0</v>
      </c>
      <c r="Q458">
        <v>40</v>
      </c>
      <c r="R458">
        <v>2</v>
      </c>
      <c r="S458">
        <v>116</v>
      </c>
      <c r="T458">
        <v>169</v>
      </c>
      <c r="U458">
        <v>122</v>
      </c>
      <c r="V458">
        <v>6</v>
      </c>
      <c r="W458">
        <v>1</v>
      </c>
      <c r="X458">
        <v>40.614824410909989</v>
      </c>
      <c r="Y458">
        <v>42.715591190784643</v>
      </c>
      <c r="Z458">
        <v>2.1007667798746539</v>
      </c>
      <c r="AA458">
        <v>4</v>
      </c>
      <c r="AB458">
        <v>4</v>
      </c>
      <c r="AC458" t="s">
        <v>44</v>
      </c>
      <c r="AD458">
        <v>1</v>
      </c>
      <c r="AE458">
        <v>1</v>
      </c>
      <c r="AF458" t="s">
        <v>337</v>
      </c>
      <c r="AG458" t="e">
        <v>#N/A</v>
      </c>
      <c r="AH458">
        <v>1</v>
      </c>
      <c r="AI458">
        <v>1</v>
      </c>
      <c r="AJ458">
        <v>1</v>
      </c>
      <c r="AK458">
        <v>7</v>
      </c>
      <c r="AL458">
        <v>1</v>
      </c>
      <c r="AM458">
        <f>AJ458*AK458*AL458/7</f>
        <v>1</v>
      </c>
      <c r="AN458" t="s">
        <v>56</v>
      </c>
      <c r="AO458">
        <v>1</v>
      </c>
      <c r="AP458">
        <v>26</v>
      </c>
      <c r="AQ458" t="s">
        <v>585</v>
      </c>
      <c r="AR458">
        <v>0.5</v>
      </c>
      <c r="AS458">
        <v>7</v>
      </c>
      <c r="AT458">
        <v>1</v>
      </c>
      <c r="AU458">
        <f>AR458*AS458*AT458/7</f>
        <v>0.5</v>
      </c>
      <c r="AV458">
        <f>AU458+AM458</f>
        <v>1.5</v>
      </c>
      <c r="AW458" t="s">
        <v>338</v>
      </c>
      <c r="AX458">
        <v>1</v>
      </c>
      <c r="AY458" t="s">
        <v>883</v>
      </c>
      <c r="AZ458">
        <v>1</v>
      </c>
      <c r="BA458">
        <v>0.8</v>
      </c>
      <c r="BB458">
        <v>7</v>
      </c>
      <c r="BC458">
        <v>1</v>
      </c>
      <c r="BD458">
        <f>BA458*BB458*1/7</f>
        <v>0.8</v>
      </c>
      <c r="BE458">
        <f>AM458+AU458+BD458</f>
        <v>2.2999999999999998</v>
      </c>
      <c r="BF458" t="s">
        <v>883</v>
      </c>
      <c r="BG458">
        <v>0</v>
      </c>
      <c r="BH458">
        <v>7</v>
      </c>
      <c r="BI458">
        <v>1</v>
      </c>
      <c r="BJ458" t="s">
        <v>28</v>
      </c>
      <c r="BK458">
        <v>3</v>
      </c>
      <c r="BL458">
        <v>3</v>
      </c>
      <c r="BM458">
        <v>1</v>
      </c>
      <c r="BN458" t="s">
        <v>37</v>
      </c>
      <c r="BO458">
        <v>4</v>
      </c>
      <c r="BP458">
        <v>55</v>
      </c>
      <c r="BQ458">
        <v>0.05</v>
      </c>
      <c r="BR458">
        <v>1</v>
      </c>
      <c r="BS458">
        <v>0.05</v>
      </c>
      <c r="BT458">
        <f>BS458+BD458+AU458+AM458</f>
        <v>2.35</v>
      </c>
      <c r="BU458">
        <v>1</v>
      </c>
      <c r="BV458">
        <v>0.5</v>
      </c>
      <c r="BW458">
        <v>73.25</v>
      </c>
      <c r="BX458">
        <f>BW458/7</f>
        <v>10.464285714285714</v>
      </c>
      <c r="BY458">
        <f>0.77*BX458</f>
        <v>8.0574999999999992</v>
      </c>
      <c r="BZ458">
        <f t="shared" si="7"/>
        <v>10.407499999999999</v>
      </c>
    </row>
    <row r="459" spans="1:78">
      <c r="A459" s="1">
        <v>45209.817248310181</v>
      </c>
      <c r="C459">
        <v>458</v>
      </c>
      <c r="D459" s="10">
        <v>32674</v>
      </c>
      <c r="E459">
        <v>34</v>
      </c>
      <c r="F459">
        <v>1</v>
      </c>
      <c r="G459">
        <v>10</v>
      </c>
      <c r="H459">
        <v>4</v>
      </c>
      <c r="I459" s="10">
        <v>44910</v>
      </c>
      <c r="J459">
        <v>1</v>
      </c>
      <c r="K459">
        <v>1</v>
      </c>
      <c r="L459">
        <v>1</v>
      </c>
      <c r="M459">
        <v>3115</v>
      </c>
      <c r="N459">
        <v>2</v>
      </c>
      <c r="O459" s="10">
        <v>44637</v>
      </c>
      <c r="P459">
        <v>0</v>
      </c>
      <c r="Q459">
        <v>39</v>
      </c>
      <c r="R459">
        <v>2</v>
      </c>
      <c r="S459">
        <v>74</v>
      </c>
      <c r="T459">
        <v>158</v>
      </c>
      <c r="U459">
        <v>84.5</v>
      </c>
      <c r="V459">
        <v>10.5</v>
      </c>
      <c r="W459">
        <v>2</v>
      </c>
      <c r="X459">
        <v>29.642685467072578</v>
      </c>
      <c r="Y459">
        <v>33.8487421887518</v>
      </c>
      <c r="Z459">
        <v>4.2060567216792215</v>
      </c>
      <c r="AA459">
        <v>3</v>
      </c>
      <c r="AB459">
        <v>4</v>
      </c>
      <c r="AC459" t="s">
        <v>33</v>
      </c>
      <c r="AD459">
        <v>3</v>
      </c>
      <c r="AE459">
        <v>0</v>
      </c>
      <c r="AG459">
        <v>5</v>
      </c>
      <c r="AH459">
        <v>1</v>
      </c>
      <c r="AI459">
        <v>4</v>
      </c>
      <c r="AJ459">
        <v>1</v>
      </c>
      <c r="AK459">
        <v>4</v>
      </c>
      <c r="AL459">
        <v>1</v>
      </c>
      <c r="AM459">
        <f>AJ459*AK459*AL459/7</f>
        <v>0.5714285714285714</v>
      </c>
      <c r="AN459" t="s">
        <v>43</v>
      </c>
      <c r="AO459">
        <v>0</v>
      </c>
      <c r="AV459">
        <f>AU459+AM459</f>
        <v>0.5714285714285714</v>
      </c>
      <c r="AX459">
        <v>0</v>
      </c>
      <c r="BE459">
        <f>AM459+AU459+BD459</f>
        <v>0.5714285714285714</v>
      </c>
      <c r="BG459">
        <v>0</v>
      </c>
      <c r="BJ459" t="s">
        <v>49</v>
      </c>
      <c r="BK459">
        <v>5</v>
      </c>
      <c r="BL459">
        <v>1</v>
      </c>
      <c r="BM459">
        <v>1</v>
      </c>
      <c r="BN459" t="s">
        <v>30</v>
      </c>
      <c r="BO459">
        <v>1</v>
      </c>
      <c r="BP459">
        <v>168</v>
      </c>
      <c r="BQ459">
        <v>0.13</v>
      </c>
      <c r="BR459">
        <v>2</v>
      </c>
      <c r="BS459">
        <v>0.26</v>
      </c>
      <c r="BT459">
        <f>BS459+BD459+AU459+AM459</f>
        <v>0.83142857142857141</v>
      </c>
      <c r="BU459">
        <v>1</v>
      </c>
      <c r="BV459">
        <v>2</v>
      </c>
      <c r="BW459">
        <v>293</v>
      </c>
      <c r="BX459">
        <f>BW459/7</f>
        <v>41.857142857142854</v>
      </c>
      <c r="BY459">
        <f>0.77*BX459</f>
        <v>32.229999999999997</v>
      </c>
      <c r="BZ459">
        <f t="shared" si="7"/>
        <v>33.061428571428571</v>
      </c>
    </row>
    <row r="460" spans="1:78">
      <c r="A460" s="1">
        <v>45209.820961412042</v>
      </c>
      <c r="B460" s="9" t="s">
        <v>866</v>
      </c>
      <c r="C460">
        <v>459</v>
      </c>
      <c r="D460" s="10">
        <v>35145</v>
      </c>
      <c r="E460">
        <v>27</v>
      </c>
      <c r="F460">
        <v>1</v>
      </c>
      <c r="G460">
        <v>1</v>
      </c>
      <c r="H460">
        <v>3</v>
      </c>
      <c r="I460" s="10">
        <v>44526</v>
      </c>
      <c r="J460">
        <v>1</v>
      </c>
      <c r="K460">
        <v>1</v>
      </c>
      <c r="L460">
        <v>1</v>
      </c>
      <c r="M460">
        <v>3220</v>
      </c>
      <c r="N460">
        <v>2</v>
      </c>
      <c r="O460" s="10">
        <v>44246</v>
      </c>
      <c r="P460">
        <v>1</v>
      </c>
      <c r="Q460">
        <v>40</v>
      </c>
      <c r="R460">
        <v>2</v>
      </c>
      <c r="S460">
        <v>68</v>
      </c>
      <c r="T460">
        <v>153</v>
      </c>
      <c r="U460">
        <v>70</v>
      </c>
      <c r="V460">
        <v>2</v>
      </c>
      <c r="W460">
        <v>1</v>
      </c>
      <c r="X460">
        <v>29.048656499636891</v>
      </c>
      <c r="Y460">
        <v>29.903028749626213</v>
      </c>
      <c r="Z460">
        <v>0.85437224998932138</v>
      </c>
      <c r="AA460">
        <v>3</v>
      </c>
      <c r="AB460">
        <v>3</v>
      </c>
      <c r="AC460" t="s">
        <v>44</v>
      </c>
      <c r="AD460">
        <v>1</v>
      </c>
      <c r="AE460">
        <v>0</v>
      </c>
      <c r="AG460">
        <v>5</v>
      </c>
      <c r="AH460">
        <v>1</v>
      </c>
      <c r="AI460" t="s">
        <v>258</v>
      </c>
      <c r="AJ460" t="s">
        <v>258</v>
      </c>
      <c r="AK460">
        <v>7</v>
      </c>
      <c r="AL460">
        <v>1</v>
      </c>
      <c r="AM460" t="s">
        <v>258</v>
      </c>
      <c r="AN460" t="s">
        <v>95</v>
      </c>
      <c r="AO460">
        <v>0</v>
      </c>
      <c r="AW460" t="s">
        <v>777</v>
      </c>
      <c r="AX460">
        <v>0</v>
      </c>
      <c r="BE460" t="s">
        <v>258</v>
      </c>
      <c r="BF460" t="s">
        <v>777</v>
      </c>
      <c r="BG460">
        <v>1</v>
      </c>
      <c r="BH460">
        <v>7</v>
      </c>
      <c r="BI460">
        <v>1</v>
      </c>
      <c r="BJ460" t="s">
        <v>42</v>
      </c>
      <c r="BK460">
        <v>6</v>
      </c>
      <c r="BL460">
        <v>1</v>
      </c>
      <c r="BM460">
        <v>1</v>
      </c>
      <c r="BN460" t="s">
        <v>37</v>
      </c>
      <c r="BO460">
        <v>4</v>
      </c>
      <c r="BP460">
        <v>55</v>
      </c>
      <c r="BQ460">
        <v>0.05</v>
      </c>
      <c r="BR460">
        <v>1</v>
      </c>
      <c r="BS460">
        <v>0.05</v>
      </c>
      <c r="BT460" t="e">
        <f>BS460+BD460+AU460+AM460</f>
        <v>#VALUE!</v>
      </c>
      <c r="BU460">
        <v>1</v>
      </c>
      <c r="BV460">
        <v>1</v>
      </c>
      <c r="BW460">
        <v>146.5</v>
      </c>
      <c r="BX460">
        <f>BW460/7</f>
        <v>20.928571428571427</v>
      </c>
      <c r="BY460">
        <f>0.77*BX460</f>
        <v>16.114999999999998</v>
      </c>
      <c r="BZ460" t="e">
        <f t="shared" si="7"/>
        <v>#VALUE!</v>
      </c>
    </row>
    <row r="461" spans="1:78">
      <c r="A461" s="1">
        <v>45209.84704015046</v>
      </c>
      <c r="C461">
        <v>460</v>
      </c>
      <c r="D461" s="10">
        <v>30804</v>
      </c>
      <c r="E461">
        <v>39</v>
      </c>
      <c r="F461">
        <v>1</v>
      </c>
      <c r="G461">
        <v>3</v>
      </c>
      <c r="H461">
        <v>4</v>
      </c>
      <c r="I461" s="10">
        <v>43214</v>
      </c>
      <c r="J461">
        <v>1</v>
      </c>
      <c r="K461">
        <v>1</v>
      </c>
      <c r="L461">
        <v>2</v>
      </c>
      <c r="M461">
        <v>3310</v>
      </c>
      <c r="N461">
        <v>2</v>
      </c>
      <c r="O461" s="10">
        <v>42948</v>
      </c>
      <c r="P461">
        <v>0</v>
      </c>
      <c r="Q461">
        <v>38</v>
      </c>
      <c r="R461">
        <v>2</v>
      </c>
      <c r="S461">
        <v>73</v>
      </c>
      <c r="T461">
        <v>165</v>
      </c>
      <c r="U461">
        <v>77</v>
      </c>
      <c r="V461">
        <v>4</v>
      </c>
      <c r="W461">
        <v>1</v>
      </c>
      <c r="X461">
        <v>26.813590449954088</v>
      </c>
      <c r="Y461">
        <v>28.282828282828287</v>
      </c>
      <c r="Z461">
        <v>1.4692378328741995</v>
      </c>
      <c r="AA461">
        <v>3</v>
      </c>
      <c r="AB461">
        <v>3</v>
      </c>
      <c r="AC461" t="s">
        <v>123</v>
      </c>
      <c r="AD461">
        <v>2</v>
      </c>
      <c r="AE461">
        <v>0</v>
      </c>
      <c r="AG461">
        <v>5</v>
      </c>
      <c r="AH461">
        <v>1</v>
      </c>
      <c r="AI461">
        <v>13</v>
      </c>
      <c r="AJ461">
        <v>1</v>
      </c>
      <c r="AK461">
        <v>7</v>
      </c>
      <c r="AL461">
        <v>1</v>
      </c>
      <c r="AM461">
        <f>AJ461*AK461*AL461/7</f>
        <v>1</v>
      </c>
      <c r="AN461" t="s">
        <v>79</v>
      </c>
      <c r="AO461">
        <v>0</v>
      </c>
      <c r="AV461">
        <f>AU461+AM461</f>
        <v>1</v>
      </c>
      <c r="AW461" t="s">
        <v>128</v>
      </c>
      <c r="AX461">
        <v>1</v>
      </c>
      <c r="AY461" t="s">
        <v>128</v>
      </c>
      <c r="AZ461">
        <v>4</v>
      </c>
      <c r="BA461">
        <v>0.2</v>
      </c>
      <c r="BB461">
        <v>7</v>
      </c>
      <c r="BC461">
        <v>1</v>
      </c>
      <c r="BD461">
        <f>BA461*BB461*1/7</f>
        <v>0.2</v>
      </c>
      <c r="BE461">
        <f>AM461+AU461+BD461</f>
        <v>1.2</v>
      </c>
      <c r="BF461" t="s">
        <v>128</v>
      </c>
      <c r="BG461">
        <v>0</v>
      </c>
      <c r="BH461">
        <v>7</v>
      </c>
      <c r="BI461">
        <v>1</v>
      </c>
      <c r="BJ461" t="s">
        <v>28</v>
      </c>
      <c r="BK461">
        <v>3</v>
      </c>
      <c r="BL461">
        <v>3</v>
      </c>
      <c r="BM461">
        <v>1</v>
      </c>
      <c r="BN461" t="s">
        <v>30</v>
      </c>
      <c r="BO461">
        <v>1</v>
      </c>
      <c r="BP461">
        <v>168</v>
      </c>
      <c r="BQ461">
        <v>0.13</v>
      </c>
      <c r="BR461">
        <v>2</v>
      </c>
      <c r="BS461">
        <v>0.26</v>
      </c>
      <c r="BT461">
        <f>BS461+BD461+AU461+AM461</f>
        <v>1.46</v>
      </c>
      <c r="BU461">
        <v>1</v>
      </c>
      <c r="BV461">
        <v>2</v>
      </c>
      <c r="BW461">
        <v>293</v>
      </c>
      <c r="BX461">
        <f>BW461/7</f>
        <v>41.857142857142854</v>
      </c>
      <c r="BY461">
        <f>0.77*BX461</f>
        <v>32.229999999999997</v>
      </c>
      <c r="BZ461">
        <f t="shared" si="7"/>
        <v>33.69</v>
      </c>
    </row>
    <row r="462" spans="1:78">
      <c r="A462" s="1">
        <v>45209.86822462963</v>
      </c>
      <c r="B462" s="8" t="s">
        <v>864</v>
      </c>
      <c r="C462">
        <v>461</v>
      </c>
      <c r="D462" s="10">
        <v>30306</v>
      </c>
      <c r="E462">
        <v>40</v>
      </c>
      <c r="F462">
        <v>1</v>
      </c>
      <c r="G462">
        <v>1</v>
      </c>
      <c r="H462">
        <v>5</v>
      </c>
      <c r="I462" s="10">
        <v>30305</v>
      </c>
      <c r="J462">
        <v>1</v>
      </c>
      <c r="K462">
        <v>1</v>
      </c>
      <c r="L462">
        <v>1</v>
      </c>
      <c r="M462">
        <v>3550</v>
      </c>
      <c r="N462">
        <v>2</v>
      </c>
      <c r="O462" s="10">
        <v>30039</v>
      </c>
      <c r="P462">
        <v>0</v>
      </c>
      <c r="Q462">
        <v>38</v>
      </c>
      <c r="R462">
        <v>2</v>
      </c>
      <c r="S462">
        <v>90</v>
      </c>
      <c r="T462">
        <v>167</v>
      </c>
      <c r="U462">
        <v>70</v>
      </c>
      <c r="V462">
        <v>-20</v>
      </c>
      <c r="W462">
        <v>1</v>
      </c>
      <c r="X462">
        <v>32.270787765785798</v>
      </c>
      <c r="Y462">
        <v>25.099501595611173</v>
      </c>
      <c r="Z462">
        <v>-7.1712861701746249</v>
      </c>
      <c r="AA462">
        <v>4</v>
      </c>
      <c r="AB462">
        <v>3</v>
      </c>
      <c r="AC462" t="s">
        <v>33</v>
      </c>
      <c r="AD462">
        <v>3</v>
      </c>
      <c r="AE462">
        <v>1</v>
      </c>
      <c r="AF462" t="s">
        <v>778</v>
      </c>
      <c r="AG462" t="e">
        <v>#N/A</v>
      </c>
      <c r="AH462">
        <v>1</v>
      </c>
      <c r="AI462">
        <v>4</v>
      </c>
      <c r="AJ462">
        <v>1</v>
      </c>
      <c r="AK462">
        <v>7</v>
      </c>
      <c r="AL462">
        <v>1</v>
      </c>
      <c r="AM462">
        <f>AJ462*AK462*AL462/7</f>
        <v>1</v>
      </c>
      <c r="AN462" t="s">
        <v>43</v>
      </c>
      <c r="AO462">
        <v>0</v>
      </c>
      <c r="AV462">
        <f>AU462+AM462</f>
        <v>1</v>
      </c>
      <c r="AX462">
        <v>0</v>
      </c>
      <c r="BE462">
        <f>AM462+AU462+BD462</f>
        <v>1</v>
      </c>
      <c r="BG462">
        <v>0</v>
      </c>
      <c r="BI462">
        <v>1</v>
      </c>
      <c r="BJ462" t="s">
        <v>42</v>
      </c>
      <c r="BK462">
        <v>6</v>
      </c>
      <c r="BL462">
        <v>1</v>
      </c>
      <c r="BM462">
        <v>1</v>
      </c>
      <c r="BN462" t="s">
        <v>59</v>
      </c>
      <c r="BO462">
        <v>3</v>
      </c>
      <c r="BP462">
        <v>112</v>
      </c>
      <c r="BQ462">
        <v>0.08</v>
      </c>
      <c r="BR462">
        <v>2</v>
      </c>
      <c r="BS462">
        <v>0.16</v>
      </c>
      <c r="BT462">
        <f>BS462+BD462+AU462+AM462</f>
        <v>1.1599999999999999</v>
      </c>
      <c r="BU462">
        <v>1</v>
      </c>
      <c r="BV462">
        <v>3</v>
      </c>
      <c r="BW462">
        <v>439.5</v>
      </c>
      <c r="BX462">
        <f>BW462/7</f>
        <v>62.785714285714285</v>
      </c>
      <c r="BY462">
        <f>0.77*BX462</f>
        <v>48.344999999999999</v>
      </c>
      <c r="BZ462">
        <f t="shared" si="7"/>
        <v>49.504999999999995</v>
      </c>
    </row>
    <row r="463" spans="1:78">
      <c r="A463" s="1">
        <v>45209.869407453705</v>
      </c>
      <c r="C463">
        <v>462</v>
      </c>
      <c r="D463" s="10">
        <v>37183</v>
      </c>
      <c r="E463">
        <v>21</v>
      </c>
      <c r="F463">
        <v>2</v>
      </c>
      <c r="G463">
        <v>4</v>
      </c>
      <c r="H463">
        <v>3</v>
      </c>
      <c r="I463" s="10">
        <v>44769</v>
      </c>
      <c r="J463">
        <v>1</v>
      </c>
      <c r="K463">
        <v>1</v>
      </c>
      <c r="L463">
        <v>2</v>
      </c>
      <c r="M463">
        <v>3520</v>
      </c>
      <c r="N463">
        <v>2</v>
      </c>
      <c r="O463" s="10">
        <v>44496</v>
      </c>
      <c r="P463">
        <v>0</v>
      </c>
      <c r="Q463">
        <v>39</v>
      </c>
      <c r="R463">
        <v>2</v>
      </c>
      <c r="S463">
        <v>56.1</v>
      </c>
      <c r="T463">
        <v>161</v>
      </c>
      <c r="U463">
        <v>63.4</v>
      </c>
      <c r="V463">
        <v>7.2999999999999972</v>
      </c>
      <c r="W463">
        <v>1</v>
      </c>
      <c r="X463">
        <v>21.64268353844373</v>
      </c>
      <c r="Y463">
        <v>24.458932911538902</v>
      </c>
      <c r="Z463">
        <v>2.8162493730951716</v>
      </c>
      <c r="AA463">
        <v>2</v>
      </c>
      <c r="AB463">
        <v>2</v>
      </c>
      <c r="AC463" t="s">
        <v>33</v>
      </c>
      <c r="AD463">
        <v>3</v>
      </c>
      <c r="AE463">
        <v>0</v>
      </c>
      <c r="AG463">
        <v>5</v>
      </c>
      <c r="AH463">
        <v>1</v>
      </c>
      <c r="AI463">
        <v>5</v>
      </c>
      <c r="AJ463">
        <v>5</v>
      </c>
      <c r="AK463">
        <v>7</v>
      </c>
      <c r="AL463">
        <v>1</v>
      </c>
      <c r="AM463">
        <f>AJ463*AK463*AL463/7</f>
        <v>5</v>
      </c>
      <c r="AN463" t="s">
        <v>27</v>
      </c>
      <c r="AO463">
        <v>0</v>
      </c>
      <c r="AV463">
        <f>AU463+AM463</f>
        <v>5</v>
      </c>
      <c r="AW463" t="s">
        <v>186</v>
      </c>
      <c r="AX463">
        <v>1</v>
      </c>
      <c r="AY463" t="s">
        <v>186</v>
      </c>
      <c r="AZ463">
        <v>5</v>
      </c>
      <c r="BA463">
        <v>0.4</v>
      </c>
      <c r="BB463">
        <v>7</v>
      </c>
      <c r="BC463">
        <v>1</v>
      </c>
      <c r="BD463">
        <f>BA463*BB463*1/7</f>
        <v>0.4</v>
      </c>
      <c r="BE463">
        <f>AM463+AU463+BD463</f>
        <v>5.4</v>
      </c>
      <c r="BF463" t="s">
        <v>186</v>
      </c>
      <c r="BG463">
        <v>0</v>
      </c>
      <c r="BH463">
        <v>7</v>
      </c>
      <c r="BI463">
        <v>1</v>
      </c>
      <c r="BJ463" t="s">
        <v>42</v>
      </c>
      <c r="BK463">
        <v>6</v>
      </c>
      <c r="BL463">
        <v>1</v>
      </c>
      <c r="BM463">
        <v>1</v>
      </c>
      <c r="BN463" t="s">
        <v>55</v>
      </c>
      <c r="BO463">
        <v>2</v>
      </c>
      <c r="BP463">
        <v>67</v>
      </c>
      <c r="BQ463">
        <v>0.1</v>
      </c>
      <c r="BR463">
        <v>1</v>
      </c>
      <c r="BS463">
        <v>0.1</v>
      </c>
      <c r="BT463">
        <f>BS463+BD463+AU463+AM463</f>
        <v>5.5</v>
      </c>
      <c r="BU463">
        <v>1</v>
      </c>
      <c r="BV463">
        <v>2</v>
      </c>
      <c r="BW463">
        <v>293</v>
      </c>
      <c r="BX463">
        <f>BW463/7</f>
        <v>41.857142857142854</v>
      </c>
      <c r="BY463">
        <f>0.77*BX463</f>
        <v>32.229999999999997</v>
      </c>
      <c r="BZ463">
        <f t="shared" si="7"/>
        <v>37.729999999999997</v>
      </c>
    </row>
    <row r="464" spans="1:78">
      <c r="A464" s="1">
        <v>45209.896531458333</v>
      </c>
      <c r="C464">
        <v>463</v>
      </c>
      <c r="D464" s="10">
        <v>32101</v>
      </c>
      <c r="E464">
        <v>35</v>
      </c>
      <c r="F464">
        <v>1</v>
      </c>
      <c r="G464">
        <v>1</v>
      </c>
      <c r="H464">
        <v>4</v>
      </c>
      <c r="I464" s="10">
        <v>44533</v>
      </c>
      <c r="J464">
        <v>2</v>
      </c>
      <c r="K464">
        <v>0</v>
      </c>
      <c r="L464">
        <v>2</v>
      </c>
      <c r="M464">
        <v>3300</v>
      </c>
      <c r="N464">
        <v>2</v>
      </c>
      <c r="O464" s="10">
        <v>44260</v>
      </c>
      <c r="P464">
        <v>1</v>
      </c>
      <c r="Q464">
        <v>39</v>
      </c>
      <c r="R464">
        <v>2</v>
      </c>
      <c r="S464">
        <v>65</v>
      </c>
      <c r="T464">
        <v>172</v>
      </c>
      <c r="U464">
        <v>83</v>
      </c>
      <c r="V464">
        <v>18</v>
      </c>
      <c r="W464">
        <v>3</v>
      </c>
      <c r="X464">
        <v>21.971335857220122</v>
      </c>
      <c r="Y464">
        <v>28.055705786911847</v>
      </c>
      <c r="Z464">
        <v>6.0843699296917251</v>
      </c>
      <c r="AA464">
        <v>2</v>
      </c>
      <c r="AB464">
        <v>3</v>
      </c>
      <c r="AC464" t="s">
        <v>33</v>
      </c>
      <c r="AD464">
        <v>3</v>
      </c>
      <c r="AE464">
        <v>0</v>
      </c>
      <c r="AG464">
        <v>5</v>
      </c>
      <c r="AH464">
        <v>0</v>
      </c>
      <c r="AI464">
        <v>0</v>
      </c>
      <c r="AN464" t="s">
        <v>41</v>
      </c>
      <c r="AO464">
        <v>0</v>
      </c>
      <c r="AW464" t="s">
        <v>341</v>
      </c>
      <c r="AX464">
        <v>1</v>
      </c>
      <c r="AY464" t="s">
        <v>882</v>
      </c>
      <c r="AZ464">
        <v>1</v>
      </c>
      <c r="BA464">
        <v>0.8</v>
      </c>
      <c r="BB464">
        <v>7</v>
      </c>
      <c r="BC464">
        <v>1</v>
      </c>
      <c r="BD464">
        <f>BA464*BB464*1/7</f>
        <v>0.8</v>
      </c>
      <c r="BE464">
        <f>AM464+AU464+BD464</f>
        <v>0.8</v>
      </c>
      <c r="BF464" t="s">
        <v>895</v>
      </c>
      <c r="BG464">
        <v>1</v>
      </c>
      <c r="BH464">
        <v>7</v>
      </c>
      <c r="BI464">
        <v>1</v>
      </c>
      <c r="BJ464" t="s">
        <v>42</v>
      </c>
      <c r="BK464">
        <v>6</v>
      </c>
      <c r="BL464">
        <v>1</v>
      </c>
      <c r="BM464">
        <v>1</v>
      </c>
      <c r="BN464" t="s">
        <v>30</v>
      </c>
      <c r="BO464">
        <v>1</v>
      </c>
      <c r="BP464">
        <v>84</v>
      </c>
      <c r="BQ464">
        <v>0.13</v>
      </c>
      <c r="BR464">
        <v>1</v>
      </c>
      <c r="BS464">
        <v>0.13</v>
      </c>
      <c r="BT464">
        <f>BS464+BD464+AU464+AM464</f>
        <v>0.93</v>
      </c>
      <c r="BU464">
        <v>1</v>
      </c>
      <c r="BV464">
        <v>1</v>
      </c>
      <c r="BW464">
        <v>146.5</v>
      </c>
      <c r="BX464">
        <f>BW464/7</f>
        <v>20.928571428571427</v>
      </c>
      <c r="BY464">
        <f>0.77*BX464</f>
        <v>16.114999999999998</v>
      </c>
      <c r="BZ464">
        <f t="shared" si="7"/>
        <v>17.044999999999998</v>
      </c>
    </row>
    <row r="465" spans="1:78">
      <c r="A465" s="1">
        <v>45209.899520115738</v>
      </c>
      <c r="C465">
        <v>464</v>
      </c>
      <c r="D465" s="10">
        <v>33809</v>
      </c>
      <c r="E465">
        <v>31</v>
      </c>
      <c r="F465">
        <v>1</v>
      </c>
      <c r="G465">
        <v>1</v>
      </c>
      <c r="H465">
        <v>5</v>
      </c>
      <c r="I465" s="10">
        <v>44797</v>
      </c>
      <c r="J465">
        <v>1</v>
      </c>
      <c r="K465">
        <v>1</v>
      </c>
      <c r="L465">
        <v>1</v>
      </c>
      <c r="M465">
        <v>3475</v>
      </c>
      <c r="N465">
        <v>2</v>
      </c>
      <c r="O465" s="10">
        <v>44524</v>
      </c>
      <c r="P465">
        <v>0</v>
      </c>
      <c r="Q465">
        <v>39</v>
      </c>
      <c r="R465">
        <v>2</v>
      </c>
      <c r="S465">
        <v>70</v>
      </c>
      <c r="T465">
        <v>162</v>
      </c>
      <c r="U465">
        <v>89</v>
      </c>
      <c r="V465">
        <v>19</v>
      </c>
      <c r="W465">
        <v>3</v>
      </c>
      <c r="X465">
        <v>26.672763298277697</v>
      </c>
      <c r="Y465">
        <v>33.912513336381643</v>
      </c>
      <c r="Z465">
        <v>7.2397500381039457</v>
      </c>
      <c r="AA465">
        <v>3</v>
      </c>
      <c r="AB465">
        <v>4</v>
      </c>
      <c r="AC465" t="s">
        <v>33</v>
      </c>
      <c r="AD465">
        <v>3</v>
      </c>
      <c r="AE465">
        <v>0</v>
      </c>
      <c r="AG465">
        <v>5</v>
      </c>
      <c r="AH465">
        <v>0</v>
      </c>
      <c r="AI465">
        <v>0</v>
      </c>
      <c r="AN465" t="s">
        <v>41</v>
      </c>
      <c r="AO465">
        <v>0</v>
      </c>
      <c r="AW465" t="s">
        <v>58</v>
      </c>
      <c r="AX465">
        <v>1</v>
      </c>
      <c r="AY465" t="s">
        <v>58</v>
      </c>
      <c r="AZ465">
        <v>1</v>
      </c>
      <c r="BA465">
        <v>0.8</v>
      </c>
      <c r="BB465">
        <v>7</v>
      </c>
      <c r="BC465">
        <v>1</v>
      </c>
      <c r="BD465">
        <f>BA465*BB465*1/7</f>
        <v>0.8</v>
      </c>
      <c r="BE465">
        <f>AM465+AU465+BD465</f>
        <v>0.8</v>
      </c>
      <c r="BF465" t="s">
        <v>58</v>
      </c>
      <c r="BG465">
        <v>0</v>
      </c>
      <c r="BH465">
        <v>7</v>
      </c>
      <c r="BI465">
        <v>1</v>
      </c>
      <c r="BJ465" t="s">
        <v>228</v>
      </c>
      <c r="BK465">
        <v>4</v>
      </c>
      <c r="BL465">
        <v>3</v>
      </c>
      <c r="BM465">
        <v>1</v>
      </c>
      <c r="BN465" t="s">
        <v>55</v>
      </c>
      <c r="BO465">
        <v>2</v>
      </c>
      <c r="BP465">
        <v>67</v>
      </c>
      <c r="BQ465">
        <v>0.1</v>
      </c>
      <c r="BR465">
        <v>1</v>
      </c>
      <c r="BS465">
        <v>0.1</v>
      </c>
      <c r="BT465">
        <f>BS465+BD465+AU465+AM465</f>
        <v>0.9</v>
      </c>
      <c r="BU465">
        <v>1</v>
      </c>
      <c r="BV465">
        <v>4</v>
      </c>
      <c r="BW465">
        <v>586</v>
      </c>
      <c r="BX465">
        <f>BW465/7</f>
        <v>83.714285714285708</v>
      </c>
      <c r="BY465">
        <f>0.77*BX465</f>
        <v>64.459999999999994</v>
      </c>
      <c r="BZ465">
        <f t="shared" si="7"/>
        <v>65.36</v>
      </c>
    </row>
    <row r="466" spans="1:78">
      <c r="A466" s="1">
        <v>45209.904086932875</v>
      </c>
      <c r="C466">
        <v>465</v>
      </c>
      <c r="D466" s="10">
        <v>32482</v>
      </c>
      <c r="E466">
        <v>34</v>
      </c>
      <c r="F466">
        <v>1</v>
      </c>
      <c r="G466">
        <v>2</v>
      </c>
      <c r="H466">
        <v>4</v>
      </c>
      <c r="I466" s="10">
        <v>45099</v>
      </c>
      <c r="J466">
        <v>1</v>
      </c>
      <c r="K466">
        <v>1</v>
      </c>
      <c r="L466">
        <v>2</v>
      </c>
      <c r="M466">
        <v>3305</v>
      </c>
      <c r="N466">
        <v>2</v>
      </c>
      <c r="O466" s="10">
        <v>44826</v>
      </c>
      <c r="P466">
        <v>0</v>
      </c>
      <c r="Q466">
        <v>39</v>
      </c>
      <c r="R466">
        <v>2</v>
      </c>
      <c r="S466">
        <v>85</v>
      </c>
      <c r="T466">
        <v>167</v>
      </c>
      <c r="U466">
        <v>89</v>
      </c>
      <c r="V466">
        <v>4</v>
      </c>
      <c r="W466">
        <v>1</v>
      </c>
      <c r="X466">
        <v>30.477966223242138</v>
      </c>
      <c r="Y466">
        <v>31.912223457277065</v>
      </c>
      <c r="Z466">
        <v>1.4342572340349271</v>
      </c>
      <c r="AA466">
        <v>4</v>
      </c>
      <c r="AB466">
        <v>4</v>
      </c>
      <c r="AC466" t="s">
        <v>25</v>
      </c>
      <c r="AD466">
        <v>1</v>
      </c>
      <c r="AE466">
        <v>0</v>
      </c>
      <c r="AG466">
        <v>5</v>
      </c>
      <c r="AH466">
        <v>1</v>
      </c>
      <c r="AI466">
        <v>2</v>
      </c>
      <c r="AJ466">
        <v>5</v>
      </c>
      <c r="AK466">
        <v>7</v>
      </c>
      <c r="AL466">
        <v>1</v>
      </c>
      <c r="AM466">
        <f>AJ466*AK466*AL466/7</f>
        <v>5</v>
      </c>
      <c r="AN466" t="s">
        <v>57</v>
      </c>
      <c r="AO466">
        <v>1</v>
      </c>
      <c r="AP466">
        <v>24</v>
      </c>
      <c r="AQ466" t="s">
        <v>192</v>
      </c>
      <c r="AR466">
        <v>0.5</v>
      </c>
      <c r="AS466">
        <v>7</v>
      </c>
      <c r="AT466">
        <v>1</v>
      </c>
      <c r="AU466">
        <f>AR466*AS466*AT466/7</f>
        <v>0.5</v>
      </c>
      <c r="AV466">
        <f>AU466+AM466</f>
        <v>5.5</v>
      </c>
      <c r="AW466" t="s">
        <v>342</v>
      </c>
      <c r="AX466">
        <v>0</v>
      </c>
      <c r="BE466">
        <f>AM466+AU466+BD466</f>
        <v>5.5</v>
      </c>
      <c r="BG466">
        <v>0</v>
      </c>
      <c r="BJ466" t="s">
        <v>42</v>
      </c>
      <c r="BK466">
        <v>6</v>
      </c>
      <c r="BL466">
        <v>1</v>
      </c>
      <c r="BM466">
        <v>1</v>
      </c>
      <c r="BN466" t="s">
        <v>343</v>
      </c>
      <c r="BO466">
        <v>6</v>
      </c>
      <c r="BP466">
        <v>48</v>
      </c>
      <c r="BQ466">
        <v>0.04</v>
      </c>
      <c r="BR466">
        <v>1</v>
      </c>
      <c r="BS466">
        <v>0.04</v>
      </c>
      <c r="BT466">
        <f>BS466+BD466+AU466+AM466</f>
        <v>5.54</v>
      </c>
      <c r="BU466">
        <v>1</v>
      </c>
      <c r="BV466">
        <v>0.5</v>
      </c>
      <c r="BW466">
        <v>73.25</v>
      </c>
      <c r="BX466">
        <f>BW466/7</f>
        <v>10.464285714285714</v>
      </c>
      <c r="BY466">
        <f>0.77*BX466</f>
        <v>8.0574999999999992</v>
      </c>
      <c r="BZ466">
        <f t="shared" si="7"/>
        <v>13.5975</v>
      </c>
    </row>
    <row r="467" spans="1:78">
      <c r="A467" s="1">
        <v>45209.906778564815</v>
      </c>
      <c r="C467">
        <v>466</v>
      </c>
      <c r="D467" s="10">
        <v>33303</v>
      </c>
      <c r="E467">
        <v>32</v>
      </c>
      <c r="F467">
        <v>1</v>
      </c>
      <c r="G467">
        <v>1</v>
      </c>
      <c r="H467">
        <v>4</v>
      </c>
      <c r="I467" s="10">
        <v>44706</v>
      </c>
      <c r="J467">
        <v>1</v>
      </c>
      <c r="K467">
        <v>1</v>
      </c>
      <c r="L467">
        <v>2</v>
      </c>
      <c r="M467">
        <v>2905</v>
      </c>
      <c r="N467">
        <v>2</v>
      </c>
      <c r="O467" s="10">
        <v>44433</v>
      </c>
      <c r="P467">
        <v>1</v>
      </c>
      <c r="Q467">
        <v>39</v>
      </c>
      <c r="R467">
        <v>2</v>
      </c>
      <c r="S467">
        <v>76</v>
      </c>
      <c r="T467">
        <v>160</v>
      </c>
      <c r="U467">
        <v>94</v>
      </c>
      <c r="V467">
        <v>18</v>
      </c>
      <c r="W467">
        <v>3</v>
      </c>
      <c r="X467">
        <v>29.687499999999993</v>
      </c>
      <c r="Y467">
        <v>36.718749999999993</v>
      </c>
      <c r="Z467">
        <v>7.03125</v>
      </c>
      <c r="AA467">
        <v>3</v>
      </c>
      <c r="AB467">
        <v>4</v>
      </c>
      <c r="AC467" t="s">
        <v>50</v>
      </c>
      <c r="AD467">
        <v>2</v>
      </c>
      <c r="AE467">
        <v>0</v>
      </c>
      <c r="AG467">
        <v>5</v>
      </c>
      <c r="AH467">
        <v>1</v>
      </c>
      <c r="AI467">
        <v>1</v>
      </c>
      <c r="AJ467">
        <v>1</v>
      </c>
      <c r="AK467">
        <v>7</v>
      </c>
      <c r="AL467">
        <v>1</v>
      </c>
      <c r="AM467">
        <f>AJ467*AK467*AL467/7</f>
        <v>1</v>
      </c>
      <c r="AN467" t="s">
        <v>56</v>
      </c>
      <c r="AO467">
        <v>0</v>
      </c>
      <c r="AV467">
        <f>AU467+AM467</f>
        <v>1</v>
      </c>
      <c r="AX467">
        <v>0</v>
      </c>
      <c r="BE467">
        <f>AM467+AU467+BD467</f>
        <v>1</v>
      </c>
      <c r="BG467">
        <v>0</v>
      </c>
      <c r="BJ467" t="s">
        <v>28</v>
      </c>
      <c r="BK467">
        <v>3</v>
      </c>
      <c r="BL467">
        <v>1</v>
      </c>
      <c r="BM467">
        <v>1</v>
      </c>
      <c r="BN467" t="s">
        <v>55</v>
      </c>
      <c r="BO467">
        <v>2</v>
      </c>
      <c r="BP467">
        <v>134</v>
      </c>
      <c r="BQ467">
        <v>0.1</v>
      </c>
      <c r="BR467">
        <v>2</v>
      </c>
      <c r="BS467">
        <v>0.2</v>
      </c>
      <c r="BT467">
        <f>BS467+BD467+AU467+AM467</f>
        <v>1.2</v>
      </c>
      <c r="BU467">
        <v>1</v>
      </c>
      <c r="BV467">
        <v>2</v>
      </c>
      <c r="BW467">
        <v>293</v>
      </c>
      <c r="BX467">
        <f>BW467/7</f>
        <v>41.857142857142854</v>
      </c>
      <c r="BY467">
        <f>0.77*BX467</f>
        <v>32.229999999999997</v>
      </c>
      <c r="BZ467">
        <f t="shared" si="7"/>
        <v>33.43</v>
      </c>
    </row>
    <row r="468" spans="1:78">
      <c r="A468" s="1">
        <v>45209.912001527773</v>
      </c>
      <c r="C468">
        <v>467</v>
      </c>
      <c r="D468" s="10">
        <v>34309</v>
      </c>
      <c r="E468">
        <v>29</v>
      </c>
      <c r="F468">
        <v>1</v>
      </c>
      <c r="G468">
        <v>1</v>
      </c>
      <c r="H468">
        <v>4</v>
      </c>
      <c r="I468" s="10">
        <v>44770</v>
      </c>
      <c r="J468">
        <v>1</v>
      </c>
      <c r="K468">
        <v>1</v>
      </c>
      <c r="L468">
        <v>2</v>
      </c>
      <c r="M468">
        <v>2890</v>
      </c>
      <c r="N468">
        <v>2</v>
      </c>
      <c r="O468" s="10">
        <v>44490</v>
      </c>
      <c r="P468">
        <v>1</v>
      </c>
      <c r="Q468">
        <v>40</v>
      </c>
      <c r="R468">
        <v>2</v>
      </c>
      <c r="S468">
        <v>59</v>
      </c>
      <c r="T468">
        <v>163</v>
      </c>
      <c r="U468">
        <v>68</v>
      </c>
      <c r="V468">
        <v>9</v>
      </c>
      <c r="W468">
        <v>1</v>
      </c>
      <c r="X468">
        <v>22.206330686137981</v>
      </c>
      <c r="Y468">
        <v>25.59373706198954</v>
      </c>
      <c r="Z468">
        <v>3.3874063758515582</v>
      </c>
      <c r="AA468">
        <v>2</v>
      </c>
      <c r="AB468">
        <v>3</v>
      </c>
      <c r="AC468" t="s">
        <v>33</v>
      </c>
      <c r="AD468">
        <v>3</v>
      </c>
      <c r="AE468">
        <v>0</v>
      </c>
      <c r="AG468">
        <v>5</v>
      </c>
      <c r="AH468">
        <v>1</v>
      </c>
      <c r="AI468">
        <v>1</v>
      </c>
      <c r="AJ468">
        <v>1</v>
      </c>
      <c r="AK468">
        <v>7</v>
      </c>
      <c r="AL468">
        <v>1</v>
      </c>
      <c r="AM468">
        <f>AJ468*AK468*AL468/7</f>
        <v>1</v>
      </c>
      <c r="AN468" t="s">
        <v>56</v>
      </c>
      <c r="AO468">
        <v>0</v>
      </c>
      <c r="AV468">
        <f>AU468+AM468</f>
        <v>1</v>
      </c>
      <c r="AX468">
        <v>0</v>
      </c>
      <c r="BE468">
        <f>AM468+AU468+BD468</f>
        <v>1</v>
      </c>
      <c r="BG468">
        <v>0</v>
      </c>
      <c r="BJ468" t="s">
        <v>49</v>
      </c>
      <c r="BK468">
        <v>5</v>
      </c>
      <c r="BL468">
        <v>1</v>
      </c>
      <c r="BM468">
        <v>1</v>
      </c>
      <c r="BN468" t="s">
        <v>30</v>
      </c>
      <c r="BO468">
        <v>1</v>
      </c>
      <c r="BP468">
        <v>168</v>
      </c>
      <c r="BQ468">
        <v>0.13</v>
      </c>
      <c r="BR468">
        <v>2</v>
      </c>
      <c r="BS468">
        <v>0.26</v>
      </c>
      <c r="BT468">
        <f>BS468+BD468+AU468+AM468</f>
        <v>1.26</v>
      </c>
      <c r="BU468">
        <v>1</v>
      </c>
      <c r="BV468">
        <v>3</v>
      </c>
      <c r="BW468">
        <v>439.5</v>
      </c>
      <c r="BX468">
        <f>BW468/7</f>
        <v>62.785714285714285</v>
      </c>
      <c r="BY468">
        <f>0.77*BX468</f>
        <v>48.344999999999999</v>
      </c>
      <c r="BZ468">
        <f t="shared" si="7"/>
        <v>49.604999999999997</v>
      </c>
    </row>
    <row r="469" spans="1:78">
      <c r="A469" s="1">
        <v>45209.913044548608</v>
      </c>
      <c r="C469">
        <v>468</v>
      </c>
      <c r="D469" s="10">
        <v>28791</v>
      </c>
      <c r="E469">
        <v>44</v>
      </c>
      <c r="F469">
        <v>1</v>
      </c>
      <c r="G469">
        <v>1</v>
      </c>
      <c r="H469">
        <v>4</v>
      </c>
      <c r="I469" s="10">
        <v>43052</v>
      </c>
      <c r="J469">
        <v>2</v>
      </c>
      <c r="K469">
        <v>0</v>
      </c>
      <c r="L469">
        <v>1</v>
      </c>
      <c r="M469">
        <v>3800</v>
      </c>
      <c r="N469">
        <v>2</v>
      </c>
      <c r="O469" s="10">
        <v>42786</v>
      </c>
      <c r="P469">
        <v>0</v>
      </c>
      <c r="Q469">
        <v>38</v>
      </c>
      <c r="R469">
        <v>2</v>
      </c>
      <c r="S469">
        <v>100</v>
      </c>
      <c r="T469">
        <v>158</v>
      </c>
      <c r="U469">
        <v>110</v>
      </c>
      <c r="V469">
        <v>10</v>
      </c>
      <c r="W469">
        <v>2</v>
      </c>
      <c r="X469">
        <v>40.057683063611591</v>
      </c>
      <c r="Y469">
        <v>44.063451369972753</v>
      </c>
      <c r="Z469">
        <v>4.005768306361162</v>
      </c>
      <c r="AA469">
        <v>4</v>
      </c>
      <c r="AB469">
        <v>4</v>
      </c>
      <c r="AC469" t="s">
        <v>33</v>
      </c>
      <c r="AD469">
        <v>3</v>
      </c>
      <c r="AE469">
        <v>1</v>
      </c>
      <c r="AF469" t="s">
        <v>344</v>
      </c>
      <c r="AG469" t="e">
        <v>#N/A</v>
      </c>
      <c r="AH469">
        <v>1</v>
      </c>
      <c r="AI469">
        <v>4</v>
      </c>
      <c r="AJ469">
        <v>1</v>
      </c>
      <c r="AK469">
        <v>7</v>
      </c>
      <c r="AL469">
        <v>1</v>
      </c>
      <c r="AM469">
        <f>AJ469*AK469*AL469/7</f>
        <v>1</v>
      </c>
      <c r="AN469" t="s">
        <v>43</v>
      </c>
      <c r="AO469">
        <v>0</v>
      </c>
      <c r="AV469">
        <f>AU469+AM469</f>
        <v>1</v>
      </c>
      <c r="AX469">
        <v>0</v>
      </c>
      <c r="BE469">
        <f>AM469+AU469+BD469</f>
        <v>1</v>
      </c>
      <c r="BG469">
        <v>0</v>
      </c>
      <c r="BJ469" t="s">
        <v>49</v>
      </c>
      <c r="BK469">
        <v>5</v>
      </c>
      <c r="BL469">
        <v>1</v>
      </c>
      <c r="BM469">
        <v>1</v>
      </c>
      <c r="BN469" t="s">
        <v>30</v>
      </c>
      <c r="BO469">
        <v>1</v>
      </c>
      <c r="BP469">
        <v>168</v>
      </c>
      <c r="BQ469">
        <v>0.13</v>
      </c>
      <c r="BR469">
        <v>2</v>
      </c>
      <c r="BS469">
        <v>0.26</v>
      </c>
      <c r="BT469">
        <f>BS469+BD469+AU469+AM469</f>
        <v>1.26</v>
      </c>
      <c r="BU469">
        <v>1</v>
      </c>
      <c r="BV469">
        <v>3</v>
      </c>
      <c r="BW469">
        <v>439.5</v>
      </c>
      <c r="BX469">
        <f>BW469/7</f>
        <v>62.785714285714285</v>
      </c>
      <c r="BY469">
        <f>0.77*BX469</f>
        <v>48.344999999999999</v>
      </c>
      <c r="BZ469">
        <f t="shared" si="7"/>
        <v>49.604999999999997</v>
      </c>
    </row>
    <row r="470" spans="1:78">
      <c r="A470" s="1">
        <v>45209.917300567133</v>
      </c>
      <c r="C470">
        <v>469</v>
      </c>
      <c r="D470" s="10">
        <v>32769</v>
      </c>
      <c r="E470">
        <v>34</v>
      </c>
      <c r="F470">
        <v>1</v>
      </c>
      <c r="G470">
        <v>1</v>
      </c>
      <c r="H470">
        <v>4</v>
      </c>
      <c r="I470" s="10">
        <v>44861</v>
      </c>
      <c r="J470">
        <v>2</v>
      </c>
      <c r="K470">
        <v>0</v>
      </c>
      <c r="L470">
        <v>1</v>
      </c>
      <c r="M470">
        <v>3605</v>
      </c>
      <c r="N470">
        <v>2</v>
      </c>
      <c r="O470" s="10">
        <v>44581</v>
      </c>
      <c r="P470">
        <v>0</v>
      </c>
      <c r="Q470">
        <v>40</v>
      </c>
      <c r="R470">
        <v>2</v>
      </c>
      <c r="S470">
        <v>72</v>
      </c>
      <c r="T470">
        <v>157</v>
      </c>
      <c r="U470">
        <v>78.8</v>
      </c>
      <c r="V470">
        <v>6.7999999999999972</v>
      </c>
      <c r="W470">
        <v>1</v>
      </c>
      <c r="X470">
        <v>29.210109943608259</v>
      </c>
      <c r="Y470">
        <v>31.968842549393482</v>
      </c>
      <c r="Z470">
        <v>2.7587326057852231</v>
      </c>
      <c r="AA470">
        <v>3</v>
      </c>
      <c r="AB470">
        <v>4</v>
      </c>
      <c r="AC470" t="s">
        <v>106</v>
      </c>
      <c r="AD470">
        <v>2</v>
      </c>
      <c r="AE470">
        <v>0</v>
      </c>
      <c r="AG470">
        <v>5</v>
      </c>
      <c r="AH470">
        <v>1</v>
      </c>
      <c r="AI470">
        <v>2</v>
      </c>
      <c r="AJ470">
        <v>5</v>
      </c>
      <c r="AK470">
        <v>7</v>
      </c>
      <c r="AL470">
        <v>1</v>
      </c>
      <c r="AM470">
        <f>AJ470*AK470*AL470/7</f>
        <v>5</v>
      </c>
      <c r="AN470" t="s">
        <v>57</v>
      </c>
      <c r="AO470">
        <v>0</v>
      </c>
      <c r="AV470">
        <f>AU470+AM470</f>
        <v>5</v>
      </c>
      <c r="AW470" t="s">
        <v>345</v>
      </c>
      <c r="AX470">
        <v>0</v>
      </c>
      <c r="BE470">
        <f>AM470+AU470+BD470</f>
        <v>5</v>
      </c>
      <c r="BF470" t="s">
        <v>345</v>
      </c>
      <c r="BG470">
        <v>1</v>
      </c>
      <c r="BH470">
        <v>7</v>
      </c>
      <c r="BI470">
        <v>2</v>
      </c>
      <c r="BJ470" t="s">
        <v>49</v>
      </c>
      <c r="BK470">
        <v>5</v>
      </c>
      <c r="BL470">
        <v>3</v>
      </c>
      <c r="BM470">
        <v>1</v>
      </c>
      <c r="BN470" t="s">
        <v>30</v>
      </c>
      <c r="BO470">
        <v>1</v>
      </c>
      <c r="BP470">
        <v>168</v>
      </c>
      <c r="BQ470">
        <v>0.13</v>
      </c>
      <c r="BR470">
        <v>2</v>
      </c>
      <c r="BS470">
        <v>0.26</v>
      </c>
      <c r="BT470">
        <f>BS470+BD470+AU470+AM470</f>
        <v>5.26</v>
      </c>
      <c r="BU470">
        <v>1</v>
      </c>
      <c r="BV470">
        <v>2</v>
      </c>
      <c r="BW470">
        <v>293</v>
      </c>
      <c r="BX470">
        <f>BW470/7</f>
        <v>41.857142857142854</v>
      </c>
      <c r="BY470">
        <f>0.77*BX470</f>
        <v>32.229999999999997</v>
      </c>
      <c r="BZ470">
        <f t="shared" si="7"/>
        <v>37.489999999999995</v>
      </c>
    </row>
    <row r="471" spans="1:78">
      <c r="A471" s="1">
        <v>45209.937536469908</v>
      </c>
      <c r="C471">
        <v>470</v>
      </c>
      <c r="D471" s="10">
        <v>31071</v>
      </c>
      <c r="E471">
        <v>38</v>
      </c>
      <c r="F471">
        <v>1</v>
      </c>
      <c r="G471">
        <v>4</v>
      </c>
      <c r="H471">
        <v>4</v>
      </c>
      <c r="I471" s="10">
        <v>44490</v>
      </c>
      <c r="J471">
        <v>2</v>
      </c>
      <c r="K471">
        <v>0</v>
      </c>
      <c r="L471">
        <v>1</v>
      </c>
      <c r="M471">
        <v>3830</v>
      </c>
      <c r="N471">
        <v>2</v>
      </c>
      <c r="O471" s="10">
        <v>44224</v>
      </c>
      <c r="P471">
        <v>1</v>
      </c>
      <c r="Q471">
        <v>38</v>
      </c>
      <c r="R471">
        <v>2</v>
      </c>
      <c r="S471">
        <v>68</v>
      </c>
      <c r="T471">
        <v>170</v>
      </c>
      <c r="U471">
        <v>78</v>
      </c>
      <c r="V471">
        <v>10</v>
      </c>
      <c r="W471">
        <v>1</v>
      </c>
      <c r="X471">
        <v>23.529411764705884</v>
      </c>
      <c r="Y471">
        <v>26.989619377162633</v>
      </c>
      <c r="Z471">
        <v>3.4602076124567489</v>
      </c>
      <c r="AA471">
        <v>2</v>
      </c>
      <c r="AB471">
        <v>3</v>
      </c>
      <c r="AC471" t="s">
        <v>33</v>
      </c>
      <c r="AD471">
        <v>3</v>
      </c>
      <c r="AE471">
        <v>0</v>
      </c>
      <c r="AG471">
        <v>5</v>
      </c>
      <c r="AH471">
        <v>0</v>
      </c>
      <c r="AI471">
        <v>0</v>
      </c>
      <c r="AN471" t="s">
        <v>41</v>
      </c>
      <c r="AO471">
        <v>0</v>
      </c>
      <c r="AW471" t="s">
        <v>58</v>
      </c>
      <c r="AX471">
        <v>1</v>
      </c>
      <c r="AY471" t="s">
        <v>58</v>
      </c>
      <c r="AZ471">
        <v>1</v>
      </c>
      <c r="BA471">
        <v>0.8</v>
      </c>
      <c r="BB471">
        <v>7</v>
      </c>
      <c r="BC471">
        <v>1</v>
      </c>
      <c r="BD471">
        <f>BA471*BB471*1/7</f>
        <v>0.8</v>
      </c>
      <c r="BE471">
        <f>AM471+AU471+BD471</f>
        <v>0.8</v>
      </c>
      <c r="BF471" t="s">
        <v>58</v>
      </c>
      <c r="BG471">
        <v>0</v>
      </c>
      <c r="BH471">
        <v>7</v>
      </c>
      <c r="BI471">
        <v>1</v>
      </c>
      <c r="BJ471" t="s">
        <v>36</v>
      </c>
      <c r="BK471">
        <v>4</v>
      </c>
      <c r="BL471">
        <v>1</v>
      </c>
      <c r="BM471">
        <v>1</v>
      </c>
      <c r="BN471" t="s">
        <v>55</v>
      </c>
      <c r="BO471">
        <v>2</v>
      </c>
      <c r="BP471">
        <v>134</v>
      </c>
      <c r="BQ471">
        <v>0.1</v>
      </c>
      <c r="BR471">
        <v>2</v>
      </c>
      <c r="BS471">
        <v>0.2</v>
      </c>
      <c r="BT471">
        <f>BS471+BD471+AU471+AM471</f>
        <v>1</v>
      </c>
      <c r="BU471">
        <v>1</v>
      </c>
      <c r="BV471">
        <v>2</v>
      </c>
      <c r="BW471">
        <v>293</v>
      </c>
      <c r="BX471">
        <f>BW471/7</f>
        <v>41.857142857142854</v>
      </c>
      <c r="BY471">
        <f>0.77*BX471</f>
        <v>32.229999999999997</v>
      </c>
      <c r="BZ471">
        <f t="shared" si="7"/>
        <v>33.229999999999997</v>
      </c>
    </row>
    <row r="472" spans="1:78">
      <c r="A472" s="1">
        <v>45209.950186828704</v>
      </c>
      <c r="C472">
        <v>471</v>
      </c>
      <c r="D472" s="10">
        <v>31773</v>
      </c>
      <c r="E472">
        <v>36</v>
      </c>
      <c r="F472">
        <v>1</v>
      </c>
      <c r="G472">
        <v>1</v>
      </c>
      <c r="H472">
        <v>5</v>
      </c>
      <c r="I472" s="10">
        <v>43951</v>
      </c>
      <c r="J472">
        <v>1</v>
      </c>
      <c r="K472">
        <v>1</v>
      </c>
      <c r="L472">
        <v>1</v>
      </c>
      <c r="M472">
        <v>3500</v>
      </c>
      <c r="N472">
        <v>2</v>
      </c>
      <c r="O472" s="10">
        <v>43678</v>
      </c>
      <c r="P472">
        <v>0</v>
      </c>
      <c r="Q472">
        <v>39</v>
      </c>
      <c r="R472">
        <v>2</v>
      </c>
      <c r="S472">
        <v>94</v>
      </c>
      <c r="T472">
        <v>157</v>
      </c>
      <c r="U472">
        <v>117</v>
      </c>
      <c r="V472">
        <v>23</v>
      </c>
      <c r="W472">
        <v>3</v>
      </c>
      <c r="X472">
        <v>38.135421315266335</v>
      </c>
      <c r="Y472">
        <v>47.466428658363419</v>
      </c>
      <c r="Z472">
        <v>9.3310073430970846</v>
      </c>
      <c r="AA472">
        <v>4</v>
      </c>
      <c r="AB472">
        <v>4</v>
      </c>
      <c r="AC472" t="s">
        <v>25</v>
      </c>
      <c r="AD472">
        <v>1</v>
      </c>
      <c r="AE472">
        <v>1</v>
      </c>
      <c r="AF472" t="s">
        <v>347</v>
      </c>
      <c r="AG472">
        <v>3</v>
      </c>
      <c r="AH472">
        <v>1</v>
      </c>
      <c r="AI472">
        <v>5</v>
      </c>
      <c r="AJ472">
        <v>5</v>
      </c>
      <c r="AK472">
        <v>7</v>
      </c>
      <c r="AL472">
        <v>1</v>
      </c>
      <c r="AM472">
        <f>AJ472*AK472*AL472/7</f>
        <v>5</v>
      </c>
      <c r="AN472" t="s">
        <v>27</v>
      </c>
      <c r="AO472">
        <v>0</v>
      </c>
      <c r="AV472">
        <f>AU472+AM472</f>
        <v>5</v>
      </c>
      <c r="AX472">
        <v>0</v>
      </c>
      <c r="BE472">
        <f>AM472+AU472+BD472</f>
        <v>5</v>
      </c>
      <c r="BG472">
        <v>0</v>
      </c>
      <c r="BJ472" t="s">
        <v>49</v>
      </c>
      <c r="BK472">
        <v>5</v>
      </c>
      <c r="BL472">
        <v>1</v>
      </c>
      <c r="BM472">
        <v>1</v>
      </c>
      <c r="BN472" t="s">
        <v>30</v>
      </c>
      <c r="BO472">
        <v>1</v>
      </c>
      <c r="BP472">
        <v>252</v>
      </c>
      <c r="BQ472">
        <v>0.13</v>
      </c>
      <c r="BR472">
        <v>3</v>
      </c>
      <c r="BS472">
        <v>0.39</v>
      </c>
      <c r="BT472">
        <f>BS472+BD472+AU472+AM472</f>
        <v>5.39</v>
      </c>
      <c r="BU472">
        <v>1</v>
      </c>
      <c r="BV472">
        <v>2</v>
      </c>
      <c r="BW472">
        <v>293</v>
      </c>
      <c r="BX472">
        <f>BW472/7</f>
        <v>41.857142857142854</v>
      </c>
      <c r="BY472">
        <f>0.77*BX472</f>
        <v>32.229999999999997</v>
      </c>
      <c r="BZ472">
        <f t="shared" si="7"/>
        <v>37.619999999999997</v>
      </c>
    </row>
    <row r="473" spans="1:78">
      <c r="A473" s="1">
        <v>45209.959428425922</v>
      </c>
      <c r="C473">
        <v>472</v>
      </c>
      <c r="D473" s="10">
        <v>30419</v>
      </c>
      <c r="E473">
        <v>40</v>
      </c>
      <c r="F473">
        <v>1</v>
      </c>
      <c r="G473">
        <v>9</v>
      </c>
      <c r="H473">
        <v>5</v>
      </c>
      <c r="I473" s="10">
        <v>43965</v>
      </c>
      <c r="J473">
        <v>1</v>
      </c>
      <c r="K473">
        <v>1</v>
      </c>
      <c r="L473">
        <v>2</v>
      </c>
      <c r="M473">
        <v>3380</v>
      </c>
      <c r="N473">
        <v>2</v>
      </c>
      <c r="O473" s="10">
        <v>43678</v>
      </c>
      <c r="P473">
        <v>0</v>
      </c>
      <c r="Q473">
        <v>41</v>
      </c>
      <c r="R473">
        <v>2</v>
      </c>
      <c r="S473">
        <v>80</v>
      </c>
      <c r="T473">
        <v>176</v>
      </c>
      <c r="U473">
        <v>91.5</v>
      </c>
      <c r="V473">
        <v>11.5</v>
      </c>
      <c r="W473">
        <v>2</v>
      </c>
      <c r="X473">
        <v>25.826446280991735</v>
      </c>
      <c r="Y473">
        <v>29.5389979338843</v>
      </c>
      <c r="Z473">
        <v>3.7125516528925644</v>
      </c>
      <c r="AA473">
        <v>3</v>
      </c>
      <c r="AB473">
        <v>3</v>
      </c>
      <c r="AC473" t="s">
        <v>33</v>
      </c>
      <c r="AD473">
        <v>3</v>
      </c>
      <c r="AE473">
        <v>0</v>
      </c>
      <c r="AG473">
        <v>5</v>
      </c>
      <c r="AH473">
        <v>1</v>
      </c>
      <c r="AI473">
        <v>18</v>
      </c>
      <c r="AJ473">
        <v>2</v>
      </c>
      <c r="AK473">
        <v>7</v>
      </c>
      <c r="AL473">
        <v>1</v>
      </c>
      <c r="AM473">
        <f>AJ473*AK473*AL473/7</f>
        <v>2</v>
      </c>
      <c r="AN473" t="s">
        <v>217</v>
      </c>
      <c r="AO473">
        <v>0</v>
      </c>
      <c r="AV473">
        <f>AU473+AM473</f>
        <v>2</v>
      </c>
      <c r="AX473">
        <v>0</v>
      </c>
      <c r="BE473">
        <f>AM473+AU473+BD473</f>
        <v>2</v>
      </c>
      <c r="BG473">
        <v>0</v>
      </c>
      <c r="BJ473" t="s">
        <v>49</v>
      </c>
      <c r="BK473">
        <v>5</v>
      </c>
      <c r="BL473">
        <v>3</v>
      </c>
      <c r="BM473">
        <v>1</v>
      </c>
      <c r="BN473" t="s">
        <v>55</v>
      </c>
      <c r="BO473">
        <v>2</v>
      </c>
      <c r="BP473">
        <v>134</v>
      </c>
      <c r="BQ473">
        <v>0.1</v>
      </c>
      <c r="BR473">
        <v>2</v>
      </c>
      <c r="BS473">
        <v>0.2</v>
      </c>
      <c r="BT473">
        <f>BS473+BD473+AU473+AM473</f>
        <v>2.2000000000000002</v>
      </c>
      <c r="BU473">
        <v>1</v>
      </c>
      <c r="BV473">
        <v>3</v>
      </c>
      <c r="BW473">
        <v>439.5</v>
      </c>
      <c r="BX473">
        <f>BW473/7</f>
        <v>62.785714285714285</v>
      </c>
      <c r="BY473">
        <f>0.77*BX473</f>
        <v>48.344999999999999</v>
      </c>
      <c r="BZ473">
        <f t="shared" si="7"/>
        <v>50.545000000000002</v>
      </c>
    </row>
    <row r="474" spans="1:78">
      <c r="A474" s="1">
        <v>45209.966848414348</v>
      </c>
      <c r="B474" t="s">
        <v>865</v>
      </c>
      <c r="C474">
        <v>473</v>
      </c>
      <c r="D474" s="10">
        <v>30817</v>
      </c>
      <c r="E474">
        <v>39</v>
      </c>
      <c r="F474">
        <v>1</v>
      </c>
      <c r="G474">
        <v>1</v>
      </c>
      <c r="H474">
        <v>5</v>
      </c>
      <c r="I474" s="10">
        <v>43844</v>
      </c>
      <c r="J474">
        <v>2</v>
      </c>
      <c r="K474">
        <v>0</v>
      </c>
      <c r="L474">
        <v>2</v>
      </c>
      <c r="M474">
        <v>2600</v>
      </c>
      <c r="N474">
        <v>2</v>
      </c>
      <c r="O474" s="10">
        <v>43585</v>
      </c>
      <c r="P474">
        <v>0</v>
      </c>
      <c r="Q474">
        <v>37</v>
      </c>
      <c r="R474">
        <v>2</v>
      </c>
      <c r="S474">
        <v>56</v>
      </c>
      <c r="T474">
        <v>160</v>
      </c>
      <c r="U474">
        <v>65.3</v>
      </c>
      <c r="V474">
        <v>9.2999999999999972</v>
      </c>
      <c r="W474">
        <v>1</v>
      </c>
      <c r="X474">
        <v>21.874999999999996</v>
      </c>
      <c r="Y474">
        <v>25.507812499999993</v>
      </c>
      <c r="Z474">
        <v>3.6328124999999964</v>
      </c>
      <c r="AA474">
        <v>2</v>
      </c>
      <c r="AB474">
        <v>3</v>
      </c>
      <c r="AC474" t="s">
        <v>33</v>
      </c>
      <c r="AD474">
        <v>3</v>
      </c>
      <c r="AE474">
        <v>0</v>
      </c>
      <c r="AG474">
        <v>5</v>
      </c>
      <c r="AH474">
        <v>1</v>
      </c>
      <c r="AI474">
        <v>5</v>
      </c>
      <c r="AJ474">
        <v>5</v>
      </c>
      <c r="AK474">
        <v>7</v>
      </c>
      <c r="AL474">
        <v>1</v>
      </c>
      <c r="AM474">
        <f>AJ474*AK474*AL474/7</f>
        <v>5</v>
      </c>
      <c r="AN474" t="s">
        <v>27</v>
      </c>
      <c r="AO474">
        <v>0</v>
      </c>
      <c r="AV474">
        <f>AU474+AM474</f>
        <v>5</v>
      </c>
      <c r="AW474" t="s">
        <v>95</v>
      </c>
      <c r="AX474">
        <v>1</v>
      </c>
      <c r="AY474" t="s">
        <v>878</v>
      </c>
      <c r="AZ474">
        <v>16</v>
      </c>
      <c r="BA474" t="s">
        <v>258</v>
      </c>
      <c r="BB474">
        <v>7</v>
      </c>
      <c r="BC474">
        <v>2</v>
      </c>
      <c r="BE474">
        <f>AM474+AU474+BD474</f>
        <v>5</v>
      </c>
      <c r="BF474" t="s">
        <v>878</v>
      </c>
      <c r="BG474" t="s">
        <v>258</v>
      </c>
      <c r="BH474">
        <v>7</v>
      </c>
      <c r="BI474">
        <v>2</v>
      </c>
      <c r="BJ474" t="s">
        <v>49</v>
      </c>
      <c r="BK474">
        <v>5</v>
      </c>
      <c r="BL474">
        <v>3</v>
      </c>
      <c r="BM474">
        <v>1</v>
      </c>
      <c r="BN474" t="s">
        <v>30</v>
      </c>
      <c r="BO474">
        <v>1</v>
      </c>
      <c r="BP474">
        <v>84</v>
      </c>
      <c r="BQ474">
        <v>0.13</v>
      </c>
      <c r="BR474">
        <v>1</v>
      </c>
      <c r="BS474">
        <v>0.13</v>
      </c>
      <c r="BT474">
        <f>BS474+BD474+AU474+AM474</f>
        <v>5.13</v>
      </c>
      <c r="BU474">
        <v>1</v>
      </c>
      <c r="BV474">
        <v>2</v>
      </c>
      <c r="BW474">
        <v>293</v>
      </c>
      <c r="BX474">
        <f>BW474/7</f>
        <v>41.857142857142854</v>
      </c>
      <c r="BY474">
        <f>0.77*BX474</f>
        <v>32.229999999999997</v>
      </c>
      <c r="BZ474">
        <f t="shared" si="7"/>
        <v>37.36</v>
      </c>
    </row>
    <row r="475" spans="1:78">
      <c r="A475" s="1">
        <v>45209.981023576387</v>
      </c>
      <c r="C475">
        <v>474</v>
      </c>
      <c r="D475" s="10">
        <v>31408</v>
      </c>
      <c r="E475">
        <v>37</v>
      </c>
      <c r="F475">
        <v>1</v>
      </c>
      <c r="G475">
        <v>1</v>
      </c>
      <c r="H475">
        <v>4</v>
      </c>
      <c r="I475" s="10">
        <v>44682</v>
      </c>
      <c r="J475">
        <v>1</v>
      </c>
      <c r="K475">
        <v>1</v>
      </c>
      <c r="L475">
        <v>1</v>
      </c>
      <c r="M475">
        <v>3490</v>
      </c>
      <c r="N475">
        <v>2</v>
      </c>
      <c r="O475" s="10">
        <v>44416</v>
      </c>
      <c r="P475">
        <v>1</v>
      </c>
      <c r="Q475">
        <v>38</v>
      </c>
      <c r="R475">
        <v>2</v>
      </c>
      <c r="S475">
        <v>67</v>
      </c>
      <c r="T475">
        <v>158</v>
      </c>
      <c r="U475">
        <v>71</v>
      </c>
      <c r="V475">
        <v>4</v>
      </c>
      <c r="W475">
        <v>1</v>
      </c>
      <c r="X475">
        <v>26.83864765261977</v>
      </c>
      <c r="Y475">
        <v>28.440954975164232</v>
      </c>
      <c r="Z475">
        <v>1.602307322544462</v>
      </c>
      <c r="AA475">
        <v>3</v>
      </c>
      <c r="AB475">
        <v>3</v>
      </c>
      <c r="AC475" t="s">
        <v>90</v>
      </c>
      <c r="AD475">
        <v>2</v>
      </c>
      <c r="AE475">
        <v>0</v>
      </c>
      <c r="AG475">
        <v>5</v>
      </c>
      <c r="AH475">
        <v>1</v>
      </c>
      <c r="AI475">
        <v>5</v>
      </c>
      <c r="AJ475">
        <v>5</v>
      </c>
      <c r="AK475">
        <v>7</v>
      </c>
      <c r="AL475">
        <v>1</v>
      </c>
      <c r="AM475">
        <f>AJ475*AK475*AL475/7</f>
        <v>5</v>
      </c>
      <c r="AN475" t="s">
        <v>27</v>
      </c>
      <c r="AO475">
        <v>0</v>
      </c>
      <c r="AV475">
        <f>AU475+AM475</f>
        <v>5</v>
      </c>
      <c r="AW475" t="s">
        <v>97</v>
      </c>
      <c r="AX475">
        <v>1</v>
      </c>
      <c r="AY475" t="s">
        <v>97</v>
      </c>
      <c r="AZ475">
        <v>11</v>
      </c>
      <c r="BA475">
        <v>0.2</v>
      </c>
      <c r="BB475">
        <v>7</v>
      </c>
      <c r="BC475">
        <v>1</v>
      </c>
      <c r="BD475">
        <f>BA475*BB475*1/7</f>
        <v>0.2</v>
      </c>
      <c r="BE475">
        <f>AM475+AU475+BD475</f>
        <v>5.2</v>
      </c>
      <c r="BF475" t="s">
        <v>97</v>
      </c>
      <c r="BG475">
        <v>0</v>
      </c>
      <c r="BH475">
        <v>7</v>
      </c>
      <c r="BI475">
        <v>1</v>
      </c>
      <c r="BJ475" t="s">
        <v>28</v>
      </c>
      <c r="BK475">
        <v>3</v>
      </c>
      <c r="BL475">
        <v>3</v>
      </c>
      <c r="BM475">
        <v>1</v>
      </c>
      <c r="BN475" t="s">
        <v>37</v>
      </c>
      <c r="BO475">
        <v>4</v>
      </c>
      <c r="BP475">
        <v>27.5</v>
      </c>
      <c r="BQ475">
        <v>0.05</v>
      </c>
      <c r="BR475">
        <v>0.5</v>
      </c>
      <c r="BS475">
        <v>2.5000000000000001E-2</v>
      </c>
      <c r="BT475">
        <f>BS475+BD475+AU475+AM475</f>
        <v>5.2249999999999996</v>
      </c>
      <c r="BU475">
        <v>1</v>
      </c>
      <c r="BV475">
        <v>0.5</v>
      </c>
      <c r="BW475">
        <v>73.25</v>
      </c>
      <c r="BX475">
        <f>BW475/7</f>
        <v>10.464285714285714</v>
      </c>
      <c r="BY475">
        <f>0.77*BX475</f>
        <v>8.0574999999999992</v>
      </c>
      <c r="BZ475">
        <f t="shared" si="7"/>
        <v>13.282499999999999</v>
      </c>
    </row>
    <row r="476" spans="1:78">
      <c r="A476" s="1">
        <v>45209.987464398146</v>
      </c>
      <c r="C476">
        <v>475</v>
      </c>
      <c r="D476" s="10">
        <v>33488</v>
      </c>
      <c r="E476">
        <v>32</v>
      </c>
      <c r="F476">
        <v>1</v>
      </c>
      <c r="G476">
        <v>13</v>
      </c>
      <c r="H476">
        <v>3</v>
      </c>
      <c r="I476" s="10">
        <v>44973</v>
      </c>
      <c r="J476">
        <v>2</v>
      </c>
      <c r="K476">
        <v>0</v>
      </c>
      <c r="L476">
        <v>1</v>
      </c>
      <c r="M476">
        <v>4320</v>
      </c>
      <c r="N476">
        <v>3</v>
      </c>
      <c r="O476" s="10">
        <v>44702</v>
      </c>
      <c r="P476">
        <v>0</v>
      </c>
      <c r="Q476">
        <v>38.714285714285715</v>
      </c>
      <c r="R476">
        <v>2</v>
      </c>
      <c r="S476">
        <v>83</v>
      </c>
      <c r="T476">
        <v>164</v>
      </c>
      <c r="U476">
        <v>84</v>
      </c>
      <c r="V476">
        <v>1</v>
      </c>
      <c r="W476">
        <v>1</v>
      </c>
      <c r="X476">
        <v>30.859607376561577</v>
      </c>
      <c r="Y476">
        <v>31.231409875074366</v>
      </c>
      <c r="Z476">
        <v>0.37180249851278901</v>
      </c>
      <c r="AA476">
        <v>4</v>
      </c>
      <c r="AB476">
        <v>4</v>
      </c>
      <c r="AC476" t="s">
        <v>44</v>
      </c>
      <c r="AD476">
        <v>1</v>
      </c>
      <c r="AE476">
        <v>0</v>
      </c>
      <c r="AG476">
        <v>5</v>
      </c>
      <c r="AH476">
        <v>1</v>
      </c>
      <c r="AI476">
        <v>13</v>
      </c>
      <c r="AJ476">
        <v>1</v>
      </c>
      <c r="AK476">
        <v>6</v>
      </c>
      <c r="AL476">
        <v>1</v>
      </c>
      <c r="AM476">
        <f>AJ476*AK476*AL476/7</f>
        <v>0.8571428571428571</v>
      </c>
      <c r="AN476" t="s">
        <v>79</v>
      </c>
      <c r="AO476">
        <v>0</v>
      </c>
      <c r="AV476">
        <f>AU476+AM476</f>
        <v>0.8571428571428571</v>
      </c>
      <c r="AX476">
        <v>0</v>
      </c>
      <c r="BE476">
        <f>AM476+AU476+BD476</f>
        <v>0.8571428571428571</v>
      </c>
      <c r="BG476">
        <v>0</v>
      </c>
      <c r="BJ476" t="s">
        <v>49</v>
      </c>
      <c r="BK476">
        <v>5</v>
      </c>
      <c r="BL476">
        <v>3</v>
      </c>
      <c r="BM476">
        <v>1</v>
      </c>
      <c r="BN476" t="s">
        <v>55</v>
      </c>
      <c r="BO476">
        <v>2</v>
      </c>
      <c r="BP476">
        <v>134</v>
      </c>
      <c r="BQ476">
        <v>0.1</v>
      </c>
      <c r="BR476">
        <v>2</v>
      </c>
      <c r="BS476">
        <v>0.2</v>
      </c>
      <c r="BT476">
        <f>BS476+BD476+AU476+AM476</f>
        <v>1.0571428571428572</v>
      </c>
      <c r="BU476">
        <v>1</v>
      </c>
      <c r="BV476">
        <v>5</v>
      </c>
      <c r="BW476">
        <v>732.5</v>
      </c>
      <c r="BX476">
        <f>BW476/7</f>
        <v>104.64285714285714</v>
      </c>
      <c r="BY476">
        <f>0.77*BX476</f>
        <v>80.575000000000003</v>
      </c>
      <c r="BZ476">
        <f t="shared" si="7"/>
        <v>81.632142857142867</v>
      </c>
    </row>
    <row r="477" spans="1:78">
      <c r="A477" s="1">
        <v>45210.002969803245</v>
      </c>
      <c r="C477">
        <v>476</v>
      </c>
      <c r="D477" s="10">
        <v>31824</v>
      </c>
      <c r="E477">
        <v>36</v>
      </c>
      <c r="F477">
        <v>1</v>
      </c>
      <c r="G477">
        <v>1</v>
      </c>
      <c r="H477">
        <v>4</v>
      </c>
      <c r="I477" s="10">
        <v>43821</v>
      </c>
      <c r="J477">
        <v>3</v>
      </c>
      <c r="K477">
        <v>0</v>
      </c>
      <c r="L477">
        <v>2</v>
      </c>
      <c r="M477">
        <v>3840</v>
      </c>
      <c r="N477">
        <v>2</v>
      </c>
      <c r="O477" s="10">
        <v>43555</v>
      </c>
      <c r="P477">
        <v>0</v>
      </c>
      <c r="Q477">
        <v>38</v>
      </c>
      <c r="R477">
        <v>2</v>
      </c>
      <c r="S477">
        <v>95</v>
      </c>
      <c r="T477">
        <v>172</v>
      </c>
      <c r="U477">
        <v>102</v>
      </c>
      <c r="V477">
        <v>7</v>
      </c>
      <c r="W477">
        <v>2</v>
      </c>
      <c r="X477">
        <v>32.11195240670633</v>
      </c>
      <c r="Y477">
        <v>34.478096268253111</v>
      </c>
      <c r="Z477">
        <v>2.3661438615467816</v>
      </c>
      <c r="AA477">
        <v>4</v>
      </c>
      <c r="AB477">
        <v>4</v>
      </c>
      <c r="AC477" t="s">
        <v>44</v>
      </c>
      <c r="AD477">
        <v>1</v>
      </c>
      <c r="AE477">
        <v>0</v>
      </c>
      <c r="AG477">
        <v>5</v>
      </c>
      <c r="AH477">
        <v>1</v>
      </c>
      <c r="AI477">
        <v>13</v>
      </c>
      <c r="AJ477">
        <v>1</v>
      </c>
      <c r="AK477">
        <v>7</v>
      </c>
      <c r="AL477">
        <v>1</v>
      </c>
      <c r="AM477">
        <f>AJ477*AK477*AL477/7</f>
        <v>1</v>
      </c>
      <c r="AN477" t="s">
        <v>79</v>
      </c>
      <c r="AO477">
        <v>0</v>
      </c>
      <c r="AV477">
        <f>AU477+AM477</f>
        <v>1</v>
      </c>
      <c r="AX477">
        <v>0</v>
      </c>
      <c r="BE477">
        <f>AM477+AU477+BD477</f>
        <v>1</v>
      </c>
      <c r="BG477">
        <v>0</v>
      </c>
      <c r="BJ477" t="s">
        <v>49</v>
      </c>
      <c r="BK477">
        <v>5</v>
      </c>
      <c r="BL477">
        <v>1</v>
      </c>
      <c r="BM477">
        <v>1</v>
      </c>
      <c r="BN477" t="s">
        <v>63</v>
      </c>
      <c r="BO477">
        <v>5</v>
      </c>
      <c r="BP477">
        <v>24</v>
      </c>
      <c r="BQ477">
        <v>0.06</v>
      </c>
      <c r="BR477">
        <v>0.5</v>
      </c>
      <c r="BS477">
        <v>0.03</v>
      </c>
      <c r="BT477">
        <f>BS477+BD477+AU477+AM477</f>
        <v>1.03</v>
      </c>
      <c r="BU477">
        <v>1</v>
      </c>
      <c r="BV477">
        <v>0.5</v>
      </c>
      <c r="BW477">
        <v>73.25</v>
      </c>
      <c r="BX477">
        <f>BW477/7</f>
        <v>10.464285714285714</v>
      </c>
      <c r="BY477">
        <f>0.77*BX477</f>
        <v>8.0574999999999992</v>
      </c>
      <c r="BZ477">
        <f t="shared" si="7"/>
        <v>9.0874999999999986</v>
      </c>
    </row>
    <row r="478" spans="1:78">
      <c r="A478" s="1">
        <v>45210.014288321763</v>
      </c>
      <c r="C478">
        <v>477</v>
      </c>
      <c r="D478" s="10">
        <v>30777</v>
      </c>
      <c r="E478">
        <v>39</v>
      </c>
      <c r="F478">
        <v>1</v>
      </c>
      <c r="G478">
        <v>2</v>
      </c>
      <c r="H478">
        <v>4</v>
      </c>
      <c r="I478" s="10">
        <v>43976</v>
      </c>
      <c r="J478">
        <v>1</v>
      </c>
      <c r="K478">
        <v>1</v>
      </c>
      <c r="L478">
        <v>2</v>
      </c>
      <c r="M478">
        <v>3500</v>
      </c>
      <c r="N478">
        <v>2</v>
      </c>
      <c r="O478" s="10">
        <v>43710</v>
      </c>
      <c r="P478">
        <v>0</v>
      </c>
      <c r="Q478">
        <v>38</v>
      </c>
      <c r="R478">
        <v>2</v>
      </c>
      <c r="S478">
        <v>84</v>
      </c>
      <c r="T478">
        <v>161</v>
      </c>
      <c r="U478">
        <v>93</v>
      </c>
      <c r="V478">
        <v>9</v>
      </c>
      <c r="W478">
        <v>2</v>
      </c>
      <c r="X478">
        <v>32.406157169862269</v>
      </c>
      <c r="Y478">
        <v>35.878245438061796</v>
      </c>
      <c r="Z478">
        <v>3.4720882681995278</v>
      </c>
      <c r="AA478">
        <v>4</v>
      </c>
      <c r="AB478">
        <v>4</v>
      </c>
      <c r="AC478" t="s">
        <v>33</v>
      </c>
      <c r="AD478">
        <v>3</v>
      </c>
      <c r="AE478">
        <v>0</v>
      </c>
      <c r="AG478">
        <v>5</v>
      </c>
      <c r="AH478">
        <v>1</v>
      </c>
      <c r="AI478">
        <v>5</v>
      </c>
      <c r="AJ478">
        <v>5</v>
      </c>
      <c r="AK478">
        <v>7</v>
      </c>
      <c r="AL478">
        <v>1</v>
      </c>
      <c r="AM478">
        <f>AJ478*AK478*AL478/7</f>
        <v>5</v>
      </c>
      <c r="AN478" t="s">
        <v>27</v>
      </c>
      <c r="AO478">
        <v>0</v>
      </c>
      <c r="AV478">
        <f>AU478+AM478</f>
        <v>5</v>
      </c>
      <c r="AX478">
        <v>0</v>
      </c>
      <c r="BE478">
        <f>AM478+AU478+BD478</f>
        <v>5</v>
      </c>
      <c r="BG478">
        <v>0</v>
      </c>
      <c r="BJ478" t="s">
        <v>49</v>
      </c>
      <c r="BK478">
        <v>5</v>
      </c>
      <c r="BL478">
        <v>1</v>
      </c>
      <c r="BM478">
        <v>1</v>
      </c>
      <c r="BN478" t="s">
        <v>55</v>
      </c>
      <c r="BO478">
        <v>2</v>
      </c>
      <c r="BP478">
        <v>67</v>
      </c>
      <c r="BQ478">
        <v>0.1</v>
      </c>
      <c r="BR478">
        <v>1</v>
      </c>
      <c r="BS478">
        <v>0.1</v>
      </c>
      <c r="BT478">
        <f>BS478+BD478+AU478+AM478</f>
        <v>5.0999999999999996</v>
      </c>
      <c r="BU478">
        <v>1</v>
      </c>
      <c r="BV478">
        <v>0.5</v>
      </c>
      <c r="BW478">
        <v>73.25</v>
      </c>
      <c r="BX478">
        <f>BW478/7</f>
        <v>10.464285714285714</v>
      </c>
      <c r="BY478">
        <f>0.77*BX478</f>
        <v>8.0574999999999992</v>
      </c>
      <c r="BZ478">
        <f t="shared" si="7"/>
        <v>13.157499999999999</v>
      </c>
    </row>
    <row r="479" spans="1:78">
      <c r="A479" s="1">
        <v>45210.112357199076</v>
      </c>
      <c r="C479">
        <v>478</v>
      </c>
      <c r="D479" s="10">
        <v>34148</v>
      </c>
      <c r="E479">
        <v>30</v>
      </c>
      <c r="F479">
        <v>1</v>
      </c>
      <c r="G479">
        <v>9</v>
      </c>
      <c r="H479">
        <v>4</v>
      </c>
      <c r="I479" s="10">
        <v>44566</v>
      </c>
      <c r="J479">
        <v>1</v>
      </c>
      <c r="K479">
        <v>1</v>
      </c>
      <c r="L479">
        <v>2</v>
      </c>
      <c r="M479">
        <v>3570</v>
      </c>
      <c r="N479">
        <v>2</v>
      </c>
      <c r="O479" s="10">
        <v>44300</v>
      </c>
      <c r="P479">
        <v>1</v>
      </c>
      <c r="Q479">
        <v>38</v>
      </c>
      <c r="R479">
        <v>2</v>
      </c>
      <c r="S479">
        <v>61.5</v>
      </c>
      <c r="T479">
        <v>157</v>
      </c>
      <c r="U479">
        <v>79</v>
      </c>
      <c r="V479">
        <v>17.5</v>
      </c>
      <c r="W479">
        <v>3</v>
      </c>
      <c r="X479">
        <v>24.950302243498722</v>
      </c>
      <c r="Y479">
        <v>32.049981743681286</v>
      </c>
      <c r="Z479">
        <v>7.0996795001825639</v>
      </c>
      <c r="AA479">
        <v>2</v>
      </c>
      <c r="AB479">
        <v>4</v>
      </c>
      <c r="AC479" t="s">
        <v>40</v>
      </c>
      <c r="AD479">
        <v>2</v>
      </c>
      <c r="AE479">
        <v>0</v>
      </c>
      <c r="AG479">
        <v>5</v>
      </c>
      <c r="AH479">
        <v>1</v>
      </c>
      <c r="AI479">
        <v>13</v>
      </c>
      <c r="AJ479">
        <v>1</v>
      </c>
      <c r="AK479">
        <v>7</v>
      </c>
      <c r="AL479">
        <v>1</v>
      </c>
      <c r="AM479">
        <f>AJ479*AK479*AL479/7</f>
        <v>1</v>
      </c>
      <c r="AN479" t="s">
        <v>79</v>
      </c>
      <c r="AO479">
        <v>0</v>
      </c>
      <c r="AV479">
        <f>AU479+AM479</f>
        <v>1</v>
      </c>
      <c r="AW479" t="s">
        <v>231</v>
      </c>
      <c r="AX479">
        <v>1</v>
      </c>
      <c r="AY479" t="s">
        <v>231</v>
      </c>
      <c r="AZ479">
        <v>12</v>
      </c>
      <c r="BA479">
        <v>0.4</v>
      </c>
      <c r="BB479">
        <v>7</v>
      </c>
      <c r="BC479">
        <v>1</v>
      </c>
      <c r="BD479">
        <f>BA479*BB479*1/7</f>
        <v>0.4</v>
      </c>
      <c r="BE479">
        <f>AM479+AU479+BD479</f>
        <v>1.4</v>
      </c>
      <c r="BF479" t="s">
        <v>231</v>
      </c>
      <c r="BG479">
        <v>0</v>
      </c>
      <c r="BH479">
        <v>7</v>
      </c>
      <c r="BI479">
        <v>1</v>
      </c>
      <c r="BJ479" t="s">
        <v>28</v>
      </c>
      <c r="BK479">
        <v>3</v>
      </c>
      <c r="BL479">
        <v>1</v>
      </c>
      <c r="BM479">
        <v>1</v>
      </c>
      <c r="BN479" t="s">
        <v>30</v>
      </c>
      <c r="BO479">
        <v>1</v>
      </c>
      <c r="BP479">
        <v>168</v>
      </c>
      <c r="BQ479">
        <v>0.13</v>
      </c>
      <c r="BR479">
        <v>2</v>
      </c>
      <c r="BS479">
        <v>0.26</v>
      </c>
      <c r="BT479">
        <f>BS479+BD479+AU479+AM479</f>
        <v>1.6600000000000001</v>
      </c>
      <c r="BU479">
        <v>1</v>
      </c>
      <c r="BV479">
        <v>2</v>
      </c>
      <c r="BW479">
        <v>293</v>
      </c>
      <c r="BX479">
        <f>BW479/7</f>
        <v>41.857142857142854</v>
      </c>
      <c r="BY479">
        <f>0.77*BX479</f>
        <v>32.229999999999997</v>
      </c>
      <c r="BZ479">
        <f t="shared" si="7"/>
        <v>33.89</v>
      </c>
    </row>
    <row r="480" spans="1:78">
      <c r="A480" s="1">
        <v>45210.149930046297</v>
      </c>
      <c r="C480">
        <v>479</v>
      </c>
      <c r="D480" s="10">
        <v>34591</v>
      </c>
      <c r="E480">
        <v>29</v>
      </c>
      <c r="F480">
        <v>1</v>
      </c>
      <c r="G480">
        <v>1</v>
      </c>
      <c r="H480">
        <v>4</v>
      </c>
      <c r="I480" s="10">
        <v>44020</v>
      </c>
      <c r="J480">
        <v>1</v>
      </c>
      <c r="K480">
        <v>1</v>
      </c>
      <c r="L480">
        <v>2</v>
      </c>
      <c r="M480">
        <v>3050</v>
      </c>
      <c r="N480">
        <v>2</v>
      </c>
      <c r="O480" s="10">
        <v>43754</v>
      </c>
      <c r="P480">
        <v>0</v>
      </c>
      <c r="Q480">
        <v>38</v>
      </c>
      <c r="R480">
        <v>2</v>
      </c>
      <c r="S480">
        <v>69</v>
      </c>
      <c r="T480">
        <v>160</v>
      </c>
      <c r="U480">
        <v>74</v>
      </c>
      <c r="V480">
        <v>5</v>
      </c>
      <c r="W480">
        <v>1</v>
      </c>
      <c r="X480">
        <v>26.953124999999996</v>
      </c>
      <c r="Y480">
        <v>28.906249999999993</v>
      </c>
      <c r="Z480">
        <v>1.9531249999999964</v>
      </c>
      <c r="AA480">
        <v>3</v>
      </c>
      <c r="AB480">
        <v>3</v>
      </c>
      <c r="AC480" t="s">
        <v>25</v>
      </c>
      <c r="AD480">
        <v>1</v>
      </c>
      <c r="AE480">
        <v>0</v>
      </c>
      <c r="AG480">
        <v>5</v>
      </c>
      <c r="AH480">
        <v>1</v>
      </c>
      <c r="AI480">
        <v>13</v>
      </c>
      <c r="AJ480">
        <v>1</v>
      </c>
      <c r="AK480">
        <v>3</v>
      </c>
      <c r="AL480">
        <v>1</v>
      </c>
      <c r="AM480">
        <f>AJ480*AK480*AL480/7</f>
        <v>0.42857142857142855</v>
      </c>
      <c r="AN480" t="s">
        <v>79</v>
      </c>
      <c r="AO480">
        <v>0</v>
      </c>
      <c r="AV480">
        <f>AU480+AM480</f>
        <v>0.42857142857142855</v>
      </c>
      <c r="AX480">
        <v>0</v>
      </c>
      <c r="BE480">
        <f>AM480+AU480+BD480</f>
        <v>0.42857142857142855</v>
      </c>
      <c r="BG480">
        <v>0</v>
      </c>
      <c r="BH480">
        <v>3</v>
      </c>
      <c r="BI480">
        <v>1</v>
      </c>
      <c r="BJ480" t="s">
        <v>49</v>
      </c>
      <c r="BK480">
        <v>5</v>
      </c>
      <c r="BL480">
        <v>1</v>
      </c>
      <c r="BM480">
        <v>1</v>
      </c>
      <c r="BN480" t="s">
        <v>30</v>
      </c>
      <c r="BO480">
        <v>1</v>
      </c>
      <c r="BP480">
        <v>168</v>
      </c>
      <c r="BQ480">
        <v>0.13</v>
      </c>
      <c r="BR480">
        <v>2</v>
      </c>
      <c r="BS480">
        <v>0.26</v>
      </c>
      <c r="BT480">
        <f>BS480+BD480+AU480+AM480</f>
        <v>0.68857142857142861</v>
      </c>
      <c r="BU480">
        <v>1</v>
      </c>
      <c r="BV480">
        <v>1</v>
      </c>
      <c r="BW480">
        <v>146.5</v>
      </c>
      <c r="BX480">
        <f>BW480/7</f>
        <v>20.928571428571427</v>
      </c>
      <c r="BY480">
        <f>0.77*BX480</f>
        <v>16.114999999999998</v>
      </c>
      <c r="BZ480">
        <f t="shared" si="7"/>
        <v>16.803571428571427</v>
      </c>
    </row>
    <row r="481" spans="1:78">
      <c r="A481" s="1">
        <v>45210.191956736111</v>
      </c>
      <c r="C481">
        <v>480</v>
      </c>
      <c r="D481" s="10">
        <v>30890</v>
      </c>
      <c r="E481">
        <v>39</v>
      </c>
      <c r="F481">
        <v>1</v>
      </c>
      <c r="G481">
        <v>1</v>
      </c>
      <c r="H481">
        <v>4</v>
      </c>
      <c r="I481" s="10">
        <v>43601</v>
      </c>
      <c r="J481">
        <v>2</v>
      </c>
      <c r="K481">
        <v>0</v>
      </c>
      <c r="L481">
        <v>1</v>
      </c>
      <c r="M481">
        <v>2450</v>
      </c>
      <c r="N481">
        <v>1</v>
      </c>
      <c r="O481" s="10">
        <v>43349</v>
      </c>
      <c r="P481">
        <v>0</v>
      </c>
      <c r="Q481">
        <v>36</v>
      </c>
      <c r="R481">
        <v>3</v>
      </c>
      <c r="S481">
        <v>81</v>
      </c>
      <c r="T481">
        <v>162</v>
      </c>
      <c r="U481">
        <v>85</v>
      </c>
      <c r="V481">
        <v>4</v>
      </c>
      <c r="W481">
        <v>1</v>
      </c>
      <c r="X481">
        <v>30.864197530864192</v>
      </c>
      <c r="Y481">
        <v>32.38835543362292</v>
      </c>
      <c r="Z481">
        <v>1.5241579027587271</v>
      </c>
      <c r="AA481">
        <v>4</v>
      </c>
      <c r="AB481">
        <v>4</v>
      </c>
      <c r="AC481" t="s">
        <v>33</v>
      </c>
      <c r="AD481">
        <v>3</v>
      </c>
      <c r="AE481">
        <v>0</v>
      </c>
      <c r="AG481">
        <v>5</v>
      </c>
      <c r="AH481">
        <v>1</v>
      </c>
      <c r="AI481">
        <v>4</v>
      </c>
      <c r="AJ481">
        <v>1</v>
      </c>
      <c r="AK481">
        <v>7</v>
      </c>
      <c r="AL481">
        <v>1</v>
      </c>
      <c r="AM481">
        <f>AJ481*AK481*AL481/7</f>
        <v>1</v>
      </c>
      <c r="AN481" t="s">
        <v>43</v>
      </c>
      <c r="AO481">
        <v>0</v>
      </c>
      <c r="AV481">
        <f>AU481+AM481</f>
        <v>1</v>
      </c>
      <c r="AW481" t="s">
        <v>58</v>
      </c>
      <c r="AX481">
        <v>1</v>
      </c>
      <c r="AY481" t="s">
        <v>58</v>
      </c>
      <c r="AZ481">
        <v>1</v>
      </c>
      <c r="BA481">
        <v>0.8</v>
      </c>
      <c r="BB481">
        <v>7</v>
      </c>
      <c r="BC481">
        <v>1</v>
      </c>
      <c r="BD481">
        <f>BA481*BB481*1/7</f>
        <v>0.8</v>
      </c>
      <c r="BE481">
        <f>AM481+AU481+BD481</f>
        <v>1.8</v>
      </c>
      <c r="BF481" t="s">
        <v>58</v>
      </c>
      <c r="BG481">
        <v>0</v>
      </c>
      <c r="BH481">
        <v>7</v>
      </c>
      <c r="BI481">
        <v>1</v>
      </c>
      <c r="BJ481" t="s">
        <v>228</v>
      </c>
      <c r="BK481">
        <v>4</v>
      </c>
      <c r="BL481">
        <v>3</v>
      </c>
      <c r="BM481">
        <v>1</v>
      </c>
      <c r="BN481" t="s">
        <v>30</v>
      </c>
      <c r="BO481">
        <v>1</v>
      </c>
      <c r="BP481">
        <v>168</v>
      </c>
      <c r="BQ481">
        <v>0.13</v>
      </c>
      <c r="BR481">
        <v>2</v>
      </c>
      <c r="BS481">
        <v>0.26</v>
      </c>
      <c r="BT481">
        <f>BS481+BD481+AU481+AM481</f>
        <v>2.06</v>
      </c>
      <c r="BU481">
        <v>1</v>
      </c>
      <c r="BV481">
        <v>2</v>
      </c>
      <c r="BW481">
        <v>293</v>
      </c>
      <c r="BX481">
        <f>BW481/7</f>
        <v>41.857142857142854</v>
      </c>
      <c r="BY481">
        <f>0.77*BX481</f>
        <v>32.229999999999997</v>
      </c>
      <c r="BZ481">
        <f t="shared" si="7"/>
        <v>34.29</v>
      </c>
    </row>
    <row r="482" spans="1:78">
      <c r="A482" s="1">
        <v>45210.244401493052</v>
      </c>
      <c r="C482">
        <v>481</v>
      </c>
      <c r="D482" s="10">
        <v>31201</v>
      </c>
      <c r="E482">
        <v>38</v>
      </c>
      <c r="F482">
        <v>1</v>
      </c>
      <c r="G482">
        <v>1</v>
      </c>
      <c r="H482">
        <v>4</v>
      </c>
      <c r="I482" s="10">
        <v>44730</v>
      </c>
      <c r="J482">
        <v>4</v>
      </c>
      <c r="K482">
        <v>0</v>
      </c>
      <c r="L482">
        <v>2</v>
      </c>
      <c r="M482">
        <v>3350</v>
      </c>
      <c r="N482">
        <v>2</v>
      </c>
      <c r="O482" s="10">
        <v>44459</v>
      </c>
      <c r="P482">
        <v>1</v>
      </c>
      <c r="Q482">
        <v>38.714285714285715</v>
      </c>
      <c r="R482">
        <v>2</v>
      </c>
      <c r="S482">
        <v>74</v>
      </c>
      <c r="T482">
        <v>155</v>
      </c>
      <c r="U482">
        <v>82</v>
      </c>
      <c r="V482">
        <v>8</v>
      </c>
      <c r="W482">
        <v>2</v>
      </c>
      <c r="X482">
        <v>30.801248699271589</v>
      </c>
      <c r="Y482">
        <v>34.131113423517164</v>
      </c>
      <c r="Z482">
        <v>3.3298647242455743</v>
      </c>
      <c r="AA482">
        <v>4</v>
      </c>
      <c r="AB482">
        <v>4</v>
      </c>
      <c r="AC482" t="s">
        <v>25</v>
      </c>
      <c r="AD482">
        <v>1</v>
      </c>
      <c r="AE482">
        <v>0</v>
      </c>
      <c r="AG482">
        <v>5</v>
      </c>
      <c r="AH482">
        <v>1</v>
      </c>
      <c r="AI482">
        <v>4</v>
      </c>
      <c r="AJ482">
        <v>1</v>
      </c>
      <c r="AK482">
        <v>7</v>
      </c>
      <c r="AL482">
        <v>1</v>
      </c>
      <c r="AM482">
        <f>AJ482*AK482*AL482/7</f>
        <v>1</v>
      </c>
      <c r="AN482" t="s">
        <v>43</v>
      </c>
      <c r="AO482">
        <v>0</v>
      </c>
      <c r="AV482">
        <f>AU482+AM482</f>
        <v>1</v>
      </c>
      <c r="AX482">
        <v>0</v>
      </c>
      <c r="BE482">
        <f>AM482+AU482+BD482</f>
        <v>1</v>
      </c>
      <c r="BG482">
        <v>0</v>
      </c>
      <c r="BJ482" t="s">
        <v>49</v>
      </c>
      <c r="BK482">
        <v>5</v>
      </c>
      <c r="BL482">
        <v>1</v>
      </c>
      <c r="BM482">
        <v>1</v>
      </c>
      <c r="BN482" t="s">
        <v>30</v>
      </c>
      <c r="BO482">
        <v>1</v>
      </c>
      <c r="BP482">
        <v>168</v>
      </c>
      <c r="BQ482">
        <v>0.13</v>
      </c>
      <c r="BR482">
        <v>2</v>
      </c>
      <c r="BS482">
        <v>0.26</v>
      </c>
      <c r="BT482">
        <f>BS482+BD482+AU482+AM482</f>
        <v>1.26</v>
      </c>
      <c r="BU482">
        <v>1</v>
      </c>
      <c r="BV482">
        <v>1</v>
      </c>
      <c r="BW482">
        <v>146.5</v>
      </c>
      <c r="BX482">
        <f>BW482/7</f>
        <v>20.928571428571427</v>
      </c>
      <c r="BY482">
        <f>0.77*BX482</f>
        <v>16.114999999999998</v>
      </c>
      <c r="BZ482">
        <f t="shared" si="7"/>
        <v>17.375</v>
      </c>
    </row>
    <row r="483" spans="1:78">
      <c r="A483" s="1">
        <v>45210.33469743056</v>
      </c>
      <c r="C483">
        <v>482</v>
      </c>
      <c r="D483" s="10">
        <v>32286</v>
      </c>
      <c r="E483">
        <v>35</v>
      </c>
      <c r="F483">
        <v>1</v>
      </c>
      <c r="G483">
        <v>1</v>
      </c>
      <c r="H483">
        <v>5</v>
      </c>
      <c r="I483" s="10">
        <v>43056</v>
      </c>
      <c r="J483">
        <v>1</v>
      </c>
      <c r="K483">
        <v>1</v>
      </c>
      <c r="L483">
        <v>1</v>
      </c>
      <c r="M483">
        <v>2850</v>
      </c>
      <c r="N483">
        <v>2</v>
      </c>
      <c r="O483" s="10">
        <v>42783</v>
      </c>
      <c r="P483">
        <v>0</v>
      </c>
      <c r="Q483">
        <v>39</v>
      </c>
      <c r="R483">
        <v>2</v>
      </c>
      <c r="S483">
        <v>62</v>
      </c>
      <c r="T483">
        <v>167</v>
      </c>
      <c r="U483">
        <v>73</v>
      </c>
      <c r="V483">
        <v>11</v>
      </c>
      <c r="W483">
        <v>1</v>
      </c>
      <c r="X483">
        <v>22.230987127541326</v>
      </c>
      <c r="Y483">
        <v>26.175194521137367</v>
      </c>
      <c r="Z483">
        <v>3.9442073935960416</v>
      </c>
      <c r="AA483">
        <v>2</v>
      </c>
      <c r="AB483">
        <v>3</v>
      </c>
      <c r="AC483" t="s">
        <v>33</v>
      </c>
      <c r="AD483">
        <v>3</v>
      </c>
      <c r="AE483">
        <v>0</v>
      </c>
      <c r="AG483">
        <v>5</v>
      </c>
      <c r="AH483">
        <v>1</v>
      </c>
      <c r="AI483">
        <v>2</v>
      </c>
      <c r="AJ483">
        <v>5</v>
      </c>
      <c r="AK483">
        <v>7</v>
      </c>
      <c r="AL483">
        <v>1</v>
      </c>
      <c r="AM483">
        <f>AJ483*AK483*AL483/7</f>
        <v>5</v>
      </c>
      <c r="AN483" t="s">
        <v>57</v>
      </c>
      <c r="AO483">
        <v>0</v>
      </c>
      <c r="AV483">
        <f>AU483+AM483</f>
        <v>5</v>
      </c>
      <c r="AW483" t="s">
        <v>245</v>
      </c>
      <c r="AX483">
        <v>0</v>
      </c>
      <c r="BE483">
        <f>AM483+AU483+BD483</f>
        <v>5</v>
      </c>
      <c r="BF483" t="s">
        <v>245</v>
      </c>
      <c r="BG483">
        <v>1</v>
      </c>
      <c r="BH483">
        <v>7</v>
      </c>
      <c r="BI483">
        <v>1</v>
      </c>
      <c r="BJ483" t="s">
        <v>42</v>
      </c>
      <c r="BK483">
        <v>6</v>
      </c>
      <c r="BL483">
        <v>1</v>
      </c>
      <c r="BM483">
        <v>1</v>
      </c>
      <c r="BN483" t="s">
        <v>55</v>
      </c>
      <c r="BO483">
        <v>2</v>
      </c>
      <c r="BP483">
        <v>67</v>
      </c>
      <c r="BQ483">
        <v>0.1</v>
      </c>
      <c r="BR483">
        <v>1</v>
      </c>
      <c r="BS483">
        <v>0.1</v>
      </c>
      <c r="BT483">
        <f>BS483+BD483+AU483+AM483</f>
        <v>5.0999999999999996</v>
      </c>
      <c r="BU483">
        <v>1</v>
      </c>
      <c r="BV483">
        <v>3</v>
      </c>
      <c r="BW483">
        <v>439.5</v>
      </c>
      <c r="BX483">
        <f>BW483/7</f>
        <v>62.785714285714285</v>
      </c>
      <c r="BY483">
        <f>0.77*BX483</f>
        <v>48.344999999999999</v>
      </c>
      <c r="BZ483">
        <f t="shared" si="7"/>
        <v>53.445</v>
      </c>
    </row>
    <row r="484" spans="1:78">
      <c r="A484" s="1">
        <v>45210.444696550927</v>
      </c>
      <c r="C484">
        <v>483</v>
      </c>
      <c r="D484" s="10">
        <v>32445</v>
      </c>
      <c r="E484">
        <v>34</v>
      </c>
      <c r="F484">
        <v>1</v>
      </c>
      <c r="G484">
        <v>2</v>
      </c>
      <c r="H484">
        <v>4</v>
      </c>
      <c r="I484" s="10">
        <v>44923</v>
      </c>
      <c r="J484">
        <v>2</v>
      </c>
      <c r="K484">
        <v>0</v>
      </c>
      <c r="L484">
        <v>1</v>
      </c>
      <c r="M484">
        <v>3100</v>
      </c>
      <c r="N484">
        <v>2</v>
      </c>
      <c r="O484" s="10">
        <v>44657</v>
      </c>
      <c r="P484">
        <v>0</v>
      </c>
      <c r="Q484">
        <v>38</v>
      </c>
      <c r="R484">
        <v>2</v>
      </c>
      <c r="S484">
        <v>67</v>
      </c>
      <c r="T484">
        <v>162</v>
      </c>
      <c r="U484">
        <v>80</v>
      </c>
      <c r="V484">
        <v>13</v>
      </c>
      <c r="W484">
        <v>3</v>
      </c>
      <c r="X484">
        <v>25.529644871208653</v>
      </c>
      <c r="Y484">
        <v>30.48315805517451</v>
      </c>
      <c r="Z484">
        <v>4.9535131839658568</v>
      </c>
      <c r="AA484">
        <v>3</v>
      </c>
      <c r="AB484">
        <v>4</v>
      </c>
      <c r="AC484" t="s">
        <v>33</v>
      </c>
      <c r="AD484">
        <v>3</v>
      </c>
      <c r="AE484">
        <v>0</v>
      </c>
      <c r="AG484">
        <v>5</v>
      </c>
      <c r="AH484">
        <v>1</v>
      </c>
      <c r="AI484">
        <v>1</v>
      </c>
      <c r="AJ484">
        <v>1</v>
      </c>
      <c r="AK484">
        <v>7</v>
      </c>
      <c r="AL484">
        <v>1</v>
      </c>
      <c r="AM484">
        <f>AJ484*AK484*AL484/7</f>
        <v>1</v>
      </c>
      <c r="AN484" t="s">
        <v>56</v>
      </c>
      <c r="AO484">
        <v>0</v>
      </c>
      <c r="AV484">
        <f>AU484+AM484</f>
        <v>1</v>
      </c>
      <c r="AW484" t="s">
        <v>58</v>
      </c>
      <c r="AX484">
        <v>1</v>
      </c>
      <c r="AY484" t="s">
        <v>58</v>
      </c>
      <c r="AZ484">
        <v>1</v>
      </c>
      <c r="BA484">
        <v>0.8</v>
      </c>
      <c r="BB484">
        <v>7</v>
      </c>
      <c r="BC484">
        <v>1</v>
      </c>
      <c r="BD484">
        <f>BA484*BB484*1/7</f>
        <v>0.8</v>
      </c>
      <c r="BE484">
        <f>AM484+AU484+BD484</f>
        <v>1.8</v>
      </c>
      <c r="BF484" t="s">
        <v>58</v>
      </c>
      <c r="BG484">
        <v>0</v>
      </c>
      <c r="BH484">
        <v>7</v>
      </c>
      <c r="BI484">
        <v>1</v>
      </c>
      <c r="BJ484" t="s">
        <v>28</v>
      </c>
      <c r="BK484">
        <v>3</v>
      </c>
      <c r="BL484">
        <v>1</v>
      </c>
      <c r="BM484">
        <v>1</v>
      </c>
      <c r="BN484" t="s">
        <v>55</v>
      </c>
      <c r="BO484">
        <v>2</v>
      </c>
      <c r="BP484">
        <v>134</v>
      </c>
      <c r="BQ484">
        <v>0.1</v>
      </c>
      <c r="BR484">
        <v>2</v>
      </c>
      <c r="BS484">
        <v>0.2</v>
      </c>
      <c r="BT484">
        <f>BS484+BD484+AU484+AM484</f>
        <v>2</v>
      </c>
      <c r="BU484">
        <v>1</v>
      </c>
      <c r="BV484">
        <v>1</v>
      </c>
      <c r="BW484">
        <v>146.5</v>
      </c>
      <c r="BX484">
        <f>BW484/7</f>
        <v>20.928571428571427</v>
      </c>
      <c r="BY484">
        <f>0.77*BX484</f>
        <v>16.114999999999998</v>
      </c>
      <c r="BZ484">
        <f t="shared" si="7"/>
        <v>18.114999999999998</v>
      </c>
    </row>
    <row r="485" spans="1:78">
      <c r="A485" s="1">
        <v>45210.5192134838</v>
      </c>
      <c r="C485">
        <v>484</v>
      </c>
      <c r="D485" s="10">
        <v>33422</v>
      </c>
      <c r="E485">
        <v>32</v>
      </c>
      <c r="F485">
        <v>1</v>
      </c>
      <c r="G485">
        <v>4</v>
      </c>
      <c r="H485">
        <v>5</v>
      </c>
      <c r="I485" s="10">
        <v>44065</v>
      </c>
      <c r="J485">
        <v>1</v>
      </c>
      <c r="K485">
        <v>1</v>
      </c>
      <c r="L485">
        <v>2</v>
      </c>
      <c r="M485">
        <v>3790</v>
      </c>
      <c r="N485">
        <v>2</v>
      </c>
      <c r="O485" s="10">
        <v>43792</v>
      </c>
      <c r="P485">
        <v>0</v>
      </c>
      <c r="Q485">
        <v>39</v>
      </c>
      <c r="R485">
        <v>2</v>
      </c>
      <c r="S485">
        <v>74</v>
      </c>
      <c r="T485">
        <v>170</v>
      </c>
      <c r="U485">
        <v>79</v>
      </c>
      <c r="V485">
        <v>5</v>
      </c>
      <c r="W485">
        <v>1</v>
      </c>
      <c r="X485">
        <v>25.605536332179934</v>
      </c>
      <c r="Y485">
        <v>27.335640138408309</v>
      </c>
      <c r="Z485">
        <v>1.7301038062283745</v>
      </c>
      <c r="AA485">
        <v>3</v>
      </c>
      <c r="AB485">
        <v>3</v>
      </c>
      <c r="AC485" t="s">
        <v>33</v>
      </c>
      <c r="AD485">
        <v>3</v>
      </c>
      <c r="AE485">
        <v>1</v>
      </c>
      <c r="AF485" t="s">
        <v>349</v>
      </c>
      <c r="AG485">
        <v>1</v>
      </c>
      <c r="AH485">
        <v>1</v>
      </c>
      <c r="AI485">
        <v>5</v>
      </c>
      <c r="AJ485">
        <v>5</v>
      </c>
      <c r="AK485">
        <v>7</v>
      </c>
      <c r="AL485">
        <v>1</v>
      </c>
      <c r="AM485">
        <f>AJ485*AK485*AL485/7</f>
        <v>5</v>
      </c>
      <c r="AN485" t="s">
        <v>27</v>
      </c>
      <c r="AO485">
        <v>0</v>
      </c>
      <c r="AV485">
        <f>AU485+AM485</f>
        <v>5</v>
      </c>
      <c r="AW485" t="s">
        <v>128</v>
      </c>
      <c r="AX485">
        <v>1</v>
      </c>
      <c r="AY485" t="s">
        <v>128</v>
      </c>
      <c r="AZ485">
        <v>4</v>
      </c>
      <c r="BA485">
        <v>0.2</v>
      </c>
      <c r="BB485">
        <v>7</v>
      </c>
      <c r="BC485">
        <v>1</v>
      </c>
      <c r="BD485">
        <f>BA485*BB485*1/7</f>
        <v>0.2</v>
      </c>
      <c r="BE485">
        <f>AM485+AU485+BD485</f>
        <v>5.2</v>
      </c>
      <c r="BF485" t="s">
        <v>128</v>
      </c>
      <c r="BG485">
        <v>0</v>
      </c>
      <c r="BH485">
        <v>7</v>
      </c>
      <c r="BI485">
        <v>1</v>
      </c>
      <c r="BJ485" t="s">
        <v>36</v>
      </c>
      <c r="BK485">
        <v>4</v>
      </c>
      <c r="BL485">
        <v>1</v>
      </c>
      <c r="BM485">
        <v>1</v>
      </c>
      <c r="BN485" t="s">
        <v>30</v>
      </c>
      <c r="BO485">
        <v>1</v>
      </c>
      <c r="BP485">
        <v>252</v>
      </c>
      <c r="BQ485">
        <v>0.13</v>
      </c>
      <c r="BR485">
        <v>3</v>
      </c>
      <c r="BS485">
        <v>0.39</v>
      </c>
      <c r="BT485">
        <f>BS485+BD485+AU485+AM485</f>
        <v>5.59</v>
      </c>
      <c r="BU485">
        <v>1</v>
      </c>
      <c r="BV485">
        <v>2</v>
      </c>
      <c r="BW485">
        <v>293</v>
      </c>
      <c r="BX485">
        <f>BW485/7</f>
        <v>41.857142857142854</v>
      </c>
      <c r="BY485">
        <f>0.77*BX485</f>
        <v>32.229999999999997</v>
      </c>
      <c r="BZ485">
        <f t="shared" si="7"/>
        <v>37.819999999999993</v>
      </c>
    </row>
    <row r="486" spans="1:78">
      <c r="A486" s="1">
        <v>45210.535699386572</v>
      </c>
      <c r="C486">
        <v>485</v>
      </c>
      <c r="D486" s="10">
        <v>33600</v>
      </c>
      <c r="E486">
        <v>31</v>
      </c>
      <c r="F486">
        <v>1</v>
      </c>
      <c r="G486">
        <v>1</v>
      </c>
      <c r="H486">
        <v>4</v>
      </c>
      <c r="I486" s="10">
        <v>45110</v>
      </c>
      <c r="J486">
        <v>3</v>
      </c>
      <c r="K486">
        <v>0</v>
      </c>
      <c r="L486">
        <v>1</v>
      </c>
      <c r="M486">
        <v>3430</v>
      </c>
      <c r="N486">
        <v>2</v>
      </c>
      <c r="O486" s="10">
        <v>44830</v>
      </c>
      <c r="P486">
        <v>0</v>
      </c>
      <c r="Q486">
        <v>40</v>
      </c>
      <c r="R486">
        <v>2</v>
      </c>
      <c r="S486">
        <v>102</v>
      </c>
      <c r="T486">
        <v>167</v>
      </c>
      <c r="U486">
        <v>110</v>
      </c>
      <c r="V486">
        <v>8</v>
      </c>
      <c r="W486">
        <v>2</v>
      </c>
      <c r="X486">
        <v>36.573559467890568</v>
      </c>
      <c r="Y486">
        <v>39.442073935960416</v>
      </c>
      <c r="Z486">
        <v>2.8685144680698471</v>
      </c>
      <c r="AA486">
        <v>4</v>
      </c>
      <c r="AB486">
        <v>4</v>
      </c>
      <c r="AC486" t="s">
        <v>50</v>
      </c>
      <c r="AD486">
        <v>2</v>
      </c>
      <c r="AE486">
        <v>0</v>
      </c>
      <c r="AG486">
        <v>5</v>
      </c>
      <c r="AH486">
        <v>1</v>
      </c>
      <c r="AI486">
        <v>13</v>
      </c>
      <c r="AJ486">
        <v>1</v>
      </c>
      <c r="AK486">
        <v>7</v>
      </c>
      <c r="AL486">
        <v>1</v>
      </c>
      <c r="AM486">
        <f>AJ486*AK486*AL486/7</f>
        <v>1</v>
      </c>
      <c r="AN486" t="s">
        <v>79</v>
      </c>
      <c r="AO486">
        <v>0</v>
      </c>
      <c r="AV486">
        <f>AU486+AM486</f>
        <v>1</v>
      </c>
      <c r="AX486">
        <v>0</v>
      </c>
      <c r="BE486">
        <f>AM486+AU486+BD486</f>
        <v>1</v>
      </c>
      <c r="BG486">
        <v>0</v>
      </c>
      <c r="BJ486" t="s">
        <v>49</v>
      </c>
      <c r="BK486">
        <v>5</v>
      </c>
      <c r="BL486">
        <v>1</v>
      </c>
      <c r="BM486">
        <v>1</v>
      </c>
      <c r="BN486" t="s">
        <v>30</v>
      </c>
      <c r="BO486">
        <v>1</v>
      </c>
      <c r="BP486">
        <v>168</v>
      </c>
      <c r="BQ486">
        <v>0.13</v>
      </c>
      <c r="BR486">
        <v>2</v>
      </c>
      <c r="BS486">
        <v>0.26</v>
      </c>
      <c r="BT486">
        <f>BS486+BD486+AU486+AM486</f>
        <v>1.26</v>
      </c>
      <c r="BU486">
        <v>1</v>
      </c>
      <c r="BV486">
        <v>2</v>
      </c>
      <c r="BW486">
        <v>293</v>
      </c>
      <c r="BX486">
        <f>BW486/7</f>
        <v>41.857142857142854</v>
      </c>
      <c r="BY486">
        <f>0.77*BX486</f>
        <v>32.229999999999997</v>
      </c>
      <c r="BZ486">
        <f t="shared" si="7"/>
        <v>33.489999999999995</v>
      </c>
    </row>
    <row r="487" spans="1:78">
      <c r="A487" s="1">
        <v>45210.545692511572</v>
      </c>
      <c r="C487">
        <v>486</v>
      </c>
      <c r="D487" s="10">
        <v>30278</v>
      </c>
      <c r="E487">
        <v>40</v>
      </c>
      <c r="F487">
        <v>1</v>
      </c>
      <c r="G487">
        <v>1</v>
      </c>
      <c r="H487">
        <v>4</v>
      </c>
      <c r="I487" s="10">
        <v>44617</v>
      </c>
      <c r="J487">
        <v>2</v>
      </c>
      <c r="K487">
        <v>0</v>
      </c>
      <c r="L487">
        <v>1</v>
      </c>
      <c r="M487">
        <v>3650</v>
      </c>
      <c r="N487">
        <v>2</v>
      </c>
      <c r="O487" s="10">
        <v>44337</v>
      </c>
      <c r="P487">
        <v>1</v>
      </c>
      <c r="Q487">
        <v>40</v>
      </c>
      <c r="R487">
        <v>2</v>
      </c>
      <c r="S487">
        <v>58</v>
      </c>
      <c r="T487">
        <v>154</v>
      </c>
      <c r="U487">
        <v>65</v>
      </c>
      <c r="V487">
        <v>7</v>
      </c>
      <c r="W487">
        <v>1</v>
      </c>
      <c r="X487">
        <v>24.456063417102378</v>
      </c>
      <c r="Y487">
        <v>27.407657277787148</v>
      </c>
      <c r="Z487">
        <v>2.9515938606847705</v>
      </c>
      <c r="AA487">
        <v>2</v>
      </c>
      <c r="AB487">
        <v>3</v>
      </c>
      <c r="AC487" t="s">
        <v>33</v>
      </c>
      <c r="AD487">
        <v>3</v>
      </c>
      <c r="AE487">
        <v>0</v>
      </c>
      <c r="AG487">
        <v>5</v>
      </c>
      <c r="AH487">
        <v>0</v>
      </c>
      <c r="AI487">
        <v>0</v>
      </c>
      <c r="AN487" t="s">
        <v>71</v>
      </c>
      <c r="AO487">
        <v>0</v>
      </c>
      <c r="AW487" t="s">
        <v>71</v>
      </c>
      <c r="AX487">
        <v>1</v>
      </c>
      <c r="AY487" t="s">
        <v>71</v>
      </c>
      <c r="AZ487">
        <v>5</v>
      </c>
      <c r="BA487">
        <v>0.4</v>
      </c>
      <c r="BB487">
        <v>7</v>
      </c>
      <c r="BC487">
        <v>1</v>
      </c>
      <c r="BD487">
        <f>BA487*BB487*1/7</f>
        <v>0.4</v>
      </c>
      <c r="BE487">
        <f>AM487+AU487+BD487</f>
        <v>0.4</v>
      </c>
      <c r="BF487" t="s">
        <v>71</v>
      </c>
      <c r="BG487">
        <v>0</v>
      </c>
      <c r="BH487">
        <v>7</v>
      </c>
      <c r="BI487">
        <v>1</v>
      </c>
      <c r="BJ487" t="s">
        <v>42</v>
      </c>
      <c r="BK487">
        <v>6</v>
      </c>
      <c r="BL487">
        <v>1</v>
      </c>
      <c r="BM487">
        <v>1</v>
      </c>
      <c r="BN487" t="s">
        <v>30</v>
      </c>
      <c r="BO487">
        <v>1</v>
      </c>
      <c r="BP487">
        <v>84</v>
      </c>
      <c r="BQ487">
        <v>0.13</v>
      </c>
      <c r="BR487">
        <v>1</v>
      </c>
      <c r="BS487">
        <v>0.13</v>
      </c>
      <c r="BT487">
        <f>BS487+BD487+AU487+AM487</f>
        <v>0.53</v>
      </c>
      <c r="BU487">
        <v>1</v>
      </c>
      <c r="BV487">
        <v>0.5</v>
      </c>
      <c r="BW487">
        <v>73.25</v>
      </c>
      <c r="BX487">
        <f>BW487/7</f>
        <v>10.464285714285714</v>
      </c>
      <c r="BY487">
        <f>0.77*BX487</f>
        <v>8.0574999999999992</v>
      </c>
      <c r="BZ487">
        <f t="shared" si="7"/>
        <v>8.5874999999999986</v>
      </c>
    </row>
    <row r="488" spans="1:78">
      <c r="A488" s="1">
        <v>45210.550369108794</v>
      </c>
      <c r="C488">
        <v>487</v>
      </c>
      <c r="D488" s="10">
        <v>32299</v>
      </c>
      <c r="E488">
        <v>35</v>
      </c>
      <c r="F488">
        <v>1</v>
      </c>
      <c r="G488">
        <v>6</v>
      </c>
      <c r="H488">
        <v>4</v>
      </c>
      <c r="I488" s="10">
        <v>45082</v>
      </c>
      <c r="J488">
        <v>1</v>
      </c>
      <c r="K488">
        <v>1</v>
      </c>
      <c r="L488">
        <v>2</v>
      </c>
      <c r="M488">
        <v>4520</v>
      </c>
      <c r="N488">
        <v>3</v>
      </c>
      <c r="O488" s="10">
        <v>44802</v>
      </c>
      <c r="P488">
        <v>0</v>
      </c>
      <c r="Q488">
        <v>40</v>
      </c>
      <c r="R488">
        <v>2</v>
      </c>
      <c r="S488">
        <v>82</v>
      </c>
      <c r="T488">
        <v>164</v>
      </c>
      <c r="U488">
        <v>89</v>
      </c>
      <c r="V488">
        <v>7</v>
      </c>
      <c r="W488">
        <v>2</v>
      </c>
      <c r="X488">
        <v>30.487804878048784</v>
      </c>
      <c r="Y488">
        <v>33.090422367638318</v>
      </c>
      <c r="Z488">
        <v>2.6026174895895338</v>
      </c>
      <c r="AA488">
        <v>4</v>
      </c>
      <c r="AB488">
        <v>4</v>
      </c>
      <c r="AC488" t="s">
        <v>33</v>
      </c>
      <c r="AD488">
        <v>3</v>
      </c>
      <c r="AE488">
        <v>0</v>
      </c>
      <c r="AG488">
        <v>5</v>
      </c>
      <c r="AH488">
        <v>1</v>
      </c>
      <c r="AI488">
        <v>13</v>
      </c>
      <c r="AJ488">
        <v>1</v>
      </c>
      <c r="AK488">
        <v>7</v>
      </c>
      <c r="AL488">
        <v>1</v>
      </c>
      <c r="AM488">
        <f>AJ488*AK488*AL488/7</f>
        <v>1</v>
      </c>
      <c r="AN488" t="s">
        <v>79</v>
      </c>
      <c r="AO488">
        <v>0</v>
      </c>
      <c r="AV488">
        <f>AU488+AM488</f>
        <v>1</v>
      </c>
      <c r="AX488">
        <v>0</v>
      </c>
      <c r="BE488">
        <f>AM488+AU488+BD488</f>
        <v>1</v>
      </c>
      <c r="BG488">
        <v>0</v>
      </c>
      <c r="BJ488" t="s">
        <v>49</v>
      </c>
      <c r="BK488">
        <v>5</v>
      </c>
      <c r="BL488">
        <v>1</v>
      </c>
      <c r="BM488">
        <v>1</v>
      </c>
      <c r="BN488" t="s">
        <v>55</v>
      </c>
      <c r="BO488">
        <v>2</v>
      </c>
      <c r="BP488">
        <v>134</v>
      </c>
      <c r="BQ488">
        <v>0.1</v>
      </c>
      <c r="BR488">
        <v>2</v>
      </c>
      <c r="BS488">
        <v>0.2</v>
      </c>
      <c r="BT488">
        <f>BS488+BD488+AU488+AM488</f>
        <v>1.2</v>
      </c>
      <c r="BU488">
        <v>1</v>
      </c>
      <c r="BV488">
        <v>2</v>
      </c>
      <c r="BW488">
        <v>293</v>
      </c>
      <c r="BX488">
        <f>BW488/7</f>
        <v>41.857142857142854</v>
      </c>
      <c r="BY488">
        <f>0.77*BX488</f>
        <v>32.229999999999997</v>
      </c>
      <c r="BZ488">
        <f t="shared" si="7"/>
        <v>33.43</v>
      </c>
    </row>
    <row r="489" spans="1:78">
      <c r="A489" s="1">
        <v>45210.559157025462</v>
      </c>
      <c r="B489" t="s">
        <v>865</v>
      </c>
      <c r="C489">
        <v>488</v>
      </c>
      <c r="D489" s="10">
        <v>32146</v>
      </c>
      <c r="E489">
        <v>35</v>
      </c>
      <c r="F489">
        <v>1</v>
      </c>
      <c r="G489">
        <v>1</v>
      </c>
      <c r="H489">
        <v>4</v>
      </c>
      <c r="I489" s="10">
        <v>44913</v>
      </c>
      <c r="J489">
        <v>1</v>
      </c>
      <c r="K489">
        <v>1</v>
      </c>
      <c r="L489">
        <v>1</v>
      </c>
      <c r="M489">
        <v>3194</v>
      </c>
      <c r="N489">
        <v>2</v>
      </c>
      <c r="O489" s="10">
        <v>44640</v>
      </c>
      <c r="P489">
        <v>0</v>
      </c>
      <c r="Q489">
        <v>39</v>
      </c>
      <c r="R489">
        <v>2</v>
      </c>
      <c r="S489">
        <v>54</v>
      </c>
      <c r="T489">
        <v>152</v>
      </c>
      <c r="U489">
        <v>65</v>
      </c>
      <c r="V489">
        <v>11</v>
      </c>
      <c r="W489">
        <v>1</v>
      </c>
      <c r="X489">
        <v>23.372576177285318</v>
      </c>
      <c r="Y489">
        <v>28.133656509695292</v>
      </c>
      <c r="Z489">
        <v>4.7610803324099749</v>
      </c>
      <c r="AA489">
        <v>2</v>
      </c>
      <c r="AB489">
        <v>3</v>
      </c>
      <c r="AC489" t="s">
        <v>33</v>
      </c>
      <c r="AD489">
        <v>3</v>
      </c>
      <c r="AE489">
        <v>0</v>
      </c>
      <c r="AG489">
        <v>5</v>
      </c>
      <c r="AH489">
        <v>1</v>
      </c>
      <c r="AI489">
        <v>4</v>
      </c>
      <c r="AJ489">
        <v>1</v>
      </c>
      <c r="AK489">
        <v>7</v>
      </c>
      <c r="AL489">
        <v>1</v>
      </c>
      <c r="AM489">
        <f>AJ489*AK489*AL489/7</f>
        <v>1</v>
      </c>
      <c r="AN489" t="s">
        <v>43</v>
      </c>
      <c r="AO489">
        <v>0</v>
      </c>
      <c r="AV489">
        <f>AU489+AM489</f>
        <v>1</v>
      </c>
      <c r="AW489" t="s">
        <v>632</v>
      </c>
      <c r="AX489">
        <v>1</v>
      </c>
      <c r="AY489" t="s">
        <v>632</v>
      </c>
      <c r="AZ489">
        <v>16</v>
      </c>
      <c r="BA489" t="s">
        <v>258</v>
      </c>
      <c r="BB489">
        <v>7</v>
      </c>
      <c r="BC489">
        <v>1</v>
      </c>
      <c r="BE489">
        <f>AM489+AU489+BD489</f>
        <v>1</v>
      </c>
      <c r="BF489" t="s">
        <v>632</v>
      </c>
      <c r="BG489" t="s">
        <v>258</v>
      </c>
      <c r="BH489">
        <v>7</v>
      </c>
      <c r="BI489">
        <v>1</v>
      </c>
      <c r="BJ489" t="s">
        <v>49</v>
      </c>
      <c r="BK489">
        <v>5</v>
      </c>
      <c r="BL489">
        <v>2</v>
      </c>
      <c r="BM489">
        <v>1</v>
      </c>
      <c r="BN489" t="s">
        <v>59</v>
      </c>
      <c r="BO489">
        <v>3</v>
      </c>
      <c r="BP489">
        <v>28</v>
      </c>
      <c r="BQ489">
        <v>0.08</v>
      </c>
      <c r="BR489">
        <v>0.5</v>
      </c>
      <c r="BS489">
        <v>0.04</v>
      </c>
      <c r="BT489">
        <f>BS489+BD489+AU489+AM489</f>
        <v>1.04</v>
      </c>
      <c r="BU489">
        <v>1</v>
      </c>
      <c r="BV489">
        <v>1</v>
      </c>
      <c r="BW489">
        <v>146.5</v>
      </c>
      <c r="BX489">
        <f>BW489/7</f>
        <v>20.928571428571427</v>
      </c>
      <c r="BY489">
        <f>0.77*BX489</f>
        <v>16.114999999999998</v>
      </c>
      <c r="BZ489">
        <f t="shared" si="7"/>
        <v>17.154999999999998</v>
      </c>
    </row>
    <row r="490" spans="1:78">
      <c r="A490" s="1">
        <v>45210.632864710649</v>
      </c>
      <c r="C490">
        <v>489</v>
      </c>
      <c r="D490" s="10">
        <v>36204</v>
      </c>
      <c r="E490">
        <v>24</v>
      </c>
      <c r="F490">
        <v>1</v>
      </c>
      <c r="G490">
        <v>9</v>
      </c>
      <c r="H490">
        <v>4</v>
      </c>
      <c r="I490" s="10">
        <v>44426</v>
      </c>
      <c r="J490">
        <v>1</v>
      </c>
      <c r="K490">
        <v>1</v>
      </c>
      <c r="L490">
        <v>1</v>
      </c>
      <c r="M490">
        <v>3415</v>
      </c>
      <c r="N490">
        <v>2</v>
      </c>
      <c r="O490" s="10">
        <v>44153</v>
      </c>
      <c r="P490">
        <v>1</v>
      </c>
      <c r="Q490">
        <v>39</v>
      </c>
      <c r="R490">
        <v>2</v>
      </c>
      <c r="S490">
        <v>62</v>
      </c>
      <c r="T490">
        <v>163</v>
      </c>
      <c r="U490">
        <v>70</v>
      </c>
      <c r="V490">
        <v>8</v>
      </c>
      <c r="W490">
        <v>1</v>
      </c>
      <c r="X490">
        <v>23.335466144755166</v>
      </c>
      <c r="Y490">
        <v>26.346494034400994</v>
      </c>
      <c r="Z490">
        <v>3.0110278896458276</v>
      </c>
      <c r="AA490">
        <v>2</v>
      </c>
      <c r="AB490">
        <v>3</v>
      </c>
      <c r="AC490" t="s">
        <v>33</v>
      </c>
      <c r="AD490">
        <v>3</v>
      </c>
      <c r="AE490">
        <v>0</v>
      </c>
      <c r="AG490">
        <v>5</v>
      </c>
      <c r="AH490">
        <v>0</v>
      </c>
      <c r="AI490">
        <v>0</v>
      </c>
      <c r="AN490" t="s">
        <v>41</v>
      </c>
      <c r="AO490">
        <v>0</v>
      </c>
      <c r="AW490" t="s">
        <v>58</v>
      </c>
      <c r="AX490">
        <v>1</v>
      </c>
      <c r="AY490" t="s">
        <v>58</v>
      </c>
      <c r="AZ490">
        <v>1</v>
      </c>
      <c r="BA490">
        <v>0.8</v>
      </c>
      <c r="BB490">
        <v>7</v>
      </c>
      <c r="BC490">
        <v>1</v>
      </c>
      <c r="BD490">
        <f>BA490*BB490*1/7</f>
        <v>0.8</v>
      </c>
      <c r="BE490">
        <f>AM490+AU490+BD490</f>
        <v>0.8</v>
      </c>
      <c r="BF490" t="s">
        <v>58</v>
      </c>
      <c r="BG490">
        <v>0</v>
      </c>
      <c r="BH490">
        <v>7</v>
      </c>
      <c r="BI490">
        <v>1</v>
      </c>
      <c r="BJ490" t="s">
        <v>42</v>
      </c>
      <c r="BK490">
        <v>6</v>
      </c>
      <c r="BL490">
        <v>1</v>
      </c>
      <c r="BM490">
        <v>1</v>
      </c>
      <c r="BN490" t="s">
        <v>63</v>
      </c>
      <c r="BO490">
        <v>5</v>
      </c>
      <c r="BP490">
        <v>24</v>
      </c>
      <c r="BQ490">
        <v>0.06</v>
      </c>
      <c r="BR490">
        <v>0.5</v>
      </c>
      <c r="BS490">
        <v>0.03</v>
      </c>
      <c r="BT490">
        <f>BS490+BD490+AU490+AM490</f>
        <v>0.83000000000000007</v>
      </c>
      <c r="BU490">
        <v>1</v>
      </c>
      <c r="BV490">
        <v>2</v>
      </c>
      <c r="BW490">
        <v>293</v>
      </c>
      <c r="BX490">
        <f>BW490/7</f>
        <v>41.857142857142854</v>
      </c>
      <c r="BY490">
        <f>0.77*BX490</f>
        <v>32.229999999999997</v>
      </c>
      <c r="BZ490">
        <f t="shared" si="7"/>
        <v>33.059999999999995</v>
      </c>
    </row>
    <row r="491" spans="1:78">
      <c r="A491" s="1">
        <v>45210.670560185186</v>
      </c>
      <c r="C491">
        <v>490</v>
      </c>
      <c r="D491" s="10">
        <v>36633</v>
      </c>
      <c r="E491">
        <v>23</v>
      </c>
      <c r="F491">
        <v>1</v>
      </c>
      <c r="G491">
        <v>1</v>
      </c>
      <c r="H491">
        <v>3</v>
      </c>
      <c r="I491" s="10">
        <v>44677</v>
      </c>
      <c r="J491">
        <v>2</v>
      </c>
      <c r="K491">
        <v>0</v>
      </c>
      <c r="L491">
        <v>1</v>
      </c>
      <c r="M491">
        <v>2700</v>
      </c>
      <c r="N491">
        <v>2</v>
      </c>
      <c r="O491" s="10">
        <v>44425</v>
      </c>
      <c r="P491">
        <v>1</v>
      </c>
      <c r="Q491">
        <v>36</v>
      </c>
      <c r="R491">
        <v>3</v>
      </c>
      <c r="S491">
        <v>50</v>
      </c>
      <c r="T491">
        <v>164</v>
      </c>
      <c r="U491">
        <v>65</v>
      </c>
      <c r="V491">
        <v>15</v>
      </c>
      <c r="W491">
        <v>2</v>
      </c>
      <c r="X491">
        <v>18.590124925639504</v>
      </c>
      <c r="Y491">
        <v>24.167162403331353</v>
      </c>
      <c r="Z491">
        <v>5.5770374776918494</v>
      </c>
      <c r="AA491">
        <v>2</v>
      </c>
      <c r="AB491">
        <v>2</v>
      </c>
      <c r="AC491" t="s">
        <v>25</v>
      </c>
      <c r="AD491">
        <v>1</v>
      </c>
      <c r="AE491">
        <v>0</v>
      </c>
      <c r="AG491">
        <v>5</v>
      </c>
      <c r="AH491">
        <v>1</v>
      </c>
      <c r="AI491">
        <v>13</v>
      </c>
      <c r="AJ491">
        <v>1</v>
      </c>
      <c r="AK491">
        <v>4</v>
      </c>
      <c r="AL491">
        <v>1</v>
      </c>
      <c r="AM491">
        <f>AJ491*AK491*AL491/7</f>
        <v>0.5714285714285714</v>
      </c>
      <c r="AN491" t="s">
        <v>79</v>
      </c>
      <c r="AO491">
        <v>0</v>
      </c>
      <c r="AV491">
        <f>AU491+AM491</f>
        <v>0.5714285714285714</v>
      </c>
      <c r="AX491">
        <v>0</v>
      </c>
      <c r="BE491">
        <f>AM491+AU491+BD491</f>
        <v>0.5714285714285714</v>
      </c>
      <c r="BG491">
        <v>0</v>
      </c>
      <c r="BJ491" t="s">
        <v>49</v>
      </c>
      <c r="BK491">
        <v>5</v>
      </c>
      <c r="BL491">
        <v>1</v>
      </c>
      <c r="BM491">
        <v>1</v>
      </c>
      <c r="BN491" t="s">
        <v>30</v>
      </c>
      <c r="BO491">
        <v>1</v>
      </c>
      <c r="BP491">
        <v>168</v>
      </c>
      <c r="BQ491">
        <v>0.13</v>
      </c>
      <c r="BR491">
        <v>2</v>
      </c>
      <c r="BS491">
        <v>0.26</v>
      </c>
      <c r="BT491">
        <f>BS491+BD491+AU491+AM491</f>
        <v>0.83142857142857141</v>
      </c>
      <c r="BU491">
        <v>1</v>
      </c>
      <c r="BV491">
        <v>4</v>
      </c>
      <c r="BW491">
        <v>586</v>
      </c>
      <c r="BX491">
        <f>BW491/7</f>
        <v>83.714285714285708</v>
      </c>
      <c r="BY491">
        <f>0.77*BX491</f>
        <v>64.459999999999994</v>
      </c>
      <c r="BZ491">
        <f t="shared" si="7"/>
        <v>65.291428571428568</v>
      </c>
    </row>
    <row r="492" spans="1:78">
      <c r="A492" s="1">
        <v>45210.686467268519</v>
      </c>
      <c r="C492">
        <v>491</v>
      </c>
      <c r="D492" s="10">
        <v>34177</v>
      </c>
      <c r="E492">
        <v>30</v>
      </c>
      <c r="F492">
        <v>1</v>
      </c>
      <c r="G492">
        <v>2</v>
      </c>
      <c r="H492">
        <v>4</v>
      </c>
      <c r="I492" s="10">
        <v>45176</v>
      </c>
      <c r="J492">
        <v>2</v>
      </c>
      <c r="K492">
        <v>0</v>
      </c>
      <c r="L492">
        <v>1</v>
      </c>
      <c r="M492">
        <v>3750</v>
      </c>
      <c r="N492">
        <v>2</v>
      </c>
      <c r="O492" s="10">
        <v>44903</v>
      </c>
      <c r="P492">
        <v>0</v>
      </c>
      <c r="Q492">
        <v>39</v>
      </c>
      <c r="R492">
        <v>2</v>
      </c>
      <c r="S492">
        <v>55</v>
      </c>
      <c r="T492">
        <v>159</v>
      </c>
      <c r="U492">
        <v>62</v>
      </c>
      <c r="V492">
        <v>7</v>
      </c>
      <c r="W492">
        <v>1</v>
      </c>
      <c r="X492">
        <v>21.75546853368142</v>
      </c>
      <c r="Y492">
        <v>24.524346347059055</v>
      </c>
      <c r="Z492">
        <v>2.7688778133776353</v>
      </c>
      <c r="AA492">
        <v>2</v>
      </c>
      <c r="AB492">
        <v>2</v>
      </c>
      <c r="AC492" t="s">
        <v>33</v>
      </c>
      <c r="AD492">
        <v>3</v>
      </c>
      <c r="AE492">
        <v>0</v>
      </c>
      <c r="AG492">
        <v>5</v>
      </c>
      <c r="AH492">
        <v>1</v>
      </c>
      <c r="AI492">
        <v>2</v>
      </c>
      <c r="AJ492">
        <v>5</v>
      </c>
      <c r="AK492">
        <v>7</v>
      </c>
      <c r="AL492">
        <v>1</v>
      </c>
      <c r="AM492">
        <f>AJ492*AK492*AL492/7</f>
        <v>5</v>
      </c>
      <c r="AN492" t="s">
        <v>57</v>
      </c>
      <c r="AO492">
        <v>0</v>
      </c>
      <c r="AV492">
        <f>AU492+AM492</f>
        <v>5</v>
      </c>
      <c r="AX492">
        <v>0</v>
      </c>
      <c r="BE492">
        <f>AM492+AU492+BD492</f>
        <v>5</v>
      </c>
      <c r="BG492">
        <v>0</v>
      </c>
      <c r="BJ492" t="s">
        <v>49</v>
      </c>
      <c r="BK492">
        <v>5</v>
      </c>
      <c r="BL492">
        <v>1</v>
      </c>
      <c r="BM492">
        <v>1</v>
      </c>
      <c r="BN492" t="s">
        <v>55</v>
      </c>
      <c r="BO492">
        <v>2</v>
      </c>
      <c r="BP492">
        <v>134</v>
      </c>
      <c r="BQ492">
        <v>0.1</v>
      </c>
      <c r="BR492">
        <v>2</v>
      </c>
      <c r="BS492">
        <v>0.2</v>
      </c>
      <c r="BT492">
        <f>BS492+BD492+AU492+AM492</f>
        <v>5.2</v>
      </c>
      <c r="BU492">
        <v>1</v>
      </c>
      <c r="BV492">
        <v>3</v>
      </c>
      <c r="BW492">
        <v>439.5</v>
      </c>
      <c r="BX492">
        <f>BW492/7</f>
        <v>62.785714285714285</v>
      </c>
      <c r="BY492">
        <f>0.77*BX492</f>
        <v>48.344999999999999</v>
      </c>
      <c r="BZ492">
        <f t="shared" si="7"/>
        <v>53.545000000000002</v>
      </c>
    </row>
    <row r="493" spans="1:78">
      <c r="A493" s="1">
        <v>45210.70380628472</v>
      </c>
      <c r="C493">
        <v>492</v>
      </c>
      <c r="D493" s="10">
        <v>31786</v>
      </c>
      <c r="E493">
        <v>36</v>
      </c>
      <c r="F493">
        <v>1</v>
      </c>
      <c r="G493">
        <v>1</v>
      </c>
      <c r="H493">
        <v>5</v>
      </c>
      <c r="I493" s="10">
        <v>44058</v>
      </c>
      <c r="J493">
        <v>2</v>
      </c>
      <c r="K493">
        <v>0</v>
      </c>
      <c r="L493">
        <v>1</v>
      </c>
      <c r="M493">
        <v>3139</v>
      </c>
      <c r="N493">
        <v>2</v>
      </c>
      <c r="O493" s="10">
        <v>43806</v>
      </c>
      <c r="P493">
        <v>0</v>
      </c>
      <c r="Q493">
        <v>36</v>
      </c>
      <c r="R493">
        <v>3</v>
      </c>
      <c r="S493">
        <v>63</v>
      </c>
      <c r="T493">
        <v>160</v>
      </c>
      <c r="U493">
        <v>70</v>
      </c>
      <c r="V493">
        <v>7</v>
      </c>
      <c r="W493">
        <v>1</v>
      </c>
      <c r="X493">
        <v>24.609374999999996</v>
      </c>
      <c r="Y493">
        <v>27.343749999999996</v>
      </c>
      <c r="Z493">
        <v>2.734375</v>
      </c>
      <c r="AA493">
        <v>2</v>
      </c>
      <c r="AB493">
        <v>3</v>
      </c>
      <c r="AC493" t="s">
        <v>44</v>
      </c>
      <c r="AD493">
        <v>1</v>
      </c>
      <c r="AE493">
        <v>0</v>
      </c>
      <c r="AG493">
        <v>5</v>
      </c>
      <c r="AH493">
        <v>1</v>
      </c>
      <c r="AI493">
        <v>5</v>
      </c>
      <c r="AJ493">
        <v>5</v>
      </c>
      <c r="AK493">
        <v>7</v>
      </c>
      <c r="AL493">
        <v>1</v>
      </c>
      <c r="AM493">
        <f>AJ493*AK493*AL493/7</f>
        <v>5</v>
      </c>
      <c r="AN493" t="s">
        <v>27</v>
      </c>
      <c r="AO493">
        <v>0</v>
      </c>
      <c r="AV493">
        <f>AU493+AM493</f>
        <v>5</v>
      </c>
      <c r="AW493" t="s">
        <v>350</v>
      </c>
      <c r="AX493">
        <v>0</v>
      </c>
      <c r="BE493">
        <f>AM493+AU493+BD493</f>
        <v>5</v>
      </c>
      <c r="BF493" t="s">
        <v>350</v>
      </c>
      <c r="BG493">
        <v>1</v>
      </c>
      <c r="BH493">
        <v>7</v>
      </c>
      <c r="BI493">
        <v>1</v>
      </c>
      <c r="BJ493" t="s">
        <v>49</v>
      </c>
      <c r="BK493">
        <v>5</v>
      </c>
      <c r="BL493">
        <v>3</v>
      </c>
      <c r="BM493">
        <v>1</v>
      </c>
      <c r="BN493" t="s">
        <v>239</v>
      </c>
      <c r="BO493">
        <v>13</v>
      </c>
      <c r="BP493">
        <v>90</v>
      </c>
      <c r="BQ493">
        <v>0.05</v>
      </c>
      <c r="BR493">
        <v>2</v>
      </c>
      <c r="BS493">
        <v>0.1</v>
      </c>
      <c r="BT493">
        <f>BS493+BD493+AU493+AM493</f>
        <v>5.0999999999999996</v>
      </c>
      <c r="BU493">
        <v>1</v>
      </c>
      <c r="BV493">
        <v>1</v>
      </c>
      <c r="BW493">
        <v>146.5</v>
      </c>
      <c r="BX493">
        <f>BW493/7</f>
        <v>20.928571428571427</v>
      </c>
      <c r="BY493">
        <f>0.77*BX493</f>
        <v>16.114999999999998</v>
      </c>
      <c r="BZ493">
        <f t="shared" si="7"/>
        <v>21.214999999999996</v>
      </c>
    </row>
    <row r="494" spans="1:78">
      <c r="A494" s="1">
        <v>45210.725107650462</v>
      </c>
      <c r="C494">
        <v>493</v>
      </c>
      <c r="D494" s="10">
        <v>34151</v>
      </c>
      <c r="E494">
        <v>30</v>
      </c>
      <c r="F494">
        <v>1</v>
      </c>
      <c r="G494">
        <v>12</v>
      </c>
      <c r="H494">
        <v>4</v>
      </c>
      <c r="I494" s="10">
        <v>44916</v>
      </c>
      <c r="J494">
        <v>1</v>
      </c>
      <c r="K494">
        <v>1</v>
      </c>
      <c r="L494">
        <v>2</v>
      </c>
      <c r="M494">
        <v>3680</v>
      </c>
      <c r="N494">
        <v>2</v>
      </c>
      <c r="O494" s="10">
        <v>44650</v>
      </c>
      <c r="P494">
        <v>0</v>
      </c>
      <c r="Q494">
        <v>38</v>
      </c>
      <c r="R494">
        <v>2</v>
      </c>
      <c r="S494">
        <v>73</v>
      </c>
      <c r="T494">
        <v>160</v>
      </c>
      <c r="U494">
        <v>93</v>
      </c>
      <c r="V494">
        <v>20</v>
      </c>
      <c r="W494">
        <v>3</v>
      </c>
      <c r="X494">
        <v>28.515624999999993</v>
      </c>
      <c r="Y494">
        <v>36.328124999999993</v>
      </c>
      <c r="Z494">
        <v>7.8125</v>
      </c>
      <c r="AA494">
        <v>3</v>
      </c>
      <c r="AB494">
        <v>4</v>
      </c>
      <c r="AC494" t="s">
        <v>33</v>
      </c>
      <c r="AD494">
        <v>3</v>
      </c>
      <c r="AE494">
        <v>0</v>
      </c>
      <c r="AG494">
        <v>5</v>
      </c>
      <c r="AH494">
        <v>1</v>
      </c>
      <c r="AI494">
        <v>13</v>
      </c>
      <c r="AJ494">
        <v>1</v>
      </c>
      <c r="AK494">
        <v>7</v>
      </c>
      <c r="AL494">
        <v>1</v>
      </c>
      <c r="AM494">
        <f>AJ494*AK494*AL494/7</f>
        <v>1</v>
      </c>
      <c r="AN494" t="s">
        <v>79</v>
      </c>
      <c r="AO494">
        <v>0</v>
      </c>
      <c r="AV494">
        <f>AU494+AM494</f>
        <v>1</v>
      </c>
      <c r="AX494">
        <v>0</v>
      </c>
      <c r="BE494">
        <f>AM494+AU494+BD494</f>
        <v>1</v>
      </c>
      <c r="BG494">
        <v>0</v>
      </c>
      <c r="BJ494" t="s">
        <v>49</v>
      </c>
      <c r="BK494">
        <v>5</v>
      </c>
      <c r="BL494">
        <v>1</v>
      </c>
      <c r="BM494">
        <v>1</v>
      </c>
      <c r="BN494" t="s">
        <v>30</v>
      </c>
      <c r="BO494">
        <v>1</v>
      </c>
      <c r="BP494">
        <v>168</v>
      </c>
      <c r="BQ494">
        <v>0.13</v>
      </c>
      <c r="BR494">
        <v>2</v>
      </c>
      <c r="BS494">
        <v>0.26</v>
      </c>
      <c r="BT494">
        <f>BS494+BD494+AU494+AM494</f>
        <v>1.26</v>
      </c>
      <c r="BU494">
        <v>1</v>
      </c>
      <c r="BV494">
        <v>1</v>
      </c>
      <c r="BW494">
        <v>146.5</v>
      </c>
      <c r="BX494">
        <f>BW494/7</f>
        <v>20.928571428571427</v>
      </c>
      <c r="BY494">
        <f>0.77*BX494</f>
        <v>16.114999999999998</v>
      </c>
      <c r="BZ494">
        <f t="shared" si="7"/>
        <v>17.375</v>
      </c>
    </row>
    <row r="495" spans="1:78">
      <c r="A495" s="1">
        <v>45210.737345706017</v>
      </c>
      <c r="C495">
        <v>494</v>
      </c>
      <c r="D495" s="10">
        <v>32343</v>
      </c>
      <c r="E495">
        <v>35</v>
      </c>
      <c r="F495">
        <v>1</v>
      </c>
      <c r="G495">
        <v>2</v>
      </c>
      <c r="H495">
        <v>4</v>
      </c>
      <c r="I495" s="10">
        <v>44722</v>
      </c>
      <c r="J495">
        <v>1</v>
      </c>
      <c r="K495">
        <v>1</v>
      </c>
      <c r="L495">
        <v>1</v>
      </c>
      <c r="M495">
        <v>3600</v>
      </c>
      <c r="N495">
        <v>2</v>
      </c>
      <c r="O495" s="10">
        <v>44456</v>
      </c>
      <c r="P495">
        <v>1</v>
      </c>
      <c r="Q495">
        <v>38</v>
      </c>
      <c r="R495">
        <v>2</v>
      </c>
      <c r="S495">
        <v>65</v>
      </c>
      <c r="T495">
        <v>157</v>
      </c>
      <c r="U495">
        <v>75</v>
      </c>
      <c r="V495">
        <v>10</v>
      </c>
      <c r="W495">
        <v>2</v>
      </c>
      <c r="X495">
        <v>26.370238143535232</v>
      </c>
      <c r="Y495">
        <v>30.427197857925268</v>
      </c>
      <c r="Z495">
        <v>4.056959714390036</v>
      </c>
      <c r="AA495">
        <v>3</v>
      </c>
      <c r="AB495">
        <v>4</v>
      </c>
      <c r="AC495" t="s">
        <v>33</v>
      </c>
      <c r="AD495">
        <v>3</v>
      </c>
      <c r="AE495">
        <v>1</v>
      </c>
      <c r="AF495" t="s">
        <v>352</v>
      </c>
      <c r="AG495" t="e">
        <v>#N/A</v>
      </c>
      <c r="AH495">
        <v>1</v>
      </c>
      <c r="AI495">
        <v>3</v>
      </c>
      <c r="AJ495">
        <v>5</v>
      </c>
      <c r="AK495">
        <v>7</v>
      </c>
      <c r="AL495">
        <v>1</v>
      </c>
      <c r="AM495">
        <f>AJ495*AK495*AL495/7</f>
        <v>5</v>
      </c>
      <c r="AN495" t="s">
        <v>319</v>
      </c>
      <c r="AO495">
        <v>0</v>
      </c>
      <c r="AV495">
        <f>AU495+AM495</f>
        <v>5</v>
      </c>
      <c r="AX495">
        <v>0</v>
      </c>
      <c r="BE495">
        <f>AM495+AU495+BD495</f>
        <v>5</v>
      </c>
      <c r="BG495">
        <v>0</v>
      </c>
      <c r="BJ495" t="s">
        <v>54</v>
      </c>
      <c r="BK495">
        <v>2</v>
      </c>
      <c r="BL495">
        <v>1</v>
      </c>
      <c r="BM495">
        <v>1</v>
      </c>
      <c r="BN495" t="s">
        <v>30</v>
      </c>
      <c r="BO495">
        <v>1</v>
      </c>
      <c r="BP495">
        <v>252</v>
      </c>
      <c r="BQ495">
        <v>0.13</v>
      </c>
      <c r="BR495">
        <v>3</v>
      </c>
      <c r="BS495">
        <v>0.39</v>
      </c>
      <c r="BT495">
        <f>BS495+BD495+AU495+AM495</f>
        <v>5.39</v>
      </c>
      <c r="BU495">
        <v>1</v>
      </c>
      <c r="BV495">
        <v>2</v>
      </c>
      <c r="BW495">
        <v>293</v>
      </c>
      <c r="BX495">
        <f>BW495/7</f>
        <v>41.857142857142854</v>
      </c>
      <c r="BY495">
        <f>0.77*BX495</f>
        <v>32.229999999999997</v>
      </c>
      <c r="BZ495">
        <f t="shared" si="7"/>
        <v>37.619999999999997</v>
      </c>
    </row>
    <row r="496" spans="1:78">
      <c r="A496" s="1">
        <v>45210.760494363421</v>
      </c>
      <c r="B496" t="s">
        <v>865</v>
      </c>
      <c r="C496">
        <v>495</v>
      </c>
      <c r="D496" s="10">
        <v>31311</v>
      </c>
      <c r="E496">
        <v>38</v>
      </c>
      <c r="F496">
        <v>1</v>
      </c>
      <c r="G496">
        <v>10</v>
      </c>
      <c r="H496">
        <v>5</v>
      </c>
      <c r="I496" s="10">
        <v>44740</v>
      </c>
      <c r="J496">
        <v>1</v>
      </c>
      <c r="K496">
        <v>1</v>
      </c>
      <c r="L496">
        <v>1</v>
      </c>
      <c r="M496">
        <v>3550</v>
      </c>
      <c r="N496">
        <v>2</v>
      </c>
      <c r="O496" s="10">
        <v>44467</v>
      </c>
      <c r="P496">
        <v>1</v>
      </c>
      <c r="Q496">
        <v>39</v>
      </c>
      <c r="R496">
        <v>2</v>
      </c>
      <c r="S496">
        <v>53</v>
      </c>
      <c r="T496">
        <v>159</v>
      </c>
      <c r="U496">
        <v>62</v>
      </c>
      <c r="V496">
        <v>9</v>
      </c>
      <c r="W496">
        <v>1</v>
      </c>
      <c r="X496">
        <v>20.964360587002094</v>
      </c>
      <c r="Y496">
        <v>24.524346347059055</v>
      </c>
      <c r="Z496">
        <v>3.5599857600569607</v>
      </c>
      <c r="AA496">
        <v>2</v>
      </c>
      <c r="AB496">
        <v>2</v>
      </c>
      <c r="AC496" t="s">
        <v>33</v>
      </c>
      <c r="AD496">
        <v>3</v>
      </c>
      <c r="AE496">
        <v>0</v>
      </c>
      <c r="AG496">
        <v>5</v>
      </c>
      <c r="AH496">
        <v>1</v>
      </c>
      <c r="AI496">
        <v>2</v>
      </c>
      <c r="AJ496">
        <v>5</v>
      </c>
      <c r="AK496">
        <v>7</v>
      </c>
      <c r="AL496">
        <v>1</v>
      </c>
      <c r="AM496">
        <f>AJ496*AK496*AL496/7</f>
        <v>5</v>
      </c>
      <c r="AN496" t="s">
        <v>57</v>
      </c>
      <c r="AO496">
        <v>0</v>
      </c>
      <c r="AV496">
        <f>AU496+AM496</f>
        <v>5</v>
      </c>
      <c r="AW496" t="s">
        <v>95</v>
      </c>
      <c r="AX496">
        <v>1</v>
      </c>
      <c r="AY496" t="s">
        <v>878</v>
      </c>
      <c r="AZ496">
        <v>16</v>
      </c>
      <c r="BA496" t="s">
        <v>258</v>
      </c>
      <c r="BB496">
        <v>7</v>
      </c>
      <c r="BC496">
        <v>1</v>
      </c>
      <c r="BE496">
        <f>AM496+AU496+BD496</f>
        <v>5</v>
      </c>
      <c r="BF496" t="s">
        <v>878</v>
      </c>
      <c r="BG496" t="s">
        <v>258</v>
      </c>
      <c r="BH496">
        <v>7</v>
      </c>
      <c r="BI496">
        <v>1</v>
      </c>
      <c r="BJ496" t="s">
        <v>42</v>
      </c>
      <c r="BK496">
        <v>6</v>
      </c>
      <c r="BL496">
        <v>3</v>
      </c>
      <c r="BM496">
        <v>1</v>
      </c>
      <c r="BN496" t="s">
        <v>30</v>
      </c>
      <c r="BO496">
        <v>1</v>
      </c>
      <c r="BP496">
        <v>84</v>
      </c>
      <c r="BQ496">
        <v>0.13</v>
      </c>
      <c r="BR496">
        <v>1</v>
      </c>
      <c r="BS496">
        <v>0.13</v>
      </c>
      <c r="BT496">
        <f>BS496+BD496+AU496+AM496</f>
        <v>5.13</v>
      </c>
      <c r="BU496">
        <v>1</v>
      </c>
      <c r="BV496">
        <v>2</v>
      </c>
      <c r="BW496">
        <v>293</v>
      </c>
      <c r="BX496">
        <f>BW496/7</f>
        <v>41.857142857142854</v>
      </c>
      <c r="BY496">
        <f>0.77*BX496</f>
        <v>32.229999999999997</v>
      </c>
      <c r="BZ496">
        <f t="shared" si="7"/>
        <v>37.36</v>
      </c>
    </row>
    <row r="497" spans="1:78">
      <c r="A497" s="1">
        <v>45210.783851238426</v>
      </c>
      <c r="C497">
        <v>496</v>
      </c>
      <c r="D497" s="10">
        <v>34030</v>
      </c>
      <c r="E497">
        <v>30</v>
      </c>
      <c r="F497">
        <v>1</v>
      </c>
      <c r="G497">
        <v>9</v>
      </c>
      <c r="H497">
        <v>5</v>
      </c>
      <c r="I497" s="10">
        <v>43946</v>
      </c>
      <c r="J497">
        <v>2</v>
      </c>
      <c r="K497">
        <v>0</v>
      </c>
      <c r="L497">
        <v>1</v>
      </c>
      <c r="M497">
        <v>3560</v>
      </c>
      <c r="N497">
        <v>2</v>
      </c>
      <c r="O497" s="10">
        <v>43666</v>
      </c>
      <c r="P497">
        <v>0</v>
      </c>
      <c r="Q497">
        <v>40</v>
      </c>
      <c r="R497">
        <v>2</v>
      </c>
      <c r="S497">
        <v>59</v>
      </c>
      <c r="T497">
        <v>150</v>
      </c>
      <c r="U497">
        <v>65</v>
      </c>
      <c r="V497">
        <v>6</v>
      </c>
      <c r="W497">
        <v>1</v>
      </c>
      <c r="X497">
        <v>26.222222222222221</v>
      </c>
      <c r="Y497">
        <v>28.888888888888889</v>
      </c>
      <c r="Z497">
        <v>2.6666666666666679</v>
      </c>
      <c r="AA497">
        <v>3</v>
      </c>
      <c r="AB497">
        <v>3</v>
      </c>
      <c r="AC497" t="s">
        <v>33</v>
      </c>
      <c r="AD497">
        <v>3</v>
      </c>
      <c r="AE497">
        <v>0</v>
      </c>
      <c r="AG497">
        <v>5</v>
      </c>
      <c r="AH497">
        <v>0</v>
      </c>
      <c r="AI497">
        <v>0</v>
      </c>
      <c r="AO497">
        <v>0</v>
      </c>
      <c r="AX497">
        <v>0</v>
      </c>
      <c r="BG497">
        <v>0</v>
      </c>
      <c r="BJ497" t="s">
        <v>51</v>
      </c>
      <c r="BK497">
        <v>1</v>
      </c>
      <c r="BL497">
        <v>1</v>
      </c>
      <c r="BM497">
        <v>1</v>
      </c>
      <c r="BN497" t="s">
        <v>30</v>
      </c>
      <c r="BO497">
        <v>1</v>
      </c>
      <c r="BP497">
        <v>168</v>
      </c>
      <c r="BQ497">
        <v>0.13</v>
      </c>
      <c r="BR497">
        <v>2</v>
      </c>
      <c r="BS497">
        <v>0.26</v>
      </c>
      <c r="BT497">
        <f>BS497+BD497+AU497+AM497</f>
        <v>0.26</v>
      </c>
      <c r="BU497">
        <v>1</v>
      </c>
      <c r="BV497">
        <v>2</v>
      </c>
      <c r="BW497">
        <v>293</v>
      </c>
      <c r="BX497">
        <f>BW497/7</f>
        <v>41.857142857142854</v>
      </c>
      <c r="BY497">
        <f>0.77*BX497</f>
        <v>32.229999999999997</v>
      </c>
      <c r="BZ497">
        <f t="shared" si="7"/>
        <v>32.489999999999995</v>
      </c>
    </row>
    <row r="498" spans="1:78">
      <c r="A498" s="1">
        <v>45210.78894319445</v>
      </c>
      <c r="C498">
        <v>497</v>
      </c>
      <c r="D498" s="10">
        <v>35584</v>
      </c>
      <c r="E498">
        <v>26</v>
      </c>
      <c r="F498">
        <v>1</v>
      </c>
      <c r="G498">
        <v>1</v>
      </c>
      <c r="H498">
        <v>3</v>
      </c>
      <c r="I498" s="10">
        <v>44676</v>
      </c>
      <c r="J498">
        <v>2</v>
      </c>
      <c r="K498">
        <v>0</v>
      </c>
      <c r="L498">
        <v>2</v>
      </c>
      <c r="M498">
        <v>3264</v>
      </c>
      <c r="N498">
        <v>2</v>
      </c>
      <c r="O498" s="10">
        <v>44396</v>
      </c>
      <c r="P498">
        <v>1</v>
      </c>
      <c r="Q498">
        <v>40</v>
      </c>
      <c r="R498">
        <v>2</v>
      </c>
      <c r="S498">
        <v>68</v>
      </c>
      <c r="T498">
        <v>160</v>
      </c>
      <c r="U498">
        <v>76</v>
      </c>
      <c r="V498">
        <v>8</v>
      </c>
      <c r="W498">
        <v>2</v>
      </c>
      <c r="X498">
        <v>26.562499999999996</v>
      </c>
      <c r="Y498">
        <v>29.687499999999993</v>
      </c>
      <c r="Z498">
        <v>3.1249999999999964</v>
      </c>
      <c r="AA498">
        <v>3</v>
      </c>
      <c r="AB498">
        <v>3</v>
      </c>
      <c r="AC498" t="s">
        <v>33</v>
      </c>
      <c r="AD498">
        <v>3</v>
      </c>
      <c r="AE498">
        <v>0</v>
      </c>
      <c r="AG498">
        <v>5</v>
      </c>
      <c r="AH498">
        <v>1</v>
      </c>
      <c r="AI498">
        <v>13</v>
      </c>
      <c r="AJ498">
        <v>1</v>
      </c>
      <c r="AK498">
        <v>7</v>
      </c>
      <c r="AL498">
        <v>1</v>
      </c>
      <c r="AM498">
        <f>AJ498*AK498*AL498/7</f>
        <v>1</v>
      </c>
      <c r="AN498" t="s">
        <v>79</v>
      </c>
      <c r="AO498">
        <v>0</v>
      </c>
      <c r="AV498">
        <f>AU498+AM498</f>
        <v>1</v>
      </c>
      <c r="AX498">
        <v>0</v>
      </c>
      <c r="BE498">
        <f>AM498+AU498+BD498</f>
        <v>1</v>
      </c>
      <c r="BG498">
        <v>0</v>
      </c>
      <c r="BJ498" t="s">
        <v>49</v>
      </c>
      <c r="BK498">
        <v>5</v>
      </c>
      <c r="BL498">
        <v>1</v>
      </c>
      <c r="BM498">
        <v>1</v>
      </c>
      <c r="BN498" t="s">
        <v>30</v>
      </c>
      <c r="BO498">
        <v>1</v>
      </c>
      <c r="BP498">
        <v>252</v>
      </c>
      <c r="BQ498">
        <v>0.13</v>
      </c>
      <c r="BR498">
        <v>3</v>
      </c>
      <c r="BS498">
        <v>0.39</v>
      </c>
      <c r="BT498">
        <f>BS498+BD498+AU498+AM498</f>
        <v>1.3900000000000001</v>
      </c>
      <c r="BU498">
        <v>1</v>
      </c>
      <c r="BV498">
        <v>3</v>
      </c>
      <c r="BW498">
        <v>439.5</v>
      </c>
      <c r="BX498">
        <f>BW498/7</f>
        <v>62.785714285714285</v>
      </c>
      <c r="BY498">
        <f>0.77*BX498</f>
        <v>48.344999999999999</v>
      </c>
      <c r="BZ498">
        <f t="shared" si="7"/>
        <v>49.734999999999999</v>
      </c>
    </row>
    <row r="499" spans="1:78">
      <c r="A499" s="1">
        <v>45210.793728055556</v>
      </c>
      <c r="B499" t="s">
        <v>865</v>
      </c>
      <c r="C499">
        <v>498</v>
      </c>
      <c r="D499" s="10">
        <v>31891</v>
      </c>
      <c r="E499">
        <v>36</v>
      </c>
      <c r="F499">
        <v>1</v>
      </c>
      <c r="G499">
        <v>8</v>
      </c>
      <c r="H499">
        <v>4</v>
      </c>
      <c r="I499" s="10">
        <v>42881</v>
      </c>
      <c r="J499">
        <v>2</v>
      </c>
      <c r="K499">
        <v>0</v>
      </c>
      <c r="L499">
        <v>2</v>
      </c>
      <c r="M499">
        <v>3425</v>
      </c>
      <c r="N499">
        <v>2</v>
      </c>
      <c r="O499" s="10">
        <v>42608</v>
      </c>
      <c r="P499">
        <v>0</v>
      </c>
      <c r="Q499">
        <v>39</v>
      </c>
      <c r="R499">
        <v>2</v>
      </c>
      <c r="S499">
        <v>58</v>
      </c>
      <c r="T499">
        <v>162</v>
      </c>
      <c r="U499">
        <v>64</v>
      </c>
      <c r="V499">
        <v>6</v>
      </c>
      <c r="W499">
        <v>1</v>
      </c>
      <c r="X499">
        <v>22.10028959000152</v>
      </c>
      <c r="Y499">
        <v>24.386526444139609</v>
      </c>
      <c r="Z499">
        <v>2.2862368541380889</v>
      </c>
      <c r="AA499">
        <v>2</v>
      </c>
      <c r="AB499">
        <v>2</v>
      </c>
      <c r="AC499" t="s">
        <v>33</v>
      </c>
      <c r="AD499">
        <v>3</v>
      </c>
      <c r="AE499">
        <v>0</v>
      </c>
      <c r="AG499">
        <v>5</v>
      </c>
      <c r="AH499">
        <v>1</v>
      </c>
      <c r="AI499">
        <v>10</v>
      </c>
      <c r="AJ499">
        <v>1</v>
      </c>
      <c r="AK499">
        <v>7</v>
      </c>
      <c r="AL499">
        <v>1</v>
      </c>
      <c r="AM499">
        <f>AJ499*AK499*AL499/7</f>
        <v>1</v>
      </c>
      <c r="AN499" t="s">
        <v>166</v>
      </c>
      <c r="AO499">
        <v>0</v>
      </c>
      <c r="AV499">
        <f>AU499+AM499</f>
        <v>1</v>
      </c>
      <c r="AW499" t="s">
        <v>782</v>
      </c>
      <c r="AX499">
        <v>1</v>
      </c>
      <c r="AY499" t="s">
        <v>782</v>
      </c>
      <c r="AZ499">
        <v>16</v>
      </c>
      <c r="BA499" t="s">
        <v>258</v>
      </c>
      <c r="BB499">
        <v>7</v>
      </c>
      <c r="BC499">
        <v>1</v>
      </c>
      <c r="BE499">
        <f>AM499+AU499+BD499</f>
        <v>1</v>
      </c>
      <c r="BF499" t="s">
        <v>782</v>
      </c>
      <c r="BG499" t="s">
        <v>258</v>
      </c>
      <c r="BH499">
        <v>7</v>
      </c>
      <c r="BI499">
        <v>1</v>
      </c>
      <c r="BJ499" t="s">
        <v>49</v>
      </c>
      <c r="BK499">
        <v>5</v>
      </c>
      <c r="BL499">
        <v>1</v>
      </c>
      <c r="BM499">
        <v>1</v>
      </c>
      <c r="BN499" t="s">
        <v>30</v>
      </c>
      <c r="BO499">
        <v>1</v>
      </c>
      <c r="BP499">
        <v>168</v>
      </c>
      <c r="BQ499">
        <v>0.13</v>
      </c>
      <c r="BR499">
        <v>2</v>
      </c>
      <c r="BS499">
        <v>0.26</v>
      </c>
      <c r="BT499">
        <f>BS499+BD499+AU499+AM499</f>
        <v>1.26</v>
      </c>
      <c r="BU499">
        <v>1</v>
      </c>
      <c r="BV499">
        <v>1</v>
      </c>
      <c r="BW499">
        <v>146.5</v>
      </c>
      <c r="BX499">
        <f>BW499/7</f>
        <v>20.928571428571427</v>
      </c>
      <c r="BY499">
        <f>0.77*BX499</f>
        <v>16.114999999999998</v>
      </c>
      <c r="BZ499">
        <f t="shared" si="7"/>
        <v>17.375</v>
      </c>
    </row>
    <row r="500" spans="1:78">
      <c r="A500" s="1">
        <v>45210.808364432873</v>
      </c>
      <c r="C500">
        <v>499</v>
      </c>
      <c r="D500" s="10">
        <v>32404</v>
      </c>
      <c r="E500">
        <v>35</v>
      </c>
      <c r="F500">
        <v>1</v>
      </c>
      <c r="G500">
        <v>7</v>
      </c>
      <c r="H500">
        <v>4</v>
      </c>
      <c r="I500" s="10">
        <v>44806</v>
      </c>
      <c r="J500">
        <v>2</v>
      </c>
      <c r="K500">
        <v>0</v>
      </c>
      <c r="L500">
        <v>1</v>
      </c>
      <c r="M500">
        <v>4180</v>
      </c>
      <c r="N500">
        <v>3</v>
      </c>
      <c r="O500" s="10">
        <v>44533</v>
      </c>
      <c r="P500">
        <v>0</v>
      </c>
      <c r="Q500">
        <v>39</v>
      </c>
      <c r="R500">
        <v>2</v>
      </c>
      <c r="S500">
        <v>55</v>
      </c>
      <c r="T500">
        <v>157</v>
      </c>
      <c r="U500">
        <v>69</v>
      </c>
      <c r="V500">
        <v>14</v>
      </c>
      <c r="W500">
        <v>2</v>
      </c>
      <c r="X500">
        <v>22.313278429145196</v>
      </c>
      <c r="Y500">
        <v>27.993022029291247</v>
      </c>
      <c r="Z500">
        <v>5.6797436001460504</v>
      </c>
      <c r="AA500">
        <v>2</v>
      </c>
      <c r="AB500">
        <v>3</v>
      </c>
      <c r="AC500" t="s">
        <v>33</v>
      </c>
      <c r="AD500">
        <v>3</v>
      </c>
      <c r="AE500">
        <v>0</v>
      </c>
      <c r="AG500">
        <v>5</v>
      </c>
      <c r="AH500">
        <v>1</v>
      </c>
      <c r="AI500">
        <v>13</v>
      </c>
      <c r="AJ500">
        <v>1</v>
      </c>
      <c r="AK500">
        <v>5</v>
      </c>
      <c r="AL500">
        <v>1</v>
      </c>
      <c r="AM500">
        <f>AJ500*AK500*AL500/7</f>
        <v>0.7142857142857143</v>
      </c>
      <c r="AN500" t="s">
        <v>79</v>
      </c>
      <c r="AO500">
        <v>0</v>
      </c>
      <c r="AV500">
        <f>AU500+AM500</f>
        <v>0.7142857142857143</v>
      </c>
      <c r="AW500" t="s">
        <v>353</v>
      </c>
      <c r="AX500">
        <v>0</v>
      </c>
      <c r="BE500">
        <f>AM500+AU500+BD500</f>
        <v>0.7142857142857143</v>
      </c>
      <c r="BF500" t="s">
        <v>353</v>
      </c>
      <c r="BG500">
        <v>1</v>
      </c>
      <c r="BH500">
        <v>5</v>
      </c>
      <c r="BI500">
        <v>1</v>
      </c>
      <c r="BJ500" t="s">
        <v>49</v>
      </c>
      <c r="BK500">
        <v>5</v>
      </c>
      <c r="BL500">
        <v>1</v>
      </c>
      <c r="BM500">
        <v>1</v>
      </c>
      <c r="BN500" t="s">
        <v>30</v>
      </c>
      <c r="BO500">
        <v>1</v>
      </c>
      <c r="BP500">
        <v>252</v>
      </c>
      <c r="BQ500">
        <v>0.13</v>
      </c>
      <c r="BR500">
        <v>3</v>
      </c>
      <c r="BS500">
        <v>0.39</v>
      </c>
      <c r="BT500">
        <f>BS500+BD500+AU500+AM500</f>
        <v>1.1042857142857143</v>
      </c>
      <c r="BU500">
        <v>1</v>
      </c>
      <c r="BV500">
        <v>2</v>
      </c>
      <c r="BW500">
        <v>293</v>
      </c>
      <c r="BX500">
        <f>BW500/7</f>
        <v>41.857142857142854</v>
      </c>
      <c r="BY500">
        <f>0.77*BX500</f>
        <v>32.229999999999997</v>
      </c>
      <c r="BZ500">
        <f t="shared" si="7"/>
        <v>33.334285714285713</v>
      </c>
    </row>
    <row r="501" spans="1:78">
      <c r="A501" s="1">
        <v>45210.828601493056</v>
      </c>
      <c r="C501">
        <v>500</v>
      </c>
      <c r="D501" s="10">
        <v>32442</v>
      </c>
      <c r="E501">
        <v>34</v>
      </c>
      <c r="F501">
        <v>1</v>
      </c>
      <c r="G501">
        <v>1</v>
      </c>
      <c r="H501">
        <v>4</v>
      </c>
      <c r="I501" s="10">
        <v>44555</v>
      </c>
      <c r="J501">
        <v>5</v>
      </c>
      <c r="K501">
        <v>0</v>
      </c>
      <c r="L501">
        <v>1</v>
      </c>
      <c r="M501">
        <v>3950</v>
      </c>
      <c r="N501">
        <v>2</v>
      </c>
      <c r="O501" s="10">
        <v>44291</v>
      </c>
      <c r="P501">
        <v>1</v>
      </c>
      <c r="Q501">
        <v>37.714285714285715</v>
      </c>
      <c r="R501">
        <v>2</v>
      </c>
      <c r="S501">
        <v>67</v>
      </c>
      <c r="T501">
        <v>165</v>
      </c>
      <c r="U501">
        <v>74</v>
      </c>
      <c r="V501">
        <v>7</v>
      </c>
      <c r="W501">
        <v>1</v>
      </c>
      <c r="X501">
        <v>24.609733700642796</v>
      </c>
      <c r="Y501">
        <v>27.180899908172638</v>
      </c>
      <c r="Z501">
        <v>2.571166207529842</v>
      </c>
      <c r="AA501">
        <v>2</v>
      </c>
      <c r="AB501">
        <v>3</v>
      </c>
      <c r="AC501" t="s">
        <v>33</v>
      </c>
      <c r="AD501">
        <v>3</v>
      </c>
      <c r="AE501">
        <v>0</v>
      </c>
      <c r="AG501">
        <v>5</v>
      </c>
      <c r="AH501">
        <v>1</v>
      </c>
      <c r="AI501">
        <v>2</v>
      </c>
      <c r="AJ501">
        <v>5</v>
      </c>
      <c r="AK501">
        <v>7</v>
      </c>
      <c r="AL501">
        <v>1</v>
      </c>
      <c r="AM501">
        <f>AJ501*AK501*AL501/7</f>
        <v>5</v>
      </c>
      <c r="AN501" t="s">
        <v>57</v>
      </c>
      <c r="AO501">
        <v>1</v>
      </c>
      <c r="AP501">
        <v>17</v>
      </c>
      <c r="AQ501" t="s">
        <v>140</v>
      </c>
      <c r="AR501">
        <v>0.6</v>
      </c>
      <c r="AS501">
        <v>7</v>
      </c>
      <c r="AT501">
        <v>1</v>
      </c>
      <c r="AU501">
        <f>AR501*AS501*AT501/7</f>
        <v>0.6</v>
      </c>
      <c r="AV501">
        <f>AU501+AM501</f>
        <v>5.6</v>
      </c>
      <c r="AW501" t="s">
        <v>140</v>
      </c>
      <c r="AX501">
        <v>0</v>
      </c>
      <c r="BE501">
        <f>AM501+AU501+BD501</f>
        <v>5.6</v>
      </c>
      <c r="BG501">
        <v>0</v>
      </c>
      <c r="BJ501" t="s">
        <v>42</v>
      </c>
      <c r="BK501">
        <v>6</v>
      </c>
      <c r="BL501">
        <v>1</v>
      </c>
      <c r="BM501">
        <v>1</v>
      </c>
      <c r="BN501" t="s">
        <v>30</v>
      </c>
      <c r="BO501">
        <v>1</v>
      </c>
      <c r="BP501">
        <v>168</v>
      </c>
      <c r="BQ501">
        <v>0.13</v>
      </c>
      <c r="BR501">
        <v>2</v>
      </c>
      <c r="BS501">
        <v>0.26</v>
      </c>
      <c r="BT501">
        <f>BS501+BD501+AU501+AM501</f>
        <v>5.86</v>
      </c>
      <c r="BU501">
        <v>1</v>
      </c>
      <c r="BV501">
        <v>2</v>
      </c>
      <c r="BW501">
        <v>293</v>
      </c>
      <c r="BX501">
        <f>BW501/7</f>
        <v>41.857142857142854</v>
      </c>
      <c r="BY501">
        <f>0.77*BX501</f>
        <v>32.229999999999997</v>
      </c>
      <c r="BZ501">
        <f t="shared" si="7"/>
        <v>38.089999999999996</v>
      </c>
    </row>
    <row r="502" spans="1:78">
      <c r="A502" s="1">
        <v>45210.862724456019</v>
      </c>
      <c r="C502">
        <v>501</v>
      </c>
      <c r="D502" s="10">
        <v>35377</v>
      </c>
      <c r="E502">
        <v>26</v>
      </c>
      <c r="F502">
        <v>1</v>
      </c>
      <c r="G502">
        <v>1</v>
      </c>
      <c r="H502">
        <v>4</v>
      </c>
      <c r="I502" s="10">
        <v>44861</v>
      </c>
      <c r="J502">
        <v>1</v>
      </c>
      <c r="K502">
        <v>1</v>
      </c>
      <c r="L502">
        <v>1</v>
      </c>
      <c r="M502">
        <v>4160</v>
      </c>
      <c r="N502">
        <v>3</v>
      </c>
      <c r="O502" s="10">
        <v>44593</v>
      </c>
      <c r="P502">
        <v>0</v>
      </c>
      <c r="Q502">
        <v>38.285714285714285</v>
      </c>
      <c r="R502">
        <v>2</v>
      </c>
      <c r="S502">
        <v>85</v>
      </c>
      <c r="T502">
        <v>164</v>
      </c>
      <c r="U502">
        <v>100</v>
      </c>
      <c r="V502">
        <v>15</v>
      </c>
      <c r="W502">
        <v>3</v>
      </c>
      <c r="X502">
        <v>31.603212373587155</v>
      </c>
      <c r="Y502">
        <v>37.180249851279008</v>
      </c>
      <c r="Z502">
        <v>5.577037477691853</v>
      </c>
      <c r="AA502">
        <v>4</v>
      </c>
      <c r="AB502">
        <v>4</v>
      </c>
      <c r="AC502" t="s">
        <v>33</v>
      </c>
      <c r="AD502">
        <v>3</v>
      </c>
      <c r="AE502">
        <v>0</v>
      </c>
      <c r="AG502">
        <v>5</v>
      </c>
      <c r="AH502">
        <v>1</v>
      </c>
      <c r="AI502">
        <v>1</v>
      </c>
      <c r="AJ502">
        <v>1</v>
      </c>
      <c r="AK502">
        <v>7</v>
      </c>
      <c r="AL502">
        <v>1</v>
      </c>
      <c r="AM502">
        <f>AJ502*AK502*AL502/7</f>
        <v>1</v>
      </c>
      <c r="AN502" t="s">
        <v>56</v>
      </c>
      <c r="AO502">
        <v>0</v>
      </c>
      <c r="AV502">
        <f>AU502+AM502</f>
        <v>1</v>
      </c>
      <c r="AX502">
        <v>0</v>
      </c>
      <c r="BE502">
        <f>AM502+AU502+BD502</f>
        <v>1</v>
      </c>
      <c r="BG502">
        <v>0</v>
      </c>
      <c r="BJ502" t="s">
        <v>49</v>
      </c>
      <c r="BK502">
        <v>5</v>
      </c>
      <c r="BL502">
        <v>3</v>
      </c>
      <c r="BM502">
        <v>1</v>
      </c>
      <c r="BN502" t="s">
        <v>30</v>
      </c>
      <c r="BO502">
        <v>1</v>
      </c>
      <c r="BP502">
        <v>168</v>
      </c>
      <c r="BQ502">
        <v>0.13</v>
      </c>
      <c r="BR502">
        <v>2</v>
      </c>
      <c r="BS502">
        <v>0.26</v>
      </c>
      <c r="BT502">
        <f>BS502+BD502+AU502+AM502</f>
        <v>1.26</v>
      </c>
      <c r="BU502">
        <v>1</v>
      </c>
      <c r="BV502">
        <v>2</v>
      </c>
      <c r="BW502">
        <v>293</v>
      </c>
      <c r="BX502">
        <f>BW502/7</f>
        <v>41.857142857142854</v>
      </c>
      <c r="BY502">
        <f>0.77*BX502</f>
        <v>32.229999999999997</v>
      </c>
      <c r="BZ502">
        <f t="shared" si="7"/>
        <v>33.489999999999995</v>
      </c>
    </row>
    <row r="503" spans="1:78">
      <c r="A503" s="1">
        <v>45210.869530868054</v>
      </c>
      <c r="C503">
        <v>502</v>
      </c>
      <c r="D503" s="10">
        <v>33643</v>
      </c>
      <c r="E503">
        <v>31</v>
      </c>
      <c r="F503">
        <v>1</v>
      </c>
      <c r="G503">
        <v>1</v>
      </c>
      <c r="H503">
        <v>4</v>
      </c>
      <c r="I503" s="10">
        <v>44561</v>
      </c>
      <c r="J503">
        <v>3</v>
      </c>
      <c r="K503">
        <v>0</v>
      </c>
      <c r="L503">
        <v>1</v>
      </c>
      <c r="M503">
        <v>3890</v>
      </c>
      <c r="N503">
        <v>2</v>
      </c>
      <c r="O503" s="10">
        <v>44281</v>
      </c>
      <c r="P503">
        <v>1</v>
      </c>
      <c r="Q503">
        <v>40</v>
      </c>
      <c r="R503">
        <v>2</v>
      </c>
      <c r="S503">
        <v>77</v>
      </c>
      <c r="T503">
        <v>162</v>
      </c>
      <c r="U503">
        <v>90</v>
      </c>
      <c r="V503">
        <v>13</v>
      </c>
      <c r="W503">
        <v>3</v>
      </c>
      <c r="X503">
        <v>29.340039628105465</v>
      </c>
      <c r="Y503">
        <v>34.293552812071326</v>
      </c>
      <c r="Z503">
        <v>4.9535131839658604</v>
      </c>
      <c r="AA503">
        <v>3</v>
      </c>
      <c r="AB503">
        <v>4</v>
      </c>
      <c r="AC503" t="s">
        <v>33</v>
      </c>
      <c r="AD503">
        <v>3</v>
      </c>
      <c r="AE503">
        <v>0</v>
      </c>
      <c r="AG503">
        <v>5</v>
      </c>
      <c r="AH503">
        <v>1</v>
      </c>
      <c r="AI503">
        <v>12</v>
      </c>
      <c r="AJ503">
        <v>0.2</v>
      </c>
      <c r="AK503">
        <v>7</v>
      </c>
      <c r="AL503">
        <v>1</v>
      </c>
      <c r="AM503">
        <f>AJ503*AK503*AL503/7</f>
        <v>0.2</v>
      </c>
      <c r="AN503" t="s">
        <v>162</v>
      </c>
      <c r="AO503">
        <v>0</v>
      </c>
      <c r="AV503">
        <f>AU503+AM503</f>
        <v>0.2</v>
      </c>
      <c r="AW503" t="s">
        <v>58</v>
      </c>
      <c r="AX503">
        <v>1</v>
      </c>
      <c r="AY503" t="s">
        <v>58</v>
      </c>
      <c r="AZ503">
        <v>1</v>
      </c>
      <c r="BA503">
        <v>0.8</v>
      </c>
      <c r="BB503">
        <v>5</v>
      </c>
      <c r="BC503">
        <v>1</v>
      </c>
      <c r="BD503">
        <f>BA503*BB503*1/7</f>
        <v>0.5714285714285714</v>
      </c>
      <c r="BE503">
        <f>AM503+AU503+BD503</f>
        <v>0.77142857142857135</v>
      </c>
      <c r="BF503" t="s">
        <v>58</v>
      </c>
      <c r="BG503">
        <v>0</v>
      </c>
      <c r="BH503">
        <v>5</v>
      </c>
      <c r="BI503">
        <v>1</v>
      </c>
      <c r="BJ503" t="s">
        <v>28</v>
      </c>
      <c r="BK503">
        <v>3</v>
      </c>
      <c r="BL503">
        <v>3</v>
      </c>
      <c r="BM503">
        <v>1</v>
      </c>
      <c r="BN503" t="s">
        <v>55</v>
      </c>
      <c r="BO503">
        <v>2</v>
      </c>
      <c r="BP503">
        <v>134</v>
      </c>
      <c r="BQ503">
        <v>0.1</v>
      </c>
      <c r="BR503">
        <v>2</v>
      </c>
      <c r="BS503">
        <v>0.2</v>
      </c>
      <c r="BT503">
        <f>BS503+BD503+AU503+AM503</f>
        <v>0.97142857142857131</v>
      </c>
      <c r="BU503">
        <v>1</v>
      </c>
      <c r="BV503">
        <v>2</v>
      </c>
      <c r="BW503">
        <v>293</v>
      </c>
      <c r="BX503">
        <f>BW503/7</f>
        <v>41.857142857142854</v>
      </c>
      <c r="BY503">
        <f>0.77*BX503</f>
        <v>32.229999999999997</v>
      </c>
      <c r="BZ503">
        <f t="shared" si="7"/>
        <v>33.201428571428565</v>
      </c>
    </row>
    <row r="504" spans="1:78">
      <c r="A504" s="1">
        <v>45210.8910740625</v>
      </c>
      <c r="C504">
        <v>503</v>
      </c>
      <c r="D504" s="10">
        <v>30821</v>
      </c>
      <c r="E504">
        <v>39</v>
      </c>
      <c r="F504">
        <v>1</v>
      </c>
      <c r="G504">
        <v>3</v>
      </c>
      <c r="H504">
        <v>4</v>
      </c>
      <c r="I504" s="10">
        <v>44144</v>
      </c>
      <c r="J504">
        <v>1</v>
      </c>
      <c r="K504">
        <v>1</v>
      </c>
      <c r="L504">
        <v>2</v>
      </c>
      <c r="M504">
        <v>2620</v>
      </c>
      <c r="N504">
        <v>2</v>
      </c>
      <c r="O504" s="10">
        <v>43878</v>
      </c>
      <c r="P504">
        <v>0</v>
      </c>
      <c r="Q504">
        <v>38</v>
      </c>
      <c r="R504">
        <v>2</v>
      </c>
      <c r="S504">
        <v>80</v>
      </c>
      <c r="T504">
        <v>158</v>
      </c>
      <c r="U504">
        <v>83</v>
      </c>
      <c r="V504">
        <v>3</v>
      </c>
      <c r="W504">
        <v>1</v>
      </c>
      <c r="X504">
        <v>32.046146450889275</v>
      </c>
      <c r="Y504">
        <v>33.247876942797625</v>
      </c>
      <c r="Z504">
        <v>1.20173049190835</v>
      </c>
      <c r="AA504">
        <v>4</v>
      </c>
      <c r="AB504">
        <v>4</v>
      </c>
      <c r="AC504" t="s">
        <v>33</v>
      </c>
      <c r="AD504">
        <v>3</v>
      </c>
      <c r="AE504">
        <v>0</v>
      </c>
      <c r="AG504">
        <v>5</v>
      </c>
      <c r="AH504">
        <v>0</v>
      </c>
      <c r="AI504">
        <v>0</v>
      </c>
      <c r="AN504" t="s">
        <v>41</v>
      </c>
      <c r="AO504">
        <v>0</v>
      </c>
      <c r="AW504" t="s">
        <v>58</v>
      </c>
      <c r="AX504">
        <v>1</v>
      </c>
      <c r="AY504" t="s">
        <v>58</v>
      </c>
      <c r="AZ504">
        <v>1</v>
      </c>
      <c r="BA504">
        <v>0.8</v>
      </c>
      <c r="BB504">
        <v>7</v>
      </c>
      <c r="BC504">
        <v>1</v>
      </c>
      <c r="BD504">
        <f>BA504*BB504*1/7</f>
        <v>0.8</v>
      </c>
      <c r="BE504">
        <f>AM504+AU504+BD504</f>
        <v>0.8</v>
      </c>
      <c r="BF504" t="s">
        <v>58</v>
      </c>
      <c r="BG504">
        <v>0</v>
      </c>
      <c r="BH504">
        <v>7</v>
      </c>
      <c r="BI504">
        <v>1</v>
      </c>
      <c r="BJ504" t="s">
        <v>228</v>
      </c>
      <c r="BK504">
        <v>4</v>
      </c>
      <c r="BL504">
        <v>3</v>
      </c>
      <c r="BM504">
        <v>1</v>
      </c>
      <c r="BN504" t="s">
        <v>30</v>
      </c>
      <c r="BO504">
        <v>1</v>
      </c>
      <c r="BP504">
        <v>84</v>
      </c>
      <c r="BQ504">
        <v>0.13</v>
      </c>
      <c r="BR504">
        <v>1</v>
      </c>
      <c r="BS504">
        <v>0.13</v>
      </c>
      <c r="BT504">
        <f>BS504+BD504+AU504+AM504</f>
        <v>0.93</v>
      </c>
      <c r="BU504">
        <v>1</v>
      </c>
      <c r="BV504">
        <v>1</v>
      </c>
      <c r="BW504">
        <v>146.5</v>
      </c>
      <c r="BX504">
        <f>BW504/7</f>
        <v>20.928571428571427</v>
      </c>
      <c r="BY504">
        <f>0.77*BX504</f>
        <v>16.114999999999998</v>
      </c>
      <c r="BZ504">
        <f t="shared" si="7"/>
        <v>17.044999999999998</v>
      </c>
    </row>
    <row r="505" spans="1:78">
      <c r="A505" s="1">
        <v>45210.896810497681</v>
      </c>
      <c r="C505">
        <v>504</v>
      </c>
      <c r="D505" s="10">
        <v>33777</v>
      </c>
      <c r="E505">
        <v>31</v>
      </c>
      <c r="F505">
        <v>1</v>
      </c>
      <c r="G505">
        <v>1</v>
      </c>
      <c r="H505">
        <v>4</v>
      </c>
      <c r="I505" s="10">
        <v>44539</v>
      </c>
      <c r="J505">
        <v>1</v>
      </c>
      <c r="K505">
        <v>1</v>
      </c>
      <c r="L505">
        <v>2</v>
      </c>
      <c r="M505">
        <v>3355</v>
      </c>
      <c r="N505">
        <v>2</v>
      </c>
      <c r="O505" s="10">
        <v>44259</v>
      </c>
      <c r="P505">
        <v>1</v>
      </c>
      <c r="Q505">
        <v>40</v>
      </c>
      <c r="R505">
        <v>2</v>
      </c>
      <c r="S505">
        <v>54</v>
      </c>
      <c r="T505">
        <v>163</v>
      </c>
      <c r="U505">
        <v>63</v>
      </c>
      <c r="V505">
        <v>9</v>
      </c>
      <c r="W505">
        <v>1</v>
      </c>
      <c r="X505">
        <v>20.324438255109339</v>
      </c>
      <c r="Y505">
        <v>23.711844630960897</v>
      </c>
      <c r="Z505">
        <v>3.3874063758515582</v>
      </c>
      <c r="AA505">
        <v>2</v>
      </c>
      <c r="AB505">
        <v>2</v>
      </c>
      <c r="AC505" t="s">
        <v>106</v>
      </c>
      <c r="AD505">
        <v>2</v>
      </c>
      <c r="AE505">
        <v>0</v>
      </c>
      <c r="AG505">
        <v>5</v>
      </c>
      <c r="AH505">
        <v>0</v>
      </c>
      <c r="AI505">
        <v>0</v>
      </c>
      <c r="AN505" t="s">
        <v>41</v>
      </c>
      <c r="AO505">
        <v>0</v>
      </c>
      <c r="AW505" t="s">
        <v>58</v>
      </c>
      <c r="AX505">
        <v>1</v>
      </c>
      <c r="AY505" t="s">
        <v>58</v>
      </c>
      <c r="AZ505">
        <v>1</v>
      </c>
      <c r="BA505">
        <v>0.8</v>
      </c>
      <c r="BB505">
        <v>4</v>
      </c>
      <c r="BC505">
        <v>1</v>
      </c>
      <c r="BD505">
        <f>BA505*BB505*1/7</f>
        <v>0.45714285714285718</v>
      </c>
      <c r="BE505">
        <f>AM505+AU505+BD505</f>
        <v>0.45714285714285718</v>
      </c>
      <c r="BF505" t="s">
        <v>58</v>
      </c>
      <c r="BG505">
        <v>0</v>
      </c>
      <c r="BH505">
        <v>4</v>
      </c>
      <c r="BI505">
        <v>1</v>
      </c>
      <c r="BJ505" t="s">
        <v>49</v>
      </c>
      <c r="BK505">
        <v>5</v>
      </c>
      <c r="BL505">
        <v>3</v>
      </c>
      <c r="BM505">
        <v>1</v>
      </c>
      <c r="BN505" t="s">
        <v>30</v>
      </c>
      <c r="BO505">
        <v>1</v>
      </c>
      <c r="BP505">
        <v>84</v>
      </c>
      <c r="BQ505">
        <v>0.13</v>
      </c>
      <c r="BR505">
        <v>1</v>
      </c>
      <c r="BS505">
        <v>0.13</v>
      </c>
      <c r="BT505">
        <f>BS505+BD505+AU505+AM505</f>
        <v>0.58714285714285719</v>
      </c>
      <c r="BU505">
        <v>1</v>
      </c>
      <c r="BV505">
        <v>2</v>
      </c>
      <c r="BW505">
        <v>293</v>
      </c>
      <c r="BX505">
        <f>BW505/7</f>
        <v>41.857142857142854</v>
      </c>
      <c r="BY505">
        <f>0.77*BX505</f>
        <v>32.229999999999997</v>
      </c>
      <c r="BZ505">
        <f t="shared" si="7"/>
        <v>32.817142857142855</v>
      </c>
    </row>
    <row r="506" spans="1:78">
      <c r="A506" s="1">
        <v>45210.89988405093</v>
      </c>
      <c r="C506">
        <v>505</v>
      </c>
      <c r="D506" s="10">
        <v>31196</v>
      </c>
      <c r="E506">
        <v>38</v>
      </c>
      <c r="F506">
        <v>1</v>
      </c>
      <c r="G506">
        <v>1</v>
      </c>
      <c r="H506">
        <v>4</v>
      </c>
      <c r="I506" s="10">
        <v>44833</v>
      </c>
      <c r="J506">
        <v>1</v>
      </c>
      <c r="K506">
        <v>1</v>
      </c>
      <c r="L506">
        <v>1</v>
      </c>
      <c r="M506">
        <v>3850</v>
      </c>
      <c r="N506">
        <v>2</v>
      </c>
      <c r="O506" s="10">
        <v>44546</v>
      </c>
      <c r="P506">
        <v>0</v>
      </c>
      <c r="Q506">
        <v>41</v>
      </c>
      <c r="R506">
        <v>2</v>
      </c>
      <c r="S506">
        <v>56.5</v>
      </c>
      <c r="T506">
        <v>158</v>
      </c>
      <c r="U506">
        <v>81</v>
      </c>
      <c r="V506">
        <v>24.5</v>
      </c>
      <c r="W506">
        <v>3</v>
      </c>
      <c r="X506">
        <v>22.632590930940552</v>
      </c>
      <c r="Y506">
        <v>32.446723281525394</v>
      </c>
      <c r="Z506">
        <v>9.8141323505848419</v>
      </c>
      <c r="AA506">
        <v>2</v>
      </c>
      <c r="AB506">
        <v>4</v>
      </c>
      <c r="AC506" t="s">
        <v>106</v>
      </c>
      <c r="AD506">
        <v>2</v>
      </c>
      <c r="AE506">
        <v>0</v>
      </c>
      <c r="AG506">
        <v>5</v>
      </c>
      <c r="AH506">
        <v>0</v>
      </c>
      <c r="AI506">
        <v>0</v>
      </c>
      <c r="AN506" t="s">
        <v>41</v>
      </c>
      <c r="AO506">
        <v>0</v>
      </c>
      <c r="AW506" t="s">
        <v>58</v>
      </c>
      <c r="AX506">
        <v>1</v>
      </c>
      <c r="AY506" t="s">
        <v>58</v>
      </c>
      <c r="AZ506">
        <v>1</v>
      </c>
      <c r="BA506">
        <v>0.8</v>
      </c>
      <c r="BB506">
        <v>7</v>
      </c>
      <c r="BC506">
        <v>1</v>
      </c>
      <c r="BD506">
        <f>BA506*BB506*1/7</f>
        <v>0.8</v>
      </c>
      <c r="BE506">
        <f>AM506+AU506+BD506</f>
        <v>0.8</v>
      </c>
      <c r="BF506" t="s">
        <v>58</v>
      </c>
      <c r="BG506">
        <v>0</v>
      </c>
      <c r="BH506">
        <v>7</v>
      </c>
      <c r="BI506">
        <v>1</v>
      </c>
      <c r="BJ506" t="s">
        <v>42</v>
      </c>
      <c r="BK506">
        <v>6</v>
      </c>
      <c r="BL506">
        <v>1</v>
      </c>
      <c r="BM506">
        <v>1</v>
      </c>
      <c r="BN506" t="s">
        <v>30</v>
      </c>
      <c r="BO506">
        <v>1</v>
      </c>
      <c r="BP506">
        <v>42</v>
      </c>
      <c r="BQ506">
        <v>0.13</v>
      </c>
      <c r="BR506">
        <v>0.5</v>
      </c>
      <c r="BS506">
        <v>6.5000000000000002E-2</v>
      </c>
      <c r="BT506">
        <f>BS506+BD506+AU506+AM506</f>
        <v>0.86499999999999999</v>
      </c>
      <c r="BU506">
        <v>1</v>
      </c>
      <c r="BV506">
        <v>3</v>
      </c>
      <c r="BW506">
        <v>439.5</v>
      </c>
      <c r="BX506">
        <f>BW506/7</f>
        <v>62.785714285714285</v>
      </c>
      <c r="BY506">
        <f>0.77*BX506</f>
        <v>48.344999999999999</v>
      </c>
      <c r="BZ506">
        <f t="shared" si="7"/>
        <v>49.21</v>
      </c>
    </row>
    <row r="507" spans="1:78">
      <c r="A507" s="1">
        <v>45210.903325127314</v>
      </c>
      <c r="C507">
        <v>506</v>
      </c>
      <c r="D507" s="10">
        <v>31788</v>
      </c>
      <c r="E507">
        <v>36</v>
      </c>
      <c r="F507">
        <v>1</v>
      </c>
      <c r="G507">
        <v>1</v>
      </c>
      <c r="H507">
        <v>4</v>
      </c>
      <c r="I507" s="10">
        <v>44543</v>
      </c>
      <c r="J507">
        <v>1</v>
      </c>
      <c r="K507">
        <v>1</v>
      </c>
      <c r="L507">
        <v>1</v>
      </c>
      <c r="M507">
        <v>4200</v>
      </c>
      <c r="N507">
        <v>3</v>
      </c>
      <c r="O507" s="10">
        <v>44263</v>
      </c>
      <c r="P507">
        <v>1</v>
      </c>
      <c r="Q507">
        <v>40</v>
      </c>
      <c r="R507">
        <v>2</v>
      </c>
      <c r="S507">
        <v>77</v>
      </c>
      <c r="T507">
        <v>165</v>
      </c>
      <c r="U507">
        <v>89</v>
      </c>
      <c r="V507">
        <v>12</v>
      </c>
      <c r="W507">
        <v>3</v>
      </c>
      <c r="X507">
        <v>28.282828282828287</v>
      </c>
      <c r="Y507">
        <v>32.690541781450875</v>
      </c>
      <c r="Z507">
        <v>4.4077134986225879</v>
      </c>
      <c r="AA507">
        <v>3</v>
      </c>
      <c r="AB507">
        <v>4</v>
      </c>
      <c r="AC507" t="s">
        <v>33</v>
      </c>
      <c r="AD507">
        <v>3</v>
      </c>
      <c r="AE507">
        <v>0</v>
      </c>
      <c r="AG507">
        <v>5</v>
      </c>
      <c r="AH507">
        <v>1</v>
      </c>
      <c r="AI507">
        <v>4</v>
      </c>
      <c r="AJ507">
        <v>1</v>
      </c>
      <c r="AK507">
        <v>7</v>
      </c>
      <c r="AL507">
        <v>1</v>
      </c>
      <c r="AM507">
        <f>AJ507*AK507*AL507/7</f>
        <v>1</v>
      </c>
      <c r="AN507" t="s">
        <v>43</v>
      </c>
      <c r="AO507">
        <v>1</v>
      </c>
      <c r="AP507">
        <v>17</v>
      </c>
      <c r="AQ507" t="s">
        <v>140</v>
      </c>
      <c r="AR507">
        <v>0.6</v>
      </c>
      <c r="AS507">
        <v>7</v>
      </c>
      <c r="AT507">
        <v>2</v>
      </c>
      <c r="AU507">
        <f>AR507*AS507*AT507/7</f>
        <v>1.2</v>
      </c>
      <c r="AV507">
        <f>AU507+AM507</f>
        <v>2.2000000000000002</v>
      </c>
      <c r="AW507" t="s">
        <v>357</v>
      </c>
      <c r="AX507">
        <v>0</v>
      </c>
      <c r="BE507">
        <f>AM507+AU507+BD507</f>
        <v>2.2000000000000002</v>
      </c>
      <c r="BF507" t="s">
        <v>896</v>
      </c>
      <c r="BG507">
        <v>1</v>
      </c>
      <c r="BH507">
        <v>7</v>
      </c>
      <c r="BI507">
        <v>1</v>
      </c>
      <c r="BJ507" t="s">
        <v>36</v>
      </c>
      <c r="BK507">
        <v>4</v>
      </c>
      <c r="BL507">
        <v>1</v>
      </c>
      <c r="BM507">
        <v>1</v>
      </c>
      <c r="BN507" t="s">
        <v>55</v>
      </c>
      <c r="BO507">
        <v>2</v>
      </c>
      <c r="BP507">
        <v>134</v>
      </c>
      <c r="BQ507">
        <v>0.1</v>
      </c>
      <c r="BR507">
        <v>2</v>
      </c>
      <c r="BS507">
        <v>0.2</v>
      </c>
      <c r="BT507">
        <f>BS507+BD507+AU507+AM507</f>
        <v>2.4</v>
      </c>
      <c r="BU507">
        <v>1</v>
      </c>
      <c r="BV507">
        <v>2</v>
      </c>
      <c r="BW507">
        <v>293</v>
      </c>
      <c r="BX507">
        <f>BW507/7</f>
        <v>41.857142857142854</v>
      </c>
      <c r="BY507">
        <f>0.77*BX507</f>
        <v>32.229999999999997</v>
      </c>
      <c r="BZ507">
        <f t="shared" si="7"/>
        <v>34.629999999999995</v>
      </c>
    </row>
    <row r="508" spans="1:78">
      <c r="A508" s="1">
        <v>45210.908208958332</v>
      </c>
      <c r="C508">
        <v>507</v>
      </c>
      <c r="D508" s="10">
        <v>33062</v>
      </c>
      <c r="E508">
        <v>33</v>
      </c>
      <c r="F508">
        <v>1</v>
      </c>
      <c r="G508">
        <v>3</v>
      </c>
      <c r="H508">
        <v>4</v>
      </c>
      <c r="I508" s="10">
        <v>44412</v>
      </c>
      <c r="J508">
        <v>1</v>
      </c>
      <c r="K508">
        <v>1</v>
      </c>
      <c r="L508">
        <v>2</v>
      </c>
      <c r="M508">
        <v>3380</v>
      </c>
      <c r="N508">
        <v>2</v>
      </c>
      <c r="O508" s="10">
        <v>44139</v>
      </c>
      <c r="P508">
        <v>1</v>
      </c>
      <c r="Q508">
        <v>39</v>
      </c>
      <c r="R508">
        <v>2</v>
      </c>
      <c r="S508">
        <v>84</v>
      </c>
      <c r="T508">
        <v>184</v>
      </c>
      <c r="U508">
        <v>96</v>
      </c>
      <c r="V508">
        <v>12</v>
      </c>
      <c r="W508">
        <v>2</v>
      </c>
      <c r="X508">
        <v>24.810964083175801</v>
      </c>
      <c r="Y508">
        <v>28.355387523629489</v>
      </c>
      <c r="Z508">
        <v>3.5444234404536878</v>
      </c>
      <c r="AA508">
        <v>2</v>
      </c>
      <c r="AB508">
        <v>3</v>
      </c>
      <c r="AC508" t="s">
        <v>44</v>
      </c>
      <c r="AD508">
        <v>1</v>
      </c>
      <c r="AE508">
        <v>1</v>
      </c>
      <c r="AF508" t="s">
        <v>359</v>
      </c>
      <c r="AG508" t="e">
        <v>#N/A</v>
      </c>
      <c r="AH508">
        <v>1</v>
      </c>
      <c r="AI508">
        <v>16</v>
      </c>
      <c r="AJ508">
        <v>1</v>
      </c>
      <c r="AK508">
        <v>7</v>
      </c>
      <c r="AL508">
        <v>1</v>
      </c>
      <c r="AM508">
        <f>AJ508*AK508*AL508/7</f>
        <v>1</v>
      </c>
      <c r="AN508" t="s">
        <v>360</v>
      </c>
      <c r="AO508">
        <v>0</v>
      </c>
      <c r="AV508">
        <f>AU508+AM508</f>
        <v>1</v>
      </c>
      <c r="AW508" t="s">
        <v>361</v>
      </c>
      <c r="AX508">
        <v>1</v>
      </c>
      <c r="AY508" t="s">
        <v>361</v>
      </c>
      <c r="AZ508">
        <v>5</v>
      </c>
      <c r="BA508">
        <v>0.4</v>
      </c>
      <c r="BB508">
        <v>7</v>
      </c>
      <c r="BC508">
        <v>1</v>
      </c>
      <c r="BD508">
        <f>BA508*BB508*1/7</f>
        <v>0.4</v>
      </c>
      <c r="BE508">
        <f>AM508+AU508+BD508</f>
        <v>1.4</v>
      </c>
      <c r="BF508" t="s">
        <v>361</v>
      </c>
      <c r="BG508">
        <v>0</v>
      </c>
      <c r="BH508">
        <v>7</v>
      </c>
      <c r="BI508">
        <v>1</v>
      </c>
      <c r="BJ508" t="s">
        <v>36</v>
      </c>
      <c r="BK508">
        <v>4</v>
      </c>
      <c r="BL508">
        <v>3</v>
      </c>
      <c r="BM508">
        <v>1</v>
      </c>
      <c r="BN508" t="s">
        <v>37</v>
      </c>
      <c r="BO508">
        <v>4</v>
      </c>
      <c r="BP508">
        <v>110</v>
      </c>
      <c r="BQ508">
        <v>0.05</v>
      </c>
      <c r="BR508">
        <v>2</v>
      </c>
      <c r="BS508">
        <v>0.1</v>
      </c>
      <c r="BT508">
        <f>BS508+BD508+AU508+AM508</f>
        <v>1.5</v>
      </c>
      <c r="BU508">
        <v>1</v>
      </c>
      <c r="BV508">
        <v>1</v>
      </c>
      <c r="BW508">
        <v>146.5</v>
      </c>
      <c r="BX508">
        <f>BW508/7</f>
        <v>20.928571428571427</v>
      </c>
      <c r="BY508">
        <f>0.77*BX508</f>
        <v>16.114999999999998</v>
      </c>
      <c r="BZ508">
        <f t="shared" si="7"/>
        <v>17.614999999999998</v>
      </c>
    </row>
    <row r="509" spans="1:78">
      <c r="A509" s="1">
        <v>45210.914117499997</v>
      </c>
      <c r="C509">
        <v>508</v>
      </c>
      <c r="D509" s="10">
        <v>31521</v>
      </c>
      <c r="E509">
        <v>37</v>
      </c>
      <c r="F509">
        <v>1</v>
      </c>
      <c r="G509">
        <v>10</v>
      </c>
      <c r="H509">
        <v>5</v>
      </c>
      <c r="I509" s="10">
        <v>43819</v>
      </c>
      <c r="J509">
        <v>1</v>
      </c>
      <c r="K509">
        <v>1</v>
      </c>
      <c r="L509">
        <v>2</v>
      </c>
      <c r="M509">
        <v>3050</v>
      </c>
      <c r="N509">
        <v>2</v>
      </c>
      <c r="O509" s="10">
        <v>43553</v>
      </c>
      <c r="P509">
        <v>0</v>
      </c>
      <c r="Q509">
        <v>38</v>
      </c>
      <c r="R509">
        <v>2</v>
      </c>
      <c r="S509">
        <v>57</v>
      </c>
      <c r="T509">
        <v>166</v>
      </c>
      <c r="U509">
        <v>72</v>
      </c>
      <c r="V509">
        <v>15</v>
      </c>
      <c r="W509">
        <v>2</v>
      </c>
      <c r="X509">
        <v>20.685150239512268</v>
      </c>
      <c r="Y509">
        <v>26.1286108288576</v>
      </c>
      <c r="Z509">
        <v>5.4434605893453316</v>
      </c>
      <c r="AA509">
        <v>2</v>
      </c>
      <c r="AB509">
        <v>3</v>
      </c>
      <c r="AC509" t="s">
        <v>33</v>
      </c>
      <c r="AD509">
        <v>3</v>
      </c>
      <c r="AE509">
        <v>0</v>
      </c>
      <c r="AG509">
        <v>5</v>
      </c>
      <c r="AH509">
        <v>1</v>
      </c>
      <c r="AI509">
        <v>5</v>
      </c>
      <c r="AJ509">
        <v>5</v>
      </c>
      <c r="AK509">
        <v>7</v>
      </c>
      <c r="AL509">
        <v>1</v>
      </c>
      <c r="AM509">
        <f>AJ509*AK509*AL509/7</f>
        <v>5</v>
      </c>
      <c r="AN509" t="s">
        <v>27</v>
      </c>
      <c r="AO509">
        <v>0</v>
      </c>
      <c r="AV509">
        <f>AU509+AM509</f>
        <v>5</v>
      </c>
      <c r="AW509" t="s">
        <v>58</v>
      </c>
      <c r="AX509">
        <v>1</v>
      </c>
      <c r="AY509" t="s">
        <v>58</v>
      </c>
      <c r="AZ509">
        <v>1</v>
      </c>
      <c r="BA509">
        <v>0.8</v>
      </c>
      <c r="BB509">
        <v>7</v>
      </c>
      <c r="BC509">
        <v>1</v>
      </c>
      <c r="BD509">
        <f>BA509*BB509*1/7</f>
        <v>0.8</v>
      </c>
      <c r="BE509">
        <f>AM509+AU509+BD509</f>
        <v>5.8</v>
      </c>
      <c r="BF509" t="s">
        <v>58</v>
      </c>
      <c r="BG509">
        <v>0</v>
      </c>
      <c r="BH509">
        <v>7</v>
      </c>
      <c r="BI509">
        <v>1</v>
      </c>
      <c r="BJ509" t="s">
        <v>28</v>
      </c>
      <c r="BK509">
        <v>3</v>
      </c>
      <c r="BL509">
        <v>1</v>
      </c>
      <c r="BM509">
        <v>1</v>
      </c>
      <c r="BN509" t="s">
        <v>30</v>
      </c>
      <c r="BO509">
        <v>1</v>
      </c>
      <c r="BP509">
        <v>42</v>
      </c>
      <c r="BQ509">
        <v>0.13</v>
      </c>
      <c r="BR509">
        <v>0.5</v>
      </c>
      <c r="BS509">
        <v>6.5000000000000002E-2</v>
      </c>
      <c r="BT509">
        <f>BS509+BD509+AU509+AM509</f>
        <v>5.8650000000000002</v>
      </c>
      <c r="BU509">
        <v>1</v>
      </c>
      <c r="BV509">
        <v>0.5</v>
      </c>
      <c r="BW509">
        <v>73.25</v>
      </c>
      <c r="BX509">
        <f>BW509/7</f>
        <v>10.464285714285714</v>
      </c>
      <c r="BY509">
        <f>0.77*BX509</f>
        <v>8.0574999999999992</v>
      </c>
      <c r="BZ509">
        <f t="shared" si="7"/>
        <v>13.922499999999999</v>
      </c>
    </row>
    <row r="510" spans="1:78">
      <c r="A510" s="1">
        <v>45210.918197673614</v>
      </c>
      <c r="C510">
        <v>509</v>
      </c>
      <c r="D510" s="10">
        <v>32819</v>
      </c>
      <c r="E510">
        <v>33</v>
      </c>
      <c r="F510">
        <v>1</v>
      </c>
      <c r="G510">
        <v>7</v>
      </c>
      <c r="H510">
        <v>5</v>
      </c>
      <c r="I510" s="10">
        <v>44049</v>
      </c>
      <c r="J510">
        <v>3</v>
      </c>
      <c r="K510">
        <v>0</v>
      </c>
      <c r="L510">
        <v>2</v>
      </c>
      <c r="M510">
        <v>3180</v>
      </c>
      <c r="N510">
        <v>2</v>
      </c>
      <c r="O510" s="10">
        <v>43769</v>
      </c>
      <c r="P510">
        <v>0</v>
      </c>
      <c r="Q510">
        <v>40</v>
      </c>
      <c r="R510">
        <v>2</v>
      </c>
      <c r="S510">
        <v>60</v>
      </c>
      <c r="T510">
        <v>160</v>
      </c>
      <c r="U510">
        <v>66</v>
      </c>
      <c r="V510">
        <v>6</v>
      </c>
      <c r="W510">
        <v>1</v>
      </c>
      <c r="X510">
        <v>23.437499999999996</v>
      </c>
      <c r="Y510">
        <v>25.781249999999996</v>
      </c>
      <c r="Z510">
        <v>2.34375</v>
      </c>
      <c r="AA510">
        <v>2</v>
      </c>
      <c r="AB510">
        <v>3</v>
      </c>
      <c r="AC510" t="s">
        <v>44</v>
      </c>
      <c r="AD510">
        <v>1</v>
      </c>
      <c r="AE510">
        <v>0</v>
      </c>
      <c r="AG510">
        <v>5</v>
      </c>
      <c r="AH510">
        <v>0</v>
      </c>
      <c r="AI510">
        <v>0</v>
      </c>
      <c r="AN510" t="s">
        <v>157</v>
      </c>
      <c r="AO510">
        <v>0</v>
      </c>
      <c r="AW510" t="s">
        <v>363</v>
      </c>
      <c r="AX510">
        <v>1</v>
      </c>
      <c r="AY510" t="s">
        <v>363</v>
      </c>
      <c r="AZ510">
        <v>14</v>
      </c>
      <c r="BA510">
        <v>0.5</v>
      </c>
      <c r="BB510">
        <v>7</v>
      </c>
      <c r="BC510">
        <v>1</v>
      </c>
      <c r="BD510">
        <f>BA510*BB510*1/7</f>
        <v>0.5</v>
      </c>
      <c r="BE510">
        <f>AM510+AU510+BD510</f>
        <v>0.5</v>
      </c>
      <c r="BF510" t="s">
        <v>363</v>
      </c>
      <c r="BG510">
        <v>0</v>
      </c>
      <c r="BH510">
        <v>7</v>
      </c>
      <c r="BI510">
        <v>1</v>
      </c>
      <c r="BJ510" t="s">
        <v>42</v>
      </c>
      <c r="BK510">
        <v>6</v>
      </c>
      <c r="BL510">
        <v>2</v>
      </c>
      <c r="BM510">
        <v>1</v>
      </c>
      <c r="BN510" t="s">
        <v>37</v>
      </c>
      <c r="BO510">
        <v>4</v>
      </c>
      <c r="BP510">
        <v>55</v>
      </c>
      <c r="BQ510">
        <v>0.05</v>
      </c>
      <c r="BR510">
        <v>1</v>
      </c>
      <c r="BS510">
        <v>0.05</v>
      </c>
      <c r="BT510">
        <f>BS510+BD510+AU510+AM510</f>
        <v>0.55000000000000004</v>
      </c>
      <c r="BU510">
        <v>1</v>
      </c>
      <c r="BV510">
        <v>0.5</v>
      </c>
      <c r="BW510">
        <v>73.25</v>
      </c>
      <c r="BX510">
        <f>BW510/7</f>
        <v>10.464285714285714</v>
      </c>
      <c r="BY510">
        <f>0.77*BX510</f>
        <v>8.0574999999999992</v>
      </c>
      <c r="BZ510">
        <f t="shared" si="7"/>
        <v>8.6074999999999999</v>
      </c>
    </row>
    <row r="511" spans="1:78">
      <c r="A511" s="1">
        <v>45210.919185219907</v>
      </c>
      <c r="C511">
        <v>510</v>
      </c>
      <c r="D511" s="10">
        <v>30499</v>
      </c>
      <c r="E511">
        <v>40</v>
      </c>
      <c r="F511">
        <v>1</v>
      </c>
      <c r="G511">
        <v>11</v>
      </c>
      <c r="H511">
        <v>4</v>
      </c>
      <c r="I511" s="10">
        <v>45011</v>
      </c>
      <c r="J511">
        <v>3</v>
      </c>
      <c r="K511">
        <v>0</v>
      </c>
      <c r="L511">
        <v>1</v>
      </c>
      <c r="M511">
        <v>2450</v>
      </c>
      <c r="N511">
        <v>1</v>
      </c>
      <c r="O511" s="10">
        <v>44766</v>
      </c>
      <c r="P511">
        <v>0</v>
      </c>
      <c r="Q511">
        <v>35</v>
      </c>
      <c r="R511">
        <v>3</v>
      </c>
      <c r="S511">
        <v>56</v>
      </c>
      <c r="T511">
        <v>157</v>
      </c>
      <c r="U511">
        <v>67</v>
      </c>
      <c r="V511">
        <v>11</v>
      </c>
      <c r="W511">
        <v>1</v>
      </c>
      <c r="X511">
        <v>22.718974400584202</v>
      </c>
      <c r="Y511">
        <v>27.181630086413239</v>
      </c>
      <c r="Z511">
        <v>4.4626556858290378</v>
      </c>
      <c r="AA511">
        <v>2</v>
      </c>
      <c r="AB511">
        <v>3</v>
      </c>
      <c r="AC511" t="s">
        <v>44</v>
      </c>
      <c r="AD511">
        <v>1</v>
      </c>
      <c r="AE511">
        <v>1</v>
      </c>
      <c r="AF511" t="s">
        <v>365</v>
      </c>
      <c r="AG511">
        <v>3</v>
      </c>
      <c r="AH511">
        <v>1</v>
      </c>
      <c r="AI511">
        <v>5</v>
      </c>
      <c r="AJ511">
        <v>5</v>
      </c>
      <c r="AK511">
        <v>7</v>
      </c>
      <c r="AL511">
        <v>1</v>
      </c>
      <c r="AM511">
        <f>AJ511*AK511*AL511/7</f>
        <v>5</v>
      </c>
      <c r="AN511" t="s">
        <v>27</v>
      </c>
      <c r="AO511">
        <v>0</v>
      </c>
      <c r="AV511">
        <f>AU511+AM511</f>
        <v>5</v>
      </c>
      <c r="AW511" t="s">
        <v>366</v>
      </c>
      <c r="AX511">
        <v>1</v>
      </c>
      <c r="AY511" t="s">
        <v>366</v>
      </c>
      <c r="AZ511">
        <v>12</v>
      </c>
      <c r="BA511">
        <v>0.4</v>
      </c>
      <c r="BB511">
        <v>7</v>
      </c>
      <c r="BC511">
        <v>1</v>
      </c>
      <c r="BD511">
        <f>BA511*BB511*1/7</f>
        <v>0.4</v>
      </c>
      <c r="BE511">
        <f>AM511+AU511+BD511</f>
        <v>5.4</v>
      </c>
      <c r="BF511" t="s">
        <v>366</v>
      </c>
      <c r="BG511">
        <v>0</v>
      </c>
      <c r="BH511">
        <v>7</v>
      </c>
      <c r="BI511">
        <v>1</v>
      </c>
      <c r="BJ511" t="s">
        <v>49</v>
      </c>
      <c r="BK511">
        <v>5</v>
      </c>
      <c r="BL511">
        <v>1</v>
      </c>
      <c r="BM511">
        <v>1</v>
      </c>
      <c r="BN511" t="s">
        <v>367</v>
      </c>
      <c r="BO511">
        <v>13</v>
      </c>
      <c r="BP511">
        <v>90</v>
      </c>
      <c r="BQ511">
        <v>0.05</v>
      </c>
      <c r="BR511">
        <v>2</v>
      </c>
      <c r="BS511">
        <v>0.1</v>
      </c>
      <c r="BT511">
        <f>BS511+BD511+AU511+AM511</f>
        <v>5.5</v>
      </c>
      <c r="BU511">
        <v>1</v>
      </c>
      <c r="BV511">
        <v>1</v>
      </c>
      <c r="BW511">
        <v>146.5</v>
      </c>
      <c r="BX511">
        <f>BW511/7</f>
        <v>20.928571428571427</v>
      </c>
      <c r="BY511">
        <f>0.77*BX511</f>
        <v>16.114999999999998</v>
      </c>
      <c r="BZ511">
        <f t="shared" si="7"/>
        <v>21.614999999999998</v>
      </c>
    </row>
    <row r="512" spans="1:78">
      <c r="A512" s="1">
        <v>45210.926314652781</v>
      </c>
      <c r="C512">
        <v>511</v>
      </c>
      <c r="D512" s="10">
        <v>32212</v>
      </c>
      <c r="E512">
        <v>36</v>
      </c>
      <c r="F512">
        <v>2</v>
      </c>
      <c r="G512">
        <v>1</v>
      </c>
      <c r="H512">
        <v>4</v>
      </c>
      <c r="I512" s="10">
        <v>44763</v>
      </c>
      <c r="J512">
        <v>1</v>
      </c>
      <c r="K512">
        <v>1</v>
      </c>
      <c r="L512">
        <v>1</v>
      </c>
      <c r="M512">
        <v>3680</v>
      </c>
      <c r="N512">
        <v>2</v>
      </c>
      <c r="O512" s="10">
        <v>44483</v>
      </c>
      <c r="P512">
        <v>1</v>
      </c>
      <c r="Q512">
        <v>40</v>
      </c>
      <c r="R512">
        <v>2</v>
      </c>
      <c r="S512">
        <v>70</v>
      </c>
      <c r="T512">
        <v>155</v>
      </c>
      <c r="U512">
        <v>75</v>
      </c>
      <c r="V512">
        <v>5</v>
      </c>
      <c r="W512">
        <v>1</v>
      </c>
      <c r="X512">
        <v>29.136316337148799</v>
      </c>
      <c r="Y512">
        <v>31.217481789802285</v>
      </c>
      <c r="Z512">
        <v>2.0811654526534866</v>
      </c>
      <c r="AA512">
        <v>3</v>
      </c>
      <c r="AB512">
        <v>4</v>
      </c>
      <c r="AC512" t="s">
        <v>33</v>
      </c>
      <c r="AD512">
        <v>3</v>
      </c>
      <c r="AE512">
        <v>0</v>
      </c>
      <c r="AG512">
        <v>5</v>
      </c>
      <c r="AH512">
        <v>0</v>
      </c>
      <c r="AI512">
        <v>0</v>
      </c>
      <c r="AN512" t="s">
        <v>41</v>
      </c>
      <c r="AO512">
        <v>0</v>
      </c>
      <c r="AW512" t="s">
        <v>58</v>
      </c>
      <c r="AX512">
        <v>1</v>
      </c>
      <c r="AY512" t="s">
        <v>58</v>
      </c>
      <c r="AZ512">
        <v>1</v>
      </c>
      <c r="BA512">
        <v>0.8</v>
      </c>
      <c r="BB512">
        <v>7</v>
      </c>
      <c r="BC512">
        <v>1</v>
      </c>
      <c r="BD512">
        <f>BA512*BB512*1/7</f>
        <v>0.8</v>
      </c>
      <c r="BE512">
        <f>AM512+AU512+BD512</f>
        <v>0.8</v>
      </c>
      <c r="BF512" t="s">
        <v>58</v>
      </c>
      <c r="BG512">
        <v>0</v>
      </c>
      <c r="BH512">
        <v>7</v>
      </c>
      <c r="BI512">
        <v>1</v>
      </c>
      <c r="BJ512" t="s">
        <v>49</v>
      </c>
      <c r="BK512">
        <v>5</v>
      </c>
      <c r="BL512">
        <v>1</v>
      </c>
      <c r="BM512">
        <v>1</v>
      </c>
      <c r="BN512" t="s">
        <v>30</v>
      </c>
      <c r="BO512">
        <v>1</v>
      </c>
      <c r="BP512">
        <v>84</v>
      </c>
      <c r="BQ512">
        <v>0.13</v>
      </c>
      <c r="BR512">
        <v>1</v>
      </c>
      <c r="BS512">
        <v>0.13</v>
      </c>
      <c r="BT512">
        <f>BS512+BD512+AU512+AM512</f>
        <v>0.93</v>
      </c>
      <c r="BU512">
        <v>1</v>
      </c>
      <c r="BV512">
        <v>1</v>
      </c>
      <c r="BW512">
        <v>146.5</v>
      </c>
      <c r="BX512">
        <f>BW512/7</f>
        <v>20.928571428571427</v>
      </c>
      <c r="BY512">
        <f>0.77*BX512</f>
        <v>16.114999999999998</v>
      </c>
      <c r="BZ512">
        <f t="shared" si="7"/>
        <v>17.044999999999998</v>
      </c>
    </row>
    <row r="513" spans="1:78">
      <c r="A513" s="1">
        <v>45210.930192002314</v>
      </c>
      <c r="C513">
        <v>512</v>
      </c>
      <c r="D513" s="10">
        <v>31156</v>
      </c>
      <c r="E513">
        <v>38</v>
      </c>
      <c r="F513">
        <v>1</v>
      </c>
      <c r="G513">
        <v>1</v>
      </c>
      <c r="H513">
        <v>4</v>
      </c>
      <c r="I513" s="10">
        <v>44384</v>
      </c>
      <c r="J513">
        <v>2</v>
      </c>
      <c r="K513">
        <v>0</v>
      </c>
      <c r="L513">
        <v>1</v>
      </c>
      <c r="M513">
        <v>3950</v>
      </c>
      <c r="N513">
        <v>2</v>
      </c>
      <c r="O513" s="10">
        <v>44125</v>
      </c>
      <c r="P513">
        <v>1</v>
      </c>
      <c r="Q513">
        <v>37</v>
      </c>
      <c r="R513">
        <v>2</v>
      </c>
      <c r="S513">
        <v>85</v>
      </c>
      <c r="T513">
        <v>165</v>
      </c>
      <c r="U513">
        <v>92</v>
      </c>
      <c r="V513">
        <v>7</v>
      </c>
      <c r="W513">
        <v>2</v>
      </c>
      <c r="X513">
        <v>31.221303948576679</v>
      </c>
      <c r="Y513">
        <v>33.792470156106525</v>
      </c>
      <c r="Z513">
        <v>2.5711662075298456</v>
      </c>
      <c r="AA513">
        <v>4</v>
      </c>
      <c r="AB513">
        <v>4</v>
      </c>
      <c r="AC513" t="s">
        <v>33</v>
      </c>
      <c r="AD513">
        <v>3</v>
      </c>
      <c r="AE513">
        <v>0</v>
      </c>
      <c r="AG513">
        <v>5</v>
      </c>
      <c r="AH513">
        <v>0</v>
      </c>
      <c r="AI513">
        <v>0</v>
      </c>
      <c r="AN513" t="s">
        <v>41</v>
      </c>
      <c r="AO513">
        <v>0</v>
      </c>
      <c r="AW513" t="s">
        <v>58</v>
      </c>
      <c r="AX513">
        <v>1</v>
      </c>
      <c r="AY513" t="s">
        <v>58</v>
      </c>
      <c r="AZ513">
        <v>1</v>
      </c>
      <c r="BA513">
        <v>0.8</v>
      </c>
      <c r="BB513">
        <v>7</v>
      </c>
      <c r="BC513">
        <v>1</v>
      </c>
      <c r="BD513">
        <f>BA513*BB513*1/7</f>
        <v>0.8</v>
      </c>
      <c r="BE513">
        <f>AM513+AU513+BD513</f>
        <v>0.8</v>
      </c>
      <c r="BF513" t="s">
        <v>58</v>
      </c>
      <c r="BG513">
        <v>0</v>
      </c>
      <c r="BH513">
        <v>7</v>
      </c>
      <c r="BI513">
        <v>1</v>
      </c>
      <c r="BJ513" t="s">
        <v>49</v>
      </c>
      <c r="BK513">
        <v>5</v>
      </c>
      <c r="BL513">
        <v>3</v>
      </c>
      <c r="BM513">
        <v>1</v>
      </c>
      <c r="BN513" t="s">
        <v>30</v>
      </c>
      <c r="BO513">
        <v>1</v>
      </c>
      <c r="BP513">
        <v>168</v>
      </c>
      <c r="BQ513">
        <v>0.13</v>
      </c>
      <c r="BR513">
        <v>2</v>
      </c>
      <c r="BS513">
        <v>0.26</v>
      </c>
      <c r="BT513">
        <f>BS513+BD513+AU513+AM513</f>
        <v>1.06</v>
      </c>
      <c r="BU513">
        <v>1</v>
      </c>
      <c r="BV513">
        <v>4</v>
      </c>
      <c r="BW513">
        <v>586</v>
      </c>
      <c r="BX513">
        <f>BW513/7</f>
        <v>83.714285714285708</v>
      </c>
      <c r="BY513">
        <f>0.77*BX513</f>
        <v>64.459999999999994</v>
      </c>
      <c r="BZ513">
        <f t="shared" si="7"/>
        <v>65.52</v>
      </c>
    </row>
    <row r="514" spans="1:78">
      <c r="A514" s="1">
        <v>45210.933980543981</v>
      </c>
      <c r="C514">
        <v>513</v>
      </c>
      <c r="D514" s="10">
        <v>32046</v>
      </c>
      <c r="E514">
        <v>36</v>
      </c>
      <c r="F514">
        <v>1</v>
      </c>
      <c r="G514">
        <v>2</v>
      </c>
      <c r="H514">
        <v>4</v>
      </c>
      <c r="I514" s="10">
        <v>43424</v>
      </c>
      <c r="J514">
        <v>1</v>
      </c>
      <c r="K514">
        <v>1</v>
      </c>
      <c r="L514">
        <v>2</v>
      </c>
      <c r="M514">
        <v>3320</v>
      </c>
      <c r="N514">
        <v>2</v>
      </c>
      <c r="O514" s="10">
        <v>43158</v>
      </c>
      <c r="P514">
        <v>0</v>
      </c>
      <c r="Q514">
        <v>38</v>
      </c>
      <c r="R514">
        <v>2</v>
      </c>
      <c r="S514">
        <v>83</v>
      </c>
      <c r="T514">
        <v>171</v>
      </c>
      <c r="U514">
        <v>93</v>
      </c>
      <c r="V514">
        <v>10</v>
      </c>
      <c r="W514">
        <v>2</v>
      </c>
      <c r="X514">
        <v>28.384802161348794</v>
      </c>
      <c r="Y514">
        <v>31.80465784343901</v>
      </c>
      <c r="Z514">
        <v>3.4198556820902155</v>
      </c>
      <c r="AA514">
        <v>3</v>
      </c>
      <c r="AB514">
        <v>4</v>
      </c>
      <c r="AC514" t="s">
        <v>33</v>
      </c>
      <c r="AD514">
        <v>3</v>
      </c>
      <c r="AE514">
        <v>0</v>
      </c>
      <c r="AG514">
        <v>5</v>
      </c>
      <c r="AH514">
        <v>1</v>
      </c>
      <c r="AI514">
        <v>18</v>
      </c>
      <c r="AJ514">
        <v>2</v>
      </c>
      <c r="AK514">
        <v>7</v>
      </c>
      <c r="AL514">
        <v>1</v>
      </c>
      <c r="AM514">
        <f>AJ514*AK514*AL514/7</f>
        <v>2</v>
      </c>
      <c r="AN514" t="s">
        <v>217</v>
      </c>
      <c r="AO514">
        <v>0</v>
      </c>
      <c r="AV514">
        <f>AU514+AM514</f>
        <v>2</v>
      </c>
      <c r="AX514">
        <v>0</v>
      </c>
      <c r="BE514">
        <f>AM514+AU514+BD514</f>
        <v>2</v>
      </c>
      <c r="BG514">
        <v>0</v>
      </c>
      <c r="BJ514" t="s">
        <v>49</v>
      </c>
      <c r="BK514">
        <v>5</v>
      </c>
      <c r="BL514">
        <v>4</v>
      </c>
      <c r="BM514">
        <v>1</v>
      </c>
      <c r="BN514" t="s">
        <v>55</v>
      </c>
      <c r="BO514">
        <v>2</v>
      </c>
      <c r="BP514">
        <v>67</v>
      </c>
      <c r="BQ514">
        <v>0.1</v>
      </c>
      <c r="BR514">
        <v>1</v>
      </c>
      <c r="BS514">
        <v>0.1</v>
      </c>
      <c r="BT514">
        <f>BS514+BD514+AU514+AM514</f>
        <v>2.1</v>
      </c>
      <c r="BU514">
        <v>1</v>
      </c>
      <c r="BV514">
        <v>0.5</v>
      </c>
      <c r="BW514">
        <v>73.25</v>
      </c>
      <c r="BX514">
        <f>BW514/7</f>
        <v>10.464285714285714</v>
      </c>
      <c r="BY514">
        <f>0.77*BX514</f>
        <v>8.0574999999999992</v>
      </c>
      <c r="BZ514">
        <f t="shared" si="7"/>
        <v>10.157499999999999</v>
      </c>
    </row>
    <row r="515" spans="1:78">
      <c r="A515" s="1">
        <v>45210.96824850695</v>
      </c>
      <c r="B515" t="s">
        <v>865</v>
      </c>
      <c r="C515">
        <v>514</v>
      </c>
      <c r="D515" s="10">
        <v>31306</v>
      </c>
      <c r="E515">
        <v>38</v>
      </c>
      <c r="F515">
        <v>1</v>
      </c>
      <c r="G515">
        <v>12</v>
      </c>
      <c r="H515">
        <v>5</v>
      </c>
      <c r="I515" s="10">
        <v>42887</v>
      </c>
      <c r="J515">
        <v>1</v>
      </c>
      <c r="K515">
        <v>1</v>
      </c>
      <c r="L515">
        <v>2</v>
      </c>
      <c r="M515">
        <v>3280</v>
      </c>
      <c r="N515">
        <v>2</v>
      </c>
      <c r="O515" s="10">
        <v>42614</v>
      </c>
      <c r="P515">
        <v>0</v>
      </c>
      <c r="Q515">
        <v>39</v>
      </c>
      <c r="R515">
        <v>2</v>
      </c>
      <c r="S515">
        <v>67</v>
      </c>
      <c r="T515">
        <v>153</v>
      </c>
      <c r="U515">
        <v>71</v>
      </c>
      <c r="V515">
        <v>4</v>
      </c>
      <c r="W515">
        <v>1</v>
      </c>
      <c r="X515">
        <v>28.621470374642232</v>
      </c>
      <c r="Y515">
        <v>30.330214874620872</v>
      </c>
      <c r="Z515">
        <v>1.7087444999786392</v>
      </c>
      <c r="AA515">
        <v>3</v>
      </c>
      <c r="AB515">
        <v>4</v>
      </c>
      <c r="AC515" t="s">
        <v>50</v>
      </c>
      <c r="AD515">
        <v>2</v>
      </c>
      <c r="AE515">
        <v>0</v>
      </c>
      <c r="AG515">
        <v>5</v>
      </c>
      <c r="AH515">
        <v>1</v>
      </c>
      <c r="AI515">
        <v>5</v>
      </c>
      <c r="AJ515">
        <v>5</v>
      </c>
      <c r="AK515">
        <v>7</v>
      </c>
      <c r="AL515">
        <v>1</v>
      </c>
      <c r="AM515">
        <f>AJ515*AK515*AL515/7</f>
        <v>5</v>
      </c>
      <c r="AN515" t="s">
        <v>27</v>
      </c>
      <c r="AO515">
        <v>0</v>
      </c>
      <c r="AV515">
        <f>AU515+AM515</f>
        <v>5</v>
      </c>
      <c r="AW515" t="s">
        <v>684</v>
      </c>
      <c r="AX515">
        <v>1</v>
      </c>
      <c r="AY515" t="s">
        <v>684</v>
      </c>
      <c r="AZ515">
        <v>16</v>
      </c>
      <c r="BA515" t="s">
        <v>258</v>
      </c>
      <c r="BB515">
        <v>7</v>
      </c>
      <c r="BC515">
        <v>1</v>
      </c>
      <c r="BE515">
        <f>AM515+AU515+BD515</f>
        <v>5</v>
      </c>
      <c r="BF515" t="s">
        <v>684</v>
      </c>
      <c r="BG515" t="s">
        <v>258</v>
      </c>
      <c r="BH515">
        <v>7</v>
      </c>
      <c r="BI515">
        <v>1</v>
      </c>
      <c r="BJ515" t="s">
        <v>49</v>
      </c>
      <c r="BK515">
        <v>5</v>
      </c>
      <c r="BL515">
        <v>1</v>
      </c>
      <c r="BM515">
        <v>1</v>
      </c>
      <c r="BN515" t="s">
        <v>30</v>
      </c>
      <c r="BO515">
        <v>1</v>
      </c>
      <c r="BP515">
        <v>84</v>
      </c>
      <c r="BQ515">
        <v>0.13</v>
      </c>
      <c r="BR515">
        <v>1</v>
      </c>
      <c r="BS515">
        <v>0.13</v>
      </c>
      <c r="BT515">
        <f>BS515+BD515+AU515+AM515</f>
        <v>5.13</v>
      </c>
      <c r="BU515">
        <v>1</v>
      </c>
      <c r="BV515">
        <v>2</v>
      </c>
      <c r="BW515">
        <v>293</v>
      </c>
      <c r="BX515">
        <f>BW515/7</f>
        <v>41.857142857142854</v>
      </c>
      <c r="BY515">
        <f>0.77*BX515</f>
        <v>32.229999999999997</v>
      </c>
      <c r="BZ515">
        <f t="shared" si="7"/>
        <v>37.36</v>
      </c>
    </row>
    <row r="516" spans="1:78">
      <c r="A516" s="1">
        <v>45210.968983981482</v>
      </c>
      <c r="C516">
        <v>515</v>
      </c>
      <c r="D516" s="10">
        <v>30970</v>
      </c>
      <c r="E516">
        <v>38</v>
      </c>
      <c r="F516">
        <v>1</v>
      </c>
      <c r="G516">
        <v>4</v>
      </c>
      <c r="H516">
        <v>3</v>
      </c>
      <c r="I516" s="10">
        <v>43624</v>
      </c>
      <c r="J516">
        <v>2</v>
      </c>
      <c r="K516">
        <v>0</v>
      </c>
      <c r="L516">
        <v>2</v>
      </c>
      <c r="M516">
        <v>3680</v>
      </c>
      <c r="N516">
        <v>2</v>
      </c>
      <c r="O516" s="10">
        <v>43358</v>
      </c>
      <c r="P516">
        <v>0</v>
      </c>
      <c r="Q516">
        <v>38</v>
      </c>
      <c r="R516">
        <v>2</v>
      </c>
      <c r="S516">
        <v>84</v>
      </c>
      <c r="T516">
        <v>160</v>
      </c>
      <c r="U516">
        <v>90</v>
      </c>
      <c r="V516">
        <v>6</v>
      </c>
      <c r="W516">
        <v>1</v>
      </c>
      <c r="X516">
        <v>32.812499999999993</v>
      </c>
      <c r="Y516">
        <v>35.156249999999993</v>
      </c>
      <c r="Z516">
        <v>2.34375</v>
      </c>
      <c r="AA516">
        <v>4</v>
      </c>
      <c r="AB516">
        <v>4</v>
      </c>
      <c r="AC516" t="s">
        <v>33</v>
      </c>
      <c r="AD516">
        <v>3</v>
      </c>
      <c r="AE516">
        <v>0</v>
      </c>
      <c r="AG516">
        <v>5</v>
      </c>
      <c r="AH516">
        <v>1</v>
      </c>
      <c r="AI516">
        <v>13</v>
      </c>
      <c r="AJ516">
        <v>1</v>
      </c>
      <c r="AK516">
        <v>7</v>
      </c>
      <c r="AL516">
        <v>1</v>
      </c>
      <c r="AM516">
        <f>AJ516*AK516*AL516/7</f>
        <v>1</v>
      </c>
      <c r="AN516" t="s">
        <v>79</v>
      </c>
      <c r="AO516">
        <v>0</v>
      </c>
      <c r="AV516">
        <f>AU516+AM516</f>
        <v>1</v>
      </c>
      <c r="AX516">
        <v>0</v>
      </c>
      <c r="BE516">
        <f>AM516+AU516+BD516</f>
        <v>1</v>
      </c>
      <c r="BG516">
        <v>0</v>
      </c>
      <c r="BJ516" t="s">
        <v>49</v>
      </c>
      <c r="BK516">
        <v>5</v>
      </c>
      <c r="BL516">
        <v>4</v>
      </c>
      <c r="BM516">
        <v>1</v>
      </c>
      <c r="BN516" t="s">
        <v>30</v>
      </c>
      <c r="BO516">
        <v>1</v>
      </c>
      <c r="BP516">
        <v>252</v>
      </c>
      <c r="BQ516">
        <v>0.13</v>
      </c>
      <c r="BR516">
        <v>3</v>
      </c>
      <c r="BS516">
        <v>0.39</v>
      </c>
      <c r="BT516">
        <f>BS516+BD516+AU516+AM516</f>
        <v>1.3900000000000001</v>
      </c>
      <c r="BU516">
        <v>1</v>
      </c>
      <c r="BV516">
        <v>1</v>
      </c>
      <c r="BW516">
        <v>146.5</v>
      </c>
      <c r="BX516">
        <f>BW516/7</f>
        <v>20.928571428571427</v>
      </c>
      <c r="BY516">
        <f>0.77*BX516</f>
        <v>16.114999999999998</v>
      </c>
      <c r="BZ516">
        <f t="shared" ref="BZ516:BZ579" si="8">BS516+BD516+AU516+AM516+BY516</f>
        <v>17.504999999999999</v>
      </c>
    </row>
    <row r="517" spans="1:78">
      <c r="A517" s="1">
        <v>45210.969283078703</v>
      </c>
      <c r="C517">
        <v>516</v>
      </c>
      <c r="D517" s="10">
        <v>31670</v>
      </c>
      <c r="E517">
        <v>37</v>
      </c>
      <c r="F517">
        <v>1</v>
      </c>
      <c r="G517">
        <v>14</v>
      </c>
      <c r="H517">
        <v>4</v>
      </c>
      <c r="I517" s="10">
        <v>43439</v>
      </c>
      <c r="J517">
        <v>2</v>
      </c>
      <c r="K517">
        <v>0</v>
      </c>
      <c r="L517">
        <v>1</v>
      </c>
      <c r="M517">
        <v>3200</v>
      </c>
      <c r="N517">
        <v>2</v>
      </c>
      <c r="O517" s="10">
        <v>43173</v>
      </c>
      <c r="P517">
        <v>0</v>
      </c>
      <c r="Q517">
        <v>38</v>
      </c>
      <c r="R517">
        <v>2</v>
      </c>
      <c r="S517">
        <v>65</v>
      </c>
      <c r="T517">
        <v>169</v>
      </c>
      <c r="U517">
        <v>80</v>
      </c>
      <c r="V517">
        <v>15</v>
      </c>
      <c r="W517">
        <v>2</v>
      </c>
      <c r="X517">
        <v>22.758306781975424</v>
      </c>
      <c r="Y517">
        <v>28.010223731662059</v>
      </c>
      <c r="Z517">
        <v>5.2519169496866347</v>
      </c>
      <c r="AA517">
        <v>2</v>
      </c>
      <c r="AB517">
        <v>3</v>
      </c>
      <c r="AC517" t="s">
        <v>33</v>
      </c>
      <c r="AD517">
        <v>3</v>
      </c>
      <c r="AE517">
        <v>0</v>
      </c>
      <c r="AG517">
        <v>5</v>
      </c>
      <c r="AH517">
        <v>1</v>
      </c>
      <c r="AI517">
        <v>5</v>
      </c>
      <c r="AJ517">
        <v>5</v>
      </c>
      <c r="AK517">
        <v>7</v>
      </c>
      <c r="AL517">
        <v>1</v>
      </c>
      <c r="AM517">
        <f>AJ517*AK517*AL517/7</f>
        <v>5</v>
      </c>
      <c r="AN517" t="s">
        <v>27</v>
      </c>
      <c r="AO517">
        <v>0</v>
      </c>
      <c r="AV517">
        <f>AU517+AM517</f>
        <v>5</v>
      </c>
      <c r="AW517" t="s">
        <v>58</v>
      </c>
      <c r="AX517">
        <v>1</v>
      </c>
      <c r="AY517" t="s">
        <v>58</v>
      </c>
      <c r="AZ517">
        <v>1</v>
      </c>
      <c r="BA517">
        <v>0.8</v>
      </c>
      <c r="BB517">
        <v>7</v>
      </c>
      <c r="BC517">
        <v>1</v>
      </c>
      <c r="BD517">
        <f>BA517*BB517*1/7</f>
        <v>0.8</v>
      </c>
      <c r="BE517">
        <f>AM517+AU517+BD517</f>
        <v>5.8</v>
      </c>
      <c r="BF517" t="s">
        <v>58</v>
      </c>
      <c r="BG517">
        <v>0</v>
      </c>
      <c r="BH517">
        <v>7</v>
      </c>
      <c r="BI517">
        <v>1</v>
      </c>
      <c r="BJ517" t="s">
        <v>49</v>
      </c>
      <c r="BK517">
        <v>5</v>
      </c>
      <c r="BL517">
        <v>3</v>
      </c>
      <c r="BM517">
        <v>0</v>
      </c>
      <c r="BN517" t="s">
        <v>371</v>
      </c>
      <c r="BO517">
        <v>15</v>
      </c>
      <c r="BP517">
        <v>0</v>
      </c>
      <c r="BQ517">
        <v>0</v>
      </c>
      <c r="BR517">
        <v>0</v>
      </c>
      <c r="BS517">
        <v>0</v>
      </c>
      <c r="BT517">
        <f>BS517+BD517+AU517+AM517</f>
        <v>5.8</v>
      </c>
      <c r="BU517">
        <v>0</v>
      </c>
      <c r="BW517">
        <v>0</v>
      </c>
      <c r="BX517">
        <f>BW517/7</f>
        <v>0</v>
      </c>
      <c r="BY517">
        <f>0.77*BX517</f>
        <v>0</v>
      </c>
      <c r="BZ517">
        <f t="shared" si="8"/>
        <v>5.8</v>
      </c>
    </row>
    <row r="518" spans="1:78">
      <c r="A518" s="1">
        <v>45210.970792025459</v>
      </c>
      <c r="C518">
        <v>517</v>
      </c>
      <c r="D518" s="10">
        <v>33939</v>
      </c>
      <c r="E518">
        <v>30</v>
      </c>
      <c r="F518">
        <v>1</v>
      </c>
      <c r="G518">
        <v>10</v>
      </c>
      <c r="H518">
        <v>4</v>
      </c>
      <c r="I518" s="10">
        <v>44836</v>
      </c>
      <c r="J518">
        <v>1</v>
      </c>
      <c r="K518">
        <v>1</v>
      </c>
      <c r="L518">
        <v>2</v>
      </c>
      <c r="M518">
        <v>3390</v>
      </c>
      <c r="N518">
        <v>2</v>
      </c>
      <c r="O518" s="10">
        <v>44566</v>
      </c>
      <c r="P518">
        <v>0</v>
      </c>
      <c r="Q518">
        <v>38.571428571428569</v>
      </c>
      <c r="R518">
        <v>2</v>
      </c>
      <c r="S518">
        <v>120</v>
      </c>
      <c r="T518">
        <v>173</v>
      </c>
      <c r="U518">
        <v>117.1</v>
      </c>
      <c r="V518">
        <v>-2.9000000000000057</v>
      </c>
      <c r="W518">
        <v>1</v>
      </c>
      <c r="X518">
        <v>40.094891242607503</v>
      </c>
      <c r="Y518">
        <v>39.125931370911154</v>
      </c>
      <c r="Z518">
        <v>-0.96895987169634878</v>
      </c>
      <c r="AA518">
        <v>4</v>
      </c>
      <c r="AB518">
        <v>4</v>
      </c>
      <c r="AC518" t="s">
        <v>33</v>
      </c>
      <c r="AD518">
        <v>3</v>
      </c>
      <c r="AE518">
        <v>0</v>
      </c>
      <c r="AG518">
        <v>5</v>
      </c>
      <c r="AH518">
        <v>1</v>
      </c>
      <c r="AI518">
        <v>13</v>
      </c>
      <c r="AJ518">
        <v>1</v>
      </c>
      <c r="AK518">
        <v>7</v>
      </c>
      <c r="AL518">
        <v>1</v>
      </c>
      <c r="AM518">
        <f>AJ518*AK518*AL518/7</f>
        <v>1</v>
      </c>
      <c r="AN518" t="s">
        <v>79</v>
      </c>
      <c r="AO518">
        <v>0</v>
      </c>
      <c r="AV518">
        <f>AU518+AM518</f>
        <v>1</v>
      </c>
      <c r="AX518">
        <v>0</v>
      </c>
      <c r="BE518">
        <f>AM518+AU518+BD518</f>
        <v>1</v>
      </c>
      <c r="BG518">
        <v>0</v>
      </c>
      <c r="BJ518" t="s">
        <v>49</v>
      </c>
      <c r="BK518">
        <v>5</v>
      </c>
      <c r="BL518">
        <v>1</v>
      </c>
      <c r="BM518">
        <v>1</v>
      </c>
      <c r="BN518" t="s">
        <v>30</v>
      </c>
      <c r="BO518">
        <v>1</v>
      </c>
      <c r="BP518">
        <v>168</v>
      </c>
      <c r="BQ518">
        <v>0.13</v>
      </c>
      <c r="BR518">
        <v>2</v>
      </c>
      <c r="BS518">
        <v>0.26</v>
      </c>
      <c r="BT518">
        <f>BS518+BD518+AU518+AM518</f>
        <v>1.26</v>
      </c>
      <c r="BU518">
        <v>1</v>
      </c>
      <c r="BV518">
        <v>4</v>
      </c>
      <c r="BW518">
        <v>586</v>
      </c>
      <c r="BX518">
        <f>BW518/7</f>
        <v>83.714285714285708</v>
      </c>
      <c r="BY518">
        <f>0.77*BX518</f>
        <v>64.459999999999994</v>
      </c>
      <c r="BZ518">
        <f t="shared" si="8"/>
        <v>65.72</v>
      </c>
    </row>
    <row r="519" spans="1:78">
      <c r="A519" s="1">
        <v>45210.97428962963</v>
      </c>
      <c r="C519">
        <v>518</v>
      </c>
      <c r="D519" s="10">
        <v>33922</v>
      </c>
      <c r="E519">
        <v>31</v>
      </c>
      <c r="F519">
        <v>2</v>
      </c>
      <c r="G519">
        <v>4</v>
      </c>
      <c r="H519">
        <v>4</v>
      </c>
      <c r="I519" s="10">
        <v>43663</v>
      </c>
      <c r="J519">
        <v>1</v>
      </c>
      <c r="K519">
        <v>1</v>
      </c>
      <c r="L519">
        <v>1</v>
      </c>
      <c r="M519">
        <v>3450</v>
      </c>
      <c r="N519">
        <v>2</v>
      </c>
      <c r="O519" s="10">
        <v>43392</v>
      </c>
      <c r="P519">
        <v>0</v>
      </c>
      <c r="Q519">
        <v>38.714285714285715</v>
      </c>
      <c r="R519">
        <v>2</v>
      </c>
      <c r="S519">
        <v>89</v>
      </c>
      <c r="T519">
        <v>163</v>
      </c>
      <c r="U519">
        <v>98</v>
      </c>
      <c r="V519">
        <v>9</v>
      </c>
      <c r="W519">
        <v>2</v>
      </c>
      <c r="X519">
        <v>33.497685272309838</v>
      </c>
      <c r="Y519">
        <v>36.885091648161392</v>
      </c>
      <c r="Z519">
        <v>3.3874063758515547</v>
      </c>
      <c r="AA519">
        <v>4</v>
      </c>
      <c r="AB519">
        <v>4</v>
      </c>
      <c r="AC519" t="s">
        <v>44</v>
      </c>
      <c r="AD519">
        <v>1</v>
      </c>
      <c r="AE519">
        <v>0</v>
      </c>
      <c r="AG519">
        <v>5</v>
      </c>
      <c r="AH519">
        <v>1</v>
      </c>
      <c r="AI519">
        <v>4</v>
      </c>
      <c r="AJ519">
        <v>1</v>
      </c>
      <c r="AK519">
        <v>7</v>
      </c>
      <c r="AL519">
        <v>1</v>
      </c>
      <c r="AM519">
        <f>AJ519*AK519*AL519/7</f>
        <v>1</v>
      </c>
      <c r="AN519" t="s">
        <v>43</v>
      </c>
      <c r="AO519">
        <v>0</v>
      </c>
      <c r="AV519">
        <f>AU519+AM519</f>
        <v>1</v>
      </c>
      <c r="AW519" t="s">
        <v>372</v>
      </c>
      <c r="AX519">
        <v>1</v>
      </c>
      <c r="AY519" t="s">
        <v>372</v>
      </c>
      <c r="AZ519">
        <v>14</v>
      </c>
      <c r="BA519">
        <v>0.5</v>
      </c>
      <c r="BB519">
        <v>7</v>
      </c>
      <c r="BC519">
        <v>1</v>
      </c>
      <c r="BD519">
        <f>BA519*BB519*1/7</f>
        <v>0.5</v>
      </c>
      <c r="BE519">
        <f>AM519+AU519+BD519</f>
        <v>1.5</v>
      </c>
      <c r="BF519" t="s">
        <v>372</v>
      </c>
      <c r="BG519">
        <v>0</v>
      </c>
      <c r="BH519">
        <v>7</v>
      </c>
      <c r="BI519">
        <v>1</v>
      </c>
      <c r="BJ519" t="s">
        <v>49</v>
      </c>
      <c r="BK519">
        <v>5</v>
      </c>
      <c r="BL519">
        <v>1</v>
      </c>
      <c r="BM519">
        <v>1</v>
      </c>
      <c r="BN519" t="s">
        <v>59</v>
      </c>
      <c r="BO519">
        <v>3</v>
      </c>
      <c r="BP519">
        <v>112</v>
      </c>
      <c r="BQ519">
        <v>0.08</v>
      </c>
      <c r="BR519">
        <v>2</v>
      </c>
      <c r="BS519">
        <v>0.16</v>
      </c>
      <c r="BT519">
        <f>BS519+BD519+AU519+AM519</f>
        <v>1.6600000000000001</v>
      </c>
      <c r="BU519">
        <v>1</v>
      </c>
      <c r="BV519">
        <v>1</v>
      </c>
      <c r="BW519">
        <v>146.5</v>
      </c>
      <c r="BX519">
        <f>BW519/7</f>
        <v>20.928571428571427</v>
      </c>
      <c r="BY519">
        <f>0.77*BX519</f>
        <v>16.114999999999998</v>
      </c>
      <c r="BZ519">
        <f t="shared" si="8"/>
        <v>17.774999999999999</v>
      </c>
    </row>
    <row r="520" spans="1:78">
      <c r="A520" s="1">
        <v>45210.99204636574</v>
      </c>
      <c r="C520">
        <v>519</v>
      </c>
      <c r="D520" s="10">
        <v>33925</v>
      </c>
      <c r="E520">
        <v>30</v>
      </c>
      <c r="F520">
        <v>1</v>
      </c>
      <c r="G520">
        <v>3</v>
      </c>
      <c r="H520">
        <v>4</v>
      </c>
      <c r="I520" s="10">
        <v>44448</v>
      </c>
      <c r="J520">
        <v>1</v>
      </c>
      <c r="K520">
        <v>1</v>
      </c>
      <c r="L520">
        <v>2</v>
      </c>
      <c r="M520">
        <v>3550</v>
      </c>
      <c r="N520">
        <v>2</v>
      </c>
      <c r="O520" s="10">
        <v>44182</v>
      </c>
      <c r="P520">
        <v>1</v>
      </c>
      <c r="Q520">
        <v>38</v>
      </c>
      <c r="R520">
        <v>2</v>
      </c>
      <c r="S520">
        <v>59</v>
      </c>
      <c r="T520">
        <v>154</v>
      </c>
      <c r="U520">
        <v>72</v>
      </c>
      <c r="V520">
        <v>13</v>
      </c>
      <c r="W520">
        <v>2</v>
      </c>
      <c r="X520">
        <v>24.877719682914488</v>
      </c>
      <c r="Y520">
        <v>30.359251138471919</v>
      </c>
      <c r="Z520">
        <v>5.4815314555574304</v>
      </c>
      <c r="AA520">
        <v>2</v>
      </c>
      <c r="AB520">
        <v>4</v>
      </c>
      <c r="AC520" t="s">
        <v>33</v>
      </c>
      <c r="AD520">
        <v>3</v>
      </c>
      <c r="AE520">
        <v>0</v>
      </c>
      <c r="AG520">
        <v>5</v>
      </c>
      <c r="AH520">
        <v>1</v>
      </c>
      <c r="AI520">
        <v>13</v>
      </c>
      <c r="AJ520">
        <v>1</v>
      </c>
      <c r="AK520">
        <v>7</v>
      </c>
      <c r="AL520">
        <v>1</v>
      </c>
      <c r="AM520">
        <f>AJ520*AK520*AL520/7</f>
        <v>1</v>
      </c>
      <c r="AN520" t="s">
        <v>79</v>
      </c>
      <c r="AO520">
        <v>0</v>
      </c>
      <c r="AV520">
        <f>AU520+AM520</f>
        <v>1</v>
      </c>
      <c r="AX520">
        <v>0</v>
      </c>
      <c r="BE520">
        <f>AM520+AU520+BD520</f>
        <v>1</v>
      </c>
      <c r="BG520">
        <v>0</v>
      </c>
      <c r="BJ520" t="s">
        <v>49</v>
      </c>
      <c r="BK520">
        <v>5</v>
      </c>
      <c r="BL520">
        <v>3</v>
      </c>
      <c r="BM520">
        <v>1</v>
      </c>
      <c r="BN520" t="s">
        <v>66</v>
      </c>
      <c r="BO520">
        <v>9</v>
      </c>
      <c r="BP520">
        <v>177</v>
      </c>
      <c r="BQ520">
        <v>0.09</v>
      </c>
      <c r="BR520">
        <v>3</v>
      </c>
      <c r="BS520">
        <v>0.27</v>
      </c>
      <c r="BT520">
        <f>BS520+BD520+AU520+AM520</f>
        <v>1.27</v>
      </c>
      <c r="BU520">
        <v>1</v>
      </c>
      <c r="BV520">
        <v>3</v>
      </c>
      <c r="BW520">
        <v>439.5</v>
      </c>
      <c r="BX520">
        <f>BW520/7</f>
        <v>62.785714285714285</v>
      </c>
      <c r="BY520">
        <f>0.77*BX520</f>
        <v>48.344999999999999</v>
      </c>
      <c r="BZ520">
        <f t="shared" si="8"/>
        <v>49.615000000000002</v>
      </c>
    </row>
    <row r="521" spans="1:78">
      <c r="A521" s="1">
        <v>45210.992825601847</v>
      </c>
      <c r="B521" s="9" t="s">
        <v>866</v>
      </c>
      <c r="C521">
        <v>520</v>
      </c>
      <c r="D521" s="10">
        <v>31793</v>
      </c>
      <c r="E521">
        <v>36</v>
      </c>
      <c r="F521">
        <v>1</v>
      </c>
      <c r="G521">
        <v>1</v>
      </c>
      <c r="H521">
        <v>4</v>
      </c>
      <c r="I521" s="10">
        <v>43138</v>
      </c>
      <c r="J521">
        <v>1</v>
      </c>
      <c r="K521">
        <v>1</v>
      </c>
      <c r="L521">
        <v>2</v>
      </c>
      <c r="M521">
        <v>3480</v>
      </c>
      <c r="N521">
        <v>2</v>
      </c>
      <c r="O521" s="10">
        <v>42872</v>
      </c>
      <c r="P521">
        <v>0</v>
      </c>
      <c r="Q521">
        <v>38</v>
      </c>
      <c r="R521">
        <v>2</v>
      </c>
      <c r="S521">
        <v>70</v>
      </c>
      <c r="T521">
        <v>156</v>
      </c>
      <c r="U521">
        <v>80</v>
      </c>
      <c r="V521">
        <v>10</v>
      </c>
      <c r="W521">
        <v>2</v>
      </c>
      <c r="X521">
        <v>28.763971071663377</v>
      </c>
      <c r="Y521">
        <v>32.873109796186718</v>
      </c>
      <c r="Z521">
        <v>4.1091387245233406</v>
      </c>
      <c r="AA521">
        <v>3</v>
      </c>
      <c r="AB521">
        <v>4</v>
      </c>
      <c r="AC521" t="s">
        <v>50</v>
      </c>
      <c r="AD521">
        <v>2</v>
      </c>
      <c r="AE521">
        <v>0</v>
      </c>
      <c r="AG521">
        <v>5</v>
      </c>
      <c r="AH521">
        <v>1</v>
      </c>
      <c r="AI521" t="s">
        <v>258</v>
      </c>
      <c r="AJ521" t="s">
        <v>258</v>
      </c>
      <c r="AK521">
        <v>7</v>
      </c>
      <c r="AL521">
        <v>1</v>
      </c>
      <c r="AM521" t="s">
        <v>258</v>
      </c>
      <c r="AN521" t="s">
        <v>785</v>
      </c>
      <c r="AO521">
        <v>0</v>
      </c>
      <c r="AX521">
        <v>0</v>
      </c>
      <c r="BE521" t="s">
        <v>258</v>
      </c>
      <c r="BG521">
        <v>0</v>
      </c>
      <c r="BJ521" t="s">
        <v>28</v>
      </c>
      <c r="BK521">
        <v>3</v>
      </c>
      <c r="BL521">
        <v>1</v>
      </c>
      <c r="BM521">
        <v>1</v>
      </c>
      <c r="BN521" t="s">
        <v>30</v>
      </c>
      <c r="BO521">
        <v>1</v>
      </c>
      <c r="BP521">
        <v>168</v>
      </c>
      <c r="BQ521">
        <v>0.13</v>
      </c>
      <c r="BR521">
        <v>2</v>
      </c>
      <c r="BS521">
        <v>0.26</v>
      </c>
      <c r="BT521" t="e">
        <f>BS521+BD521+AU521+AM521</f>
        <v>#VALUE!</v>
      </c>
      <c r="BU521">
        <v>1</v>
      </c>
      <c r="BV521">
        <v>1</v>
      </c>
      <c r="BW521">
        <v>146.5</v>
      </c>
      <c r="BX521">
        <f>BW521/7</f>
        <v>20.928571428571427</v>
      </c>
      <c r="BY521">
        <f>0.77*BX521</f>
        <v>16.114999999999998</v>
      </c>
      <c r="BZ521" t="e">
        <f t="shared" si="8"/>
        <v>#VALUE!</v>
      </c>
    </row>
    <row r="522" spans="1:78">
      <c r="A522" s="1">
        <v>45211.010340868059</v>
      </c>
      <c r="C522">
        <v>521</v>
      </c>
      <c r="D522" s="10">
        <v>29855</v>
      </c>
      <c r="E522">
        <v>42</v>
      </c>
      <c r="F522">
        <v>1</v>
      </c>
      <c r="G522">
        <v>2</v>
      </c>
      <c r="H522">
        <v>4</v>
      </c>
      <c r="I522" s="10">
        <v>43691</v>
      </c>
      <c r="J522">
        <v>2</v>
      </c>
      <c r="K522">
        <v>0</v>
      </c>
      <c r="L522">
        <v>2</v>
      </c>
      <c r="M522">
        <v>3280</v>
      </c>
      <c r="N522">
        <v>2</v>
      </c>
      <c r="O522" s="10">
        <v>43432</v>
      </c>
      <c r="P522">
        <v>0</v>
      </c>
      <c r="Q522">
        <v>37</v>
      </c>
      <c r="R522">
        <v>2</v>
      </c>
      <c r="S522">
        <v>55</v>
      </c>
      <c r="T522">
        <v>158</v>
      </c>
      <c r="U522">
        <v>60</v>
      </c>
      <c r="V522">
        <v>5</v>
      </c>
      <c r="W522">
        <v>1</v>
      </c>
      <c r="X522">
        <v>22.031725684986377</v>
      </c>
      <c r="Y522">
        <v>24.034609838166958</v>
      </c>
      <c r="Z522">
        <v>2.002884153180581</v>
      </c>
      <c r="AA522">
        <v>2</v>
      </c>
      <c r="AB522">
        <v>2</v>
      </c>
      <c r="AC522" t="s">
        <v>44</v>
      </c>
      <c r="AD522">
        <v>1</v>
      </c>
      <c r="AE522">
        <v>0</v>
      </c>
      <c r="AG522">
        <v>5</v>
      </c>
      <c r="AH522">
        <v>1</v>
      </c>
      <c r="AI522">
        <v>6</v>
      </c>
      <c r="AJ522">
        <v>1</v>
      </c>
      <c r="AK522">
        <v>7</v>
      </c>
      <c r="AL522">
        <v>1</v>
      </c>
      <c r="AM522">
        <f>AJ522*AK522*AL522/7</f>
        <v>1</v>
      </c>
      <c r="AN522" t="s">
        <v>373</v>
      </c>
      <c r="AO522">
        <v>0</v>
      </c>
      <c r="AV522">
        <f>AU522+AM522</f>
        <v>1</v>
      </c>
      <c r="AX522">
        <v>0</v>
      </c>
      <c r="BE522">
        <f>AM522+AU522+BD522</f>
        <v>1</v>
      </c>
      <c r="BG522">
        <v>0</v>
      </c>
      <c r="BJ522" t="s">
        <v>49</v>
      </c>
      <c r="BK522">
        <v>5</v>
      </c>
      <c r="BL522">
        <v>2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f>BS522+BD522+AU522+AM522</f>
        <v>1</v>
      </c>
      <c r="BU522">
        <v>0</v>
      </c>
      <c r="BW522">
        <v>0</v>
      </c>
      <c r="BX522">
        <f>BW522/7</f>
        <v>0</v>
      </c>
      <c r="BY522">
        <f>0.77*BX522</f>
        <v>0</v>
      </c>
      <c r="BZ522">
        <f t="shared" si="8"/>
        <v>1</v>
      </c>
    </row>
    <row r="523" spans="1:78">
      <c r="A523" s="1">
        <v>45211.010973576384</v>
      </c>
      <c r="C523">
        <v>522</v>
      </c>
      <c r="D523" s="10">
        <v>34621</v>
      </c>
      <c r="E523">
        <v>28</v>
      </c>
      <c r="F523">
        <v>1</v>
      </c>
      <c r="G523">
        <v>12</v>
      </c>
      <c r="H523">
        <v>3</v>
      </c>
      <c r="I523" s="10">
        <v>44958</v>
      </c>
      <c r="J523">
        <v>1</v>
      </c>
      <c r="K523">
        <v>1</v>
      </c>
      <c r="L523">
        <v>2</v>
      </c>
      <c r="M523">
        <v>2990</v>
      </c>
      <c r="N523">
        <v>2</v>
      </c>
      <c r="O523" s="10">
        <v>44692</v>
      </c>
      <c r="P523">
        <v>0</v>
      </c>
      <c r="Q523">
        <v>38</v>
      </c>
      <c r="R523">
        <v>2</v>
      </c>
      <c r="S523">
        <v>80.5</v>
      </c>
      <c r="T523">
        <v>157</v>
      </c>
      <c r="U523">
        <v>81.5</v>
      </c>
      <c r="V523">
        <v>1</v>
      </c>
      <c r="W523">
        <v>1</v>
      </c>
      <c r="X523">
        <v>32.658525700839789</v>
      </c>
      <c r="Y523">
        <v>33.064221672278791</v>
      </c>
      <c r="Z523">
        <v>0.40569597143900182</v>
      </c>
      <c r="AA523">
        <v>4</v>
      </c>
      <c r="AB523">
        <v>4</v>
      </c>
      <c r="AC523" t="s">
        <v>50</v>
      </c>
      <c r="AD523">
        <v>2</v>
      </c>
      <c r="AE523">
        <v>0</v>
      </c>
      <c r="AG523">
        <v>5</v>
      </c>
      <c r="AH523">
        <v>1</v>
      </c>
      <c r="AI523">
        <v>13</v>
      </c>
      <c r="AJ523">
        <v>1</v>
      </c>
      <c r="AK523">
        <v>4</v>
      </c>
      <c r="AL523">
        <v>1</v>
      </c>
      <c r="AM523">
        <f>AJ523*AK523*AL523/7</f>
        <v>0.5714285714285714</v>
      </c>
      <c r="AN523" t="s">
        <v>79</v>
      </c>
      <c r="AO523">
        <v>1</v>
      </c>
      <c r="AP523">
        <v>24</v>
      </c>
      <c r="AQ523" t="s">
        <v>375</v>
      </c>
      <c r="AR523">
        <v>0.5</v>
      </c>
      <c r="AS523">
        <v>6</v>
      </c>
      <c r="AT523">
        <v>1</v>
      </c>
      <c r="AU523">
        <f>AR523*AS523*AT523/7</f>
        <v>0.42857142857142855</v>
      </c>
      <c r="AV523">
        <f>AU523+AM523</f>
        <v>1</v>
      </c>
      <c r="AW523" t="s">
        <v>375</v>
      </c>
      <c r="AX523">
        <v>0</v>
      </c>
      <c r="BE523">
        <f>AM523+AU523+BD523</f>
        <v>1</v>
      </c>
      <c r="BG523">
        <v>0</v>
      </c>
      <c r="BJ523" t="s">
        <v>49</v>
      </c>
      <c r="BK523">
        <v>5</v>
      </c>
      <c r="BL523">
        <v>1</v>
      </c>
      <c r="BM523">
        <v>1</v>
      </c>
      <c r="BN523" t="s">
        <v>55</v>
      </c>
      <c r="BO523">
        <v>2</v>
      </c>
      <c r="BP523">
        <v>67</v>
      </c>
      <c r="BQ523">
        <v>0.1</v>
      </c>
      <c r="BR523">
        <v>1</v>
      </c>
      <c r="BS523">
        <v>0.1</v>
      </c>
      <c r="BT523">
        <f>BS523+BD523+AU523+AM523</f>
        <v>1.1000000000000001</v>
      </c>
      <c r="BU523">
        <v>1</v>
      </c>
      <c r="BV523">
        <v>1</v>
      </c>
      <c r="BW523">
        <v>146.5</v>
      </c>
      <c r="BX523">
        <f>BW523/7</f>
        <v>20.928571428571427</v>
      </c>
      <c r="BY523">
        <f>0.77*BX523</f>
        <v>16.114999999999998</v>
      </c>
      <c r="BZ523">
        <f t="shared" si="8"/>
        <v>17.215</v>
      </c>
    </row>
    <row r="524" spans="1:78">
      <c r="A524" s="1">
        <v>45211.015246828705</v>
      </c>
      <c r="B524" t="s">
        <v>870</v>
      </c>
      <c r="C524">
        <v>523</v>
      </c>
      <c r="D524" s="10">
        <v>30141</v>
      </c>
      <c r="E524">
        <v>41</v>
      </c>
      <c r="F524">
        <v>1</v>
      </c>
      <c r="G524">
        <v>2</v>
      </c>
      <c r="H524">
        <v>4</v>
      </c>
      <c r="I524" s="10">
        <v>44690</v>
      </c>
      <c r="J524">
        <v>1</v>
      </c>
      <c r="K524">
        <v>1</v>
      </c>
      <c r="L524">
        <v>2</v>
      </c>
      <c r="M524">
        <v>2105</v>
      </c>
      <c r="N524">
        <v>1</v>
      </c>
      <c r="O524" s="10">
        <v>44445</v>
      </c>
      <c r="P524">
        <v>1</v>
      </c>
      <c r="Q524">
        <v>35</v>
      </c>
      <c r="R524">
        <v>3</v>
      </c>
      <c r="S524">
        <v>64</v>
      </c>
      <c r="T524">
        <v>159</v>
      </c>
      <c r="U524">
        <v>69</v>
      </c>
      <c r="V524">
        <v>5</v>
      </c>
      <c r="W524">
        <v>1</v>
      </c>
      <c r="X524">
        <v>25.315454293738377</v>
      </c>
      <c r="Y524">
        <v>27.29322416043669</v>
      </c>
      <c r="Z524">
        <v>1.9777698666983135</v>
      </c>
      <c r="AA524">
        <v>3</v>
      </c>
      <c r="AB524">
        <v>3</v>
      </c>
      <c r="AC524" t="s">
        <v>786</v>
      </c>
      <c r="AD524">
        <v>4</v>
      </c>
      <c r="AE524">
        <v>0</v>
      </c>
      <c r="AG524">
        <v>5</v>
      </c>
      <c r="AH524">
        <v>1</v>
      </c>
      <c r="AI524">
        <v>20</v>
      </c>
      <c r="AJ524">
        <v>0.13</v>
      </c>
      <c r="AK524">
        <v>7</v>
      </c>
      <c r="AL524">
        <v>2</v>
      </c>
      <c r="AM524">
        <f>AJ524*AK524*AL524/7</f>
        <v>0.26</v>
      </c>
      <c r="AN524" t="s">
        <v>506</v>
      </c>
      <c r="AO524">
        <v>0</v>
      </c>
      <c r="AW524" t="s">
        <v>787</v>
      </c>
      <c r="AX524">
        <v>0</v>
      </c>
      <c r="BE524">
        <f>AM524+AU524+BD524</f>
        <v>0.26</v>
      </c>
      <c r="BF524" t="s">
        <v>787</v>
      </c>
      <c r="BG524">
        <v>1</v>
      </c>
      <c r="BH524">
        <v>7</v>
      </c>
      <c r="BI524">
        <v>2</v>
      </c>
      <c r="BJ524" t="s">
        <v>36</v>
      </c>
      <c r="BK524">
        <v>4</v>
      </c>
      <c r="BL524" t="e">
        <v>#N/A</v>
      </c>
      <c r="BM524">
        <v>1</v>
      </c>
      <c r="BN524" t="s">
        <v>30</v>
      </c>
      <c r="BO524">
        <v>1</v>
      </c>
      <c r="BP524">
        <v>168</v>
      </c>
      <c r="BQ524">
        <v>0.13</v>
      </c>
      <c r="BR524">
        <v>2</v>
      </c>
      <c r="BS524">
        <v>0.26</v>
      </c>
      <c r="BT524">
        <f>BS524+BD524+AU524+AM524</f>
        <v>0.52</v>
      </c>
      <c r="BU524">
        <v>1</v>
      </c>
      <c r="BV524">
        <v>1</v>
      </c>
      <c r="BW524">
        <v>146.5</v>
      </c>
      <c r="BX524">
        <f>BW524/7</f>
        <v>20.928571428571427</v>
      </c>
      <c r="BY524">
        <f>0.77*BX524</f>
        <v>16.114999999999998</v>
      </c>
      <c r="BZ524">
        <f t="shared" si="8"/>
        <v>16.634999999999998</v>
      </c>
    </row>
    <row r="525" spans="1:78">
      <c r="A525" s="1">
        <v>45211.018269166671</v>
      </c>
      <c r="C525">
        <v>524</v>
      </c>
      <c r="D525" s="10">
        <v>31379</v>
      </c>
      <c r="E525">
        <v>37</v>
      </c>
      <c r="F525">
        <v>1</v>
      </c>
      <c r="G525">
        <v>1</v>
      </c>
      <c r="H525">
        <v>3</v>
      </c>
      <c r="I525" s="10">
        <v>44849</v>
      </c>
      <c r="J525">
        <v>2</v>
      </c>
      <c r="K525">
        <v>0</v>
      </c>
      <c r="L525">
        <v>2</v>
      </c>
      <c r="M525">
        <v>2870</v>
      </c>
      <c r="N525">
        <v>2</v>
      </c>
      <c r="O525" s="10">
        <v>44583</v>
      </c>
      <c r="P525">
        <v>0</v>
      </c>
      <c r="Q525">
        <v>38</v>
      </c>
      <c r="R525">
        <v>2</v>
      </c>
      <c r="S525">
        <v>102</v>
      </c>
      <c r="T525">
        <v>153</v>
      </c>
      <c r="U525">
        <v>98</v>
      </c>
      <c r="V525">
        <v>-4</v>
      </c>
      <c r="W525">
        <v>1</v>
      </c>
      <c r="X525">
        <v>43.572984749455337</v>
      </c>
      <c r="Y525">
        <v>41.864240249476694</v>
      </c>
      <c r="Z525">
        <v>-1.7087444999786428</v>
      </c>
      <c r="AA525">
        <v>4</v>
      </c>
      <c r="AB525">
        <v>4</v>
      </c>
      <c r="AC525" t="s">
        <v>44</v>
      </c>
      <c r="AD525">
        <v>1</v>
      </c>
      <c r="AE525">
        <v>0</v>
      </c>
      <c r="AG525">
        <v>5</v>
      </c>
      <c r="AH525">
        <v>1</v>
      </c>
      <c r="AI525">
        <v>5</v>
      </c>
      <c r="AJ525">
        <v>5</v>
      </c>
      <c r="AK525">
        <v>7</v>
      </c>
      <c r="AL525">
        <v>1</v>
      </c>
      <c r="AM525">
        <f>AJ525*AK525*AL525/7</f>
        <v>5</v>
      </c>
      <c r="AN525" t="s">
        <v>27</v>
      </c>
      <c r="AO525">
        <v>0</v>
      </c>
      <c r="AV525">
        <f>AU525+AM525</f>
        <v>5</v>
      </c>
      <c r="AX525">
        <v>0</v>
      </c>
      <c r="BE525">
        <f>AM525+AU525+BD525</f>
        <v>5</v>
      </c>
      <c r="BG525">
        <v>0</v>
      </c>
      <c r="BJ525" t="s">
        <v>28</v>
      </c>
      <c r="BK525">
        <v>3</v>
      </c>
      <c r="BL525">
        <v>1</v>
      </c>
      <c r="BM525">
        <v>1</v>
      </c>
      <c r="BN525" t="s">
        <v>37</v>
      </c>
      <c r="BO525">
        <v>4</v>
      </c>
      <c r="BP525">
        <v>55</v>
      </c>
      <c r="BQ525">
        <v>0.05</v>
      </c>
      <c r="BR525">
        <v>1</v>
      </c>
      <c r="BS525">
        <v>0.05</v>
      </c>
      <c r="BT525">
        <f>BS525+BD525+AU525+AM525</f>
        <v>5.05</v>
      </c>
      <c r="BU525">
        <v>1</v>
      </c>
      <c r="BV525">
        <v>1</v>
      </c>
      <c r="BW525">
        <v>146.5</v>
      </c>
      <c r="BX525">
        <f>BW525/7</f>
        <v>20.928571428571427</v>
      </c>
      <c r="BY525">
        <f>0.77*BX525</f>
        <v>16.114999999999998</v>
      </c>
      <c r="BZ525">
        <f t="shared" si="8"/>
        <v>21.164999999999999</v>
      </c>
    </row>
    <row r="526" spans="1:78">
      <c r="A526" s="1">
        <v>45211.101937187501</v>
      </c>
      <c r="C526">
        <v>525</v>
      </c>
      <c r="D526" s="10">
        <v>32275</v>
      </c>
      <c r="E526">
        <v>35</v>
      </c>
      <c r="F526">
        <v>1</v>
      </c>
      <c r="G526">
        <v>2</v>
      </c>
      <c r="H526">
        <v>5</v>
      </c>
      <c r="I526" s="10">
        <v>44950</v>
      </c>
      <c r="J526">
        <v>1</v>
      </c>
      <c r="K526">
        <v>1</v>
      </c>
      <c r="L526">
        <v>2</v>
      </c>
      <c r="M526">
        <v>3900</v>
      </c>
      <c r="N526">
        <v>2</v>
      </c>
      <c r="O526" s="10">
        <v>44684</v>
      </c>
      <c r="P526">
        <v>0</v>
      </c>
      <c r="Q526">
        <v>38</v>
      </c>
      <c r="R526">
        <v>2</v>
      </c>
      <c r="S526">
        <v>88</v>
      </c>
      <c r="T526">
        <v>162</v>
      </c>
      <c r="U526">
        <v>97</v>
      </c>
      <c r="V526">
        <v>9</v>
      </c>
      <c r="W526">
        <v>2</v>
      </c>
      <c r="X526">
        <v>33.53147386069196</v>
      </c>
      <c r="Y526">
        <v>36.96082914189909</v>
      </c>
      <c r="Z526">
        <v>3.4293552812071297</v>
      </c>
      <c r="AA526">
        <v>4</v>
      </c>
      <c r="AB526">
        <v>4</v>
      </c>
      <c r="AC526" t="s">
        <v>33</v>
      </c>
      <c r="AD526">
        <v>3</v>
      </c>
      <c r="AE526">
        <v>1</v>
      </c>
      <c r="AF526" t="s">
        <v>376</v>
      </c>
      <c r="AG526" t="e">
        <v>#N/A</v>
      </c>
      <c r="AH526">
        <v>1</v>
      </c>
      <c r="AI526">
        <v>18</v>
      </c>
      <c r="AJ526">
        <v>2</v>
      </c>
      <c r="AK526">
        <v>7</v>
      </c>
      <c r="AL526">
        <v>3</v>
      </c>
      <c r="AM526">
        <f>AJ526*AK526*AL526/7</f>
        <v>6</v>
      </c>
      <c r="AN526" t="s">
        <v>217</v>
      </c>
      <c r="AO526">
        <v>0</v>
      </c>
      <c r="AV526">
        <f>AU526+AM526</f>
        <v>6</v>
      </c>
      <c r="AW526" t="s">
        <v>58</v>
      </c>
      <c r="AX526">
        <v>1</v>
      </c>
      <c r="AY526" t="s">
        <v>58</v>
      </c>
      <c r="AZ526">
        <v>1</v>
      </c>
      <c r="BA526">
        <v>0.8</v>
      </c>
      <c r="BB526">
        <v>7</v>
      </c>
      <c r="BC526">
        <v>1</v>
      </c>
      <c r="BD526">
        <f>BA526*BB526*1/7</f>
        <v>0.8</v>
      </c>
      <c r="BE526">
        <f>AM526+AU526+BD526</f>
        <v>6.8</v>
      </c>
      <c r="BF526" t="s">
        <v>58</v>
      </c>
      <c r="BG526">
        <v>0</v>
      </c>
      <c r="BH526">
        <v>7</v>
      </c>
      <c r="BI526">
        <v>1</v>
      </c>
      <c r="BJ526" t="s">
        <v>42</v>
      </c>
      <c r="BK526">
        <v>6</v>
      </c>
      <c r="BL526">
        <v>3</v>
      </c>
      <c r="BM526">
        <v>1</v>
      </c>
      <c r="BN526" t="s">
        <v>30</v>
      </c>
      <c r="BO526">
        <v>1</v>
      </c>
      <c r="BP526">
        <v>84</v>
      </c>
      <c r="BQ526">
        <v>0.13</v>
      </c>
      <c r="BR526">
        <v>1</v>
      </c>
      <c r="BS526">
        <v>0.13</v>
      </c>
      <c r="BT526">
        <f>BS526+BD526+AU526+AM526</f>
        <v>6.93</v>
      </c>
      <c r="BU526">
        <v>1</v>
      </c>
      <c r="BV526">
        <v>1</v>
      </c>
      <c r="BW526">
        <v>146.5</v>
      </c>
      <c r="BX526">
        <f>BW526/7</f>
        <v>20.928571428571427</v>
      </c>
      <c r="BY526">
        <f>0.77*BX526</f>
        <v>16.114999999999998</v>
      </c>
      <c r="BZ526">
        <f t="shared" si="8"/>
        <v>23.044999999999998</v>
      </c>
    </row>
    <row r="527" spans="1:78">
      <c r="A527" s="1">
        <v>45211.261488055556</v>
      </c>
      <c r="C527">
        <v>526</v>
      </c>
      <c r="D527" s="10">
        <v>34295</v>
      </c>
      <c r="E527">
        <v>29</v>
      </c>
      <c r="F527">
        <v>1</v>
      </c>
      <c r="G527">
        <v>1</v>
      </c>
      <c r="H527">
        <v>5</v>
      </c>
      <c r="I527" s="10">
        <v>43983</v>
      </c>
      <c r="J527">
        <v>1</v>
      </c>
      <c r="K527">
        <v>1</v>
      </c>
      <c r="L527">
        <v>2</v>
      </c>
      <c r="M527">
        <v>3159</v>
      </c>
      <c r="N527">
        <v>2</v>
      </c>
      <c r="O527" s="10">
        <v>43710</v>
      </c>
      <c r="P527">
        <v>0</v>
      </c>
      <c r="Q527">
        <v>39</v>
      </c>
      <c r="R527">
        <v>2</v>
      </c>
      <c r="S527">
        <v>68</v>
      </c>
      <c r="T527">
        <v>173</v>
      </c>
      <c r="U527">
        <v>75</v>
      </c>
      <c r="V527">
        <v>7</v>
      </c>
      <c r="W527">
        <v>1</v>
      </c>
      <c r="X527">
        <v>22.720438370810918</v>
      </c>
      <c r="Y527">
        <v>25.059307026629689</v>
      </c>
      <c r="Z527">
        <v>2.3388686558187715</v>
      </c>
      <c r="AA527">
        <v>2</v>
      </c>
      <c r="AB527">
        <v>3</v>
      </c>
      <c r="AC527" t="s">
        <v>33</v>
      </c>
      <c r="AD527">
        <v>3</v>
      </c>
      <c r="AE527">
        <v>0</v>
      </c>
      <c r="AG527">
        <v>5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f>AJ527*AK527*AL527/7</f>
        <v>0.14285714285714285</v>
      </c>
      <c r="AN527" t="s">
        <v>56</v>
      </c>
      <c r="AO527">
        <v>0</v>
      </c>
      <c r="AV527">
        <f>AU527+AM527</f>
        <v>0.14285714285714285</v>
      </c>
      <c r="AW527" t="s">
        <v>116</v>
      </c>
      <c r="AX527">
        <v>0</v>
      </c>
      <c r="AY527" t="s">
        <v>116</v>
      </c>
      <c r="BE527">
        <f>AM527+AU527+BD527</f>
        <v>0.14285714285714285</v>
      </c>
      <c r="BF527" t="s">
        <v>116</v>
      </c>
      <c r="BG527">
        <v>1</v>
      </c>
      <c r="BH527">
        <v>1</v>
      </c>
      <c r="BI527">
        <v>1</v>
      </c>
      <c r="BJ527" t="s">
        <v>36</v>
      </c>
      <c r="BK527">
        <v>4</v>
      </c>
      <c r="BL527">
        <v>1</v>
      </c>
      <c r="BM527">
        <v>1</v>
      </c>
      <c r="BN527" t="s">
        <v>30</v>
      </c>
      <c r="BO527">
        <v>1</v>
      </c>
      <c r="BP527">
        <v>84</v>
      </c>
      <c r="BQ527">
        <v>0.13</v>
      </c>
      <c r="BR527">
        <v>1</v>
      </c>
      <c r="BS527">
        <v>0.13</v>
      </c>
      <c r="BT527">
        <f>BS527+BD527+AU527+AM527</f>
        <v>0.27285714285714285</v>
      </c>
      <c r="BU527">
        <v>1</v>
      </c>
      <c r="BV527">
        <v>2</v>
      </c>
      <c r="BW527">
        <v>293</v>
      </c>
      <c r="BX527">
        <f>BW527/7</f>
        <v>41.857142857142854</v>
      </c>
      <c r="BY527">
        <f>0.77*BX527</f>
        <v>32.229999999999997</v>
      </c>
      <c r="BZ527">
        <f t="shared" si="8"/>
        <v>32.502857142857138</v>
      </c>
    </row>
    <row r="528" spans="1:78">
      <c r="A528" s="1">
        <v>45211.30085399306</v>
      </c>
      <c r="C528">
        <v>527</v>
      </c>
      <c r="D528" s="10">
        <v>34541</v>
      </c>
      <c r="E528">
        <v>29</v>
      </c>
      <c r="F528">
        <v>1</v>
      </c>
      <c r="G528">
        <v>1</v>
      </c>
      <c r="H528">
        <v>4</v>
      </c>
      <c r="I528" s="10">
        <v>44281</v>
      </c>
      <c r="J528">
        <v>2</v>
      </c>
      <c r="K528">
        <v>0</v>
      </c>
      <c r="L528">
        <v>1</v>
      </c>
      <c r="M528">
        <v>2900</v>
      </c>
      <c r="N528">
        <v>2</v>
      </c>
      <c r="O528" s="10">
        <v>44008</v>
      </c>
      <c r="P528">
        <v>1</v>
      </c>
      <c r="Q528">
        <v>39</v>
      </c>
      <c r="R528">
        <v>2</v>
      </c>
      <c r="S528">
        <v>85</v>
      </c>
      <c r="T528">
        <v>161</v>
      </c>
      <c r="U528">
        <v>100</v>
      </c>
      <c r="V528">
        <v>15</v>
      </c>
      <c r="W528">
        <v>3</v>
      </c>
      <c r="X528">
        <v>32.79194475521777</v>
      </c>
      <c r="Y528">
        <v>38.578758535550321</v>
      </c>
      <c r="Z528">
        <v>5.786813780332551</v>
      </c>
      <c r="AA528">
        <v>4</v>
      </c>
      <c r="AB528">
        <v>4</v>
      </c>
      <c r="AC528" t="s">
        <v>33</v>
      </c>
      <c r="AD528">
        <v>3</v>
      </c>
      <c r="AE528">
        <v>0</v>
      </c>
      <c r="AG528">
        <v>5</v>
      </c>
      <c r="AH528">
        <v>1</v>
      </c>
      <c r="AI528">
        <v>13</v>
      </c>
      <c r="AJ528">
        <v>1</v>
      </c>
      <c r="AK528">
        <v>7</v>
      </c>
      <c r="AL528">
        <v>1</v>
      </c>
      <c r="AM528">
        <f>AJ528*AK528*AL528/7</f>
        <v>1</v>
      </c>
      <c r="AN528" t="s">
        <v>79</v>
      </c>
      <c r="AO528">
        <v>0</v>
      </c>
      <c r="AV528">
        <f>AU528+AM528</f>
        <v>1</v>
      </c>
      <c r="AX528">
        <v>0</v>
      </c>
      <c r="BE528">
        <f>AM528+AU528+BD528</f>
        <v>1</v>
      </c>
      <c r="BG528">
        <v>0</v>
      </c>
      <c r="BJ528" t="s">
        <v>49</v>
      </c>
      <c r="BK528">
        <v>5</v>
      </c>
      <c r="BL528">
        <v>3</v>
      </c>
      <c r="BM528">
        <v>1</v>
      </c>
      <c r="BN528" t="s">
        <v>55</v>
      </c>
      <c r="BO528">
        <v>2</v>
      </c>
      <c r="BP528">
        <v>134</v>
      </c>
      <c r="BQ528">
        <v>0.1</v>
      </c>
      <c r="BR528">
        <v>2</v>
      </c>
      <c r="BS528">
        <v>0.2</v>
      </c>
      <c r="BT528">
        <f>BS528+BD528+AU528+AM528</f>
        <v>1.2</v>
      </c>
      <c r="BU528">
        <v>1</v>
      </c>
      <c r="BV528">
        <v>3</v>
      </c>
      <c r="BW528">
        <v>439.5</v>
      </c>
      <c r="BX528">
        <f>BW528/7</f>
        <v>62.785714285714285</v>
      </c>
      <c r="BY528">
        <f>0.77*BX528</f>
        <v>48.344999999999999</v>
      </c>
      <c r="BZ528">
        <f t="shared" si="8"/>
        <v>49.545000000000002</v>
      </c>
    </row>
    <row r="529" spans="1:78">
      <c r="A529" s="1">
        <v>45211.374199004626</v>
      </c>
      <c r="C529">
        <v>528</v>
      </c>
      <c r="D529" s="10">
        <v>34404</v>
      </c>
      <c r="E529">
        <v>29</v>
      </c>
      <c r="F529">
        <v>1</v>
      </c>
      <c r="G529">
        <v>13</v>
      </c>
      <c r="H529">
        <v>4</v>
      </c>
      <c r="I529" s="10">
        <v>43868</v>
      </c>
      <c r="J529">
        <v>1</v>
      </c>
      <c r="K529">
        <v>1</v>
      </c>
      <c r="L529">
        <v>1</v>
      </c>
      <c r="M529">
        <v>1515</v>
      </c>
      <c r="N529">
        <v>1</v>
      </c>
      <c r="O529" s="10">
        <v>43644</v>
      </c>
      <c r="P529">
        <v>0</v>
      </c>
      <c r="Q529">
        <v>32</v>
      </c>
      <c r="R529">
        <v>3</v>
      </c>
      <c r="S529">
        <v>63</v>
      </c>
      <c r="T529">
        <v>150</v>
      </c>
      <c r="U529">
        <v>76</v>
      </c>
      <c r="V529">
        <v>13</v>
      </c>
      <c r="W529">
        <v>3</v>
      </c>
      <c r="X529">
        <v>28</v>
      </c>
      <c r="Y529">
        <v>33.777777777777779</v>
      </c>
      <c r="Z529">
        <v>5.7777777777777786</v>
      </c>
      <c r="AA529">
        <v>3</v>
      </c>
      <c r="AB529">
        <v>4</v>
      </c>
      <c r="AC529" t="s">
        <v>25</v>
      </c>
      <c r="AD529">
        <v>1</v>
      </c>
      <c r="AE529">
        <v>0</v>
      </c>
      <c r="AG529">
        <v>5</v>
      </c>
      <c r="AH529">
        <v>1</v>
      </c>
      <c r="AI529">
        <v>13</v>
      </c>
      <c r="AJ529">
        <v>1</v>
      </c>
      <c r="AK529">
        <v>7</v>
      </c>
      <c r="AL529">
        <v>1</v>
      </c>
      <c r="AM529">
        <f>AJ529*AK529*AL529/7</f>
        <v>1</v>
      </c>
      <c r="AN529" t="s">
        <v>79</v>
      </c>
      <c r="AO529">
        <v>0</v>
      </c>
      <c r="AV529">
        <f>AU529+AM529</f>
        <v>1</v>
      </c>
      <c r="AX529">
        <v>0</v>
      </c>
      <c r="BE529">
        <f>AM529+AU529+BD529</f>
        <v>1</v>
      </c>
      <c r="BG529">
        <v>0</v>
      </c>
      <c r="BJ529" t="s">
        <v>54</v>
      </c>
      <c r="BK529">
        <v>2</v>
      </c>
      <c r="BL529">
        <v>1</v>
      </c>
      <c r="BM529">
        <v>1</v>
      </c>
      <c r="BN529" t="s">
        <v>55</v>
      </c>
      <c r="BO529">
        <v>2</v>
      </c>
      <c r="BP529">
        <v>67</v>
      </c>
      <c r="BQ529">
        <v>0.1</v>
      </c>
      <c r="BR529">
        <v>1</v>
      </c>
      <c r="BS529">
        <v>0.1</v>
      </c>
      <c r="BT529">
        <f>BS529+BD529+AU529+AM529</f>
        <v>1.1000000000000001</v>
      </c>
      <c r="BU529">
        <v>1</v>
      </c>
      <c r="BV529">
        <v>2</v>
      </c>
      <c r="BW529">
        <v>293</v>
      </c>
      <c r="BX529">
        <f>BW529/7</f>
        <v>41.857142857142854</v>
      </c>
      <c r="BY529">
        <f>0.77*BX529</f>
        <v>32.229999999999997</v>
      </c>
      <c r="BZ529">
        <f t="shared" si="8"/>
        <v>33.33</v>
      </c>
    </row>
    <row r="530" spans="1:78">
      <c r="A530" s="1">
        <v>45211.397110601851</v>
      </c>
      <c r="C530">
        <v>529</v>
      </c>
      <c r="D530" s="10">
        <v>31173</v>
      </c>
      <c r="E530">
        <v>38</v>
      </c>
      <c r="F530">
        <v>1</v>
      </c>
      <c r="G530">
        <v>6</v>
      </c>
      <c r="H530">
        <v>3</v>
      </c>
      <c r="I530" s="10">
        <v>43978</v>
      </c>
      <c r="J530">
        <v>1</v>
      </c>
      <c r="K530">
        <v>1</v>
      </c>
      <c r="L530">
        <v>2</v>
      </c>
      <c r="M530">
        <v>2550</v>
      </c>
      <c r="N530">
        <v>2</v>
      </c>
      <c r="O530" s="10">
        <v>43719</v>
      </c>
      <c r="P530">
        <v>0</v>
      </c>
      <c r="Q530">
        <v>37</v>
      </c>
      <c r="R530">
        <v>2</v>
      </c>
      <c r="S530">
        <v>49</v>
      </c>
      <c r="T530">
        <v>163</v>
      </c>
      <c r="U530">
        <v>64</v>
      </c>
      <c r="V530">
        <v>15</v>
      </c>
      <c r="W530">
        <v>2</v>
      </c>
      <c r="X530">
        <v>18.442545824080696</v>
      </c>
      <c r="Y530">
        <v>24.088223117166624</v>
      </c>
      <c r="Z530">
        <v>5.645677293085928</v>
      </c>
      <c r="AA530">
        <v>1</v>
      </c>
      <c r="AB530">
        <v>2</v>
      </c>
      <c r="AC530" t="s">
        <v>33</v>
      </c>
      <c r="AD530">
        <v>3</v>
      </c>
      <c r="AE530">
        <v>1</v>
      </c>
      <c r="AF530" t="s">
        <v>379</v>
      </c>
      <c r="AG530" t="e">
        <v>#N/A</v>
      </c>
      <c r="AH530">
        <v>1</v>
      </c>
      <c r="AI530">
        <v>11</v>
      </c>
      <c r="AJ530">
        <v>5</v>
      </c>
      <c r="AK530">
        <v>7</v>
      </c>
      <c r="AL530">
        <v>1</v>
      </c>
      <c r="AM530">
        <f>AJ530*AK530*AL530/7</f>
        <v>5</v>
      </c>
      <c r="AN530" t="s">
        <v>81</v>
      </c>
      <c r="AO530">
        <v>0</v>
      </c>
      <c r="AV530">
        <f>AU530+AM530</f>
        <v>5</v>
      </c>
      <c r="AW530" t="s">
        <v>58</v>
      </c>
      <c r="AX530">
        <v>1</v>
      </c>
      <c r="AY530" t="s">
        <v>58</v>
      </c>
      <c r="AZ530">
        <v>1</v>
      </c>
      <c r="BA530">
        <v>0.8</v>
      </c>
      <c r="BB530">
        <v>7</v>
      </c>
      <c r="BC530">
        <v>1</v>
      </c>
      <c r="BD530">
        <f>BA530*BB530*1/7</f>
        <v>0.8</v>
      </c>
      <c r="BE530">
        <f>AM530+AU530+BD530</f>
        <v>5.8</v>
      </c>
      <c r="BF530" t="s">
        <v>58</v>
      </c>
      <c r="BG530">
        <v>0</v>
      </c>
      <c r="BH530">
        <v>7</v>
      </c>
      <c r="BI530">
        <v>1</v>
      </c>
      <c r="BJ530" t="s">
        <v>49</v>
      </c>
      <c r="BK530">
        <v>5</v>
      </c>
      <c r="BL530">
        <v>1</v>
      </c>
      <c r="BM530">
        <v>1</v>
      </c>
      <c r="BN530" t="s">
        <v>30</v>
      </c>
      <c r="BO530">
        <v>1</v>
      </c>
      <c r="BP530">
        <v>168</v>
      </c>
      <c r="BQ530">
        <v>0.13</v>
      </c>
      <c r="BR530">
        <v>2</v>
      </c>
      <c r="BS530">
        <v>0.26</v>
      </c>
      <c r="BT530">
        <f>BS530+BD530+AU530+AM530</f>
        <v>6.0600000000000005</v>
      </c>
      <c r="BU530">
        <v>1</v>
      </c>
      <c r="BV530">
        <v>2</v>
      </c>
      <c r="BW530">
        <v>293</v>
      </c>
      <c r="BX530">
        <f>BW530/7</f>
        <v>41.857142857142854</v>
      </c>
      <c r="BY530">
        <f>0.77*BX530</f>
        <v>32.229999999999997</v>
      </c>
      <c r="BZ530">
        <f t="shared" si="8"/>
        <v>38.29</v>
      </c>
    </row>
    <row r="531" spans="1:78">
      <c r="A531" s="1">
        <v>45211.401126296296</v>
      </c>
      <c r="C531">
        <v>530</v>
      </c>
      <c r="D531" s="10">
        <v>34697</v>
      </c>
      <c r="E531">
        <v>28</v>
      </c>
      <c r="F531">
        <v>1</v>
      </c>
      <c r="G531">
        <v>9</v>
      </c>
      <c r="H531">
        <v>4</v>
      </c>
      <c r="I531" s="10">
        <v>45008</v>
      </c>
      <c r="J531">
        <v>3</v>
      </c>
      <c r="K531">
        <v>0</v>
      </c>
      <c r="L531">
        <v>2</v>
      </c>
      <c r="M531">
        <v>3850</v>
      </c>
      <c r="N531">
        <v>2</v>
      </c>
      <c r="O531" s="10">
        <v>44728</v>
      </c>
      <c r="P531">
        <v>0</v>
      </c>
      <c r="Q531">
        <v>40</v>
      </c>
      <c r="R531">
        <v>2</v>
      </c>
      <c r="S531">
        <v>114</v>
      </c>
      <c r="T531">
        <v>160</v>
      </c>
      <c r="U531">
        <v>120</v>
      </c>
      <c r="V531">
        <v>6</v>
      </c>
      <c r="W531">
        <v>1</v>
      </c>
      <c r="X531">
        <v>44.531249999999993</v>
      </c>
      <c r="Y531">
        <v>46.874999999999993</v>
      </c>
      <c r="Z531">
        <v>2.34375</v>
      </c>
      <c r="AA531">
        <v>4</v>
      </c>
      <c r="AB531">
        <v>4</v>
      </c>
      <c r="AC531" t="s">
        <v>33</v>
      </c>
      <c r="AD531">
        <v>3</v>
      </c>
      <c r="AE531">
        <v>0</v>
      </c>
      <c r="AG531">
        <v>5</v>
      </c>
      <c r="AH531">
        <v>0</v>
      </c>
      <c r="AI531">
        <v>0</v>
      </c>
      <c r="AN531" t="s">
        <v>121</v>
      </c>
      <c r="AO531">
        <v>0</v>
      </c>
      <c r="AX531">
        <v>0</v>
      </c>
      <c r="BG531">
        <v>0</v>
      </c>
      <c r="BJ531" t="s">
        <v>51</v>
      </c>
      <c r="BK531">
        <v>1</v>
      </c>
      <c r="BL531">
        <v>1</v>
      </c>
      <c r="BM531">
        <v>1</v>
      </c>
      <c r="BN531" t="s">
        <v>30</v>
      </c>
      <c r="BO531">
        <v>1</v>
      </c>
      <c r="BP531">
        <v>252</v>
      </c>
      <c r="BQ531">
        <v>0.13</v>
      </c>
      <c r="BR531">
        <v>3</v>
      </c>
      <c r="BS531">
        <v>0.39</v>
      </c>
      <c r="BT531">
        <f>BS531+BD531+AU531+AM531</f>
        <v>0.39</v>
      </c>
      <c r="BU531">
        <v>1</v>
      </c>
      <c r="BV531">
        <v>2</v>
      </c>
      <c r="BW531">
        <v>293</v>
      </c>
      <c r="BX531">
        <f>BW531/7</f>
        <v>41.857142857142854</v>
      </c>
      <c r="BY531">
        <f>0.77*BX531</f>
        <v>32.229999999999997</v>
      </c>
      <c r="BZ531">
        <f t="shared" si="8"/>
        <v>32.619999999999997</v>
      </c>
    </row>
    <row r="532" spans="1:78">
      <c r="A532" s="1">
        <v>45211.477426238431</v>
      </c>
      <c r="C532">
        <v>531</v>
      </c>
      <c r="D532" s="10">
        <v>30491</v>
      </c>
      <c r="E532">
        <v>40</v>
      </c>
      <c r="F532">
        <v>1</v>
      </c>
      <c r="G532">
        <v>12</v>
      </c>
      <c r="H532">
        <v>5</v>
      </c>
      <c r="I532" s="10">
        <v>43280</v>
      </c>
      <c r="J532">
        <v>2</v>
      </c>
      <c r="K532">
        <v>0</v>
      </c>
      <c r="L532">
        <v>2</v>
      </c>
      <c r="M532">
        <v>3200</v>
      </c>
      <c r="N532">
        <v>2</v>
      </c>
      <c r="O532" s="10">
        <v>42993</v>
      </c>
      <c r="P532">
        <v>0</v>
      </c>
      <c r="Q532">
        <v>41</v>
      </c>
      <c r="R532">
        <v>2</v>
      </c>
      <c r="S532">
        <v>72</v>
      </c>
      <c r="T532">
        <v>160</v>
      </c>
      <c r="U532">
        <v>80</v>
      </c>
      <c r="V532">
        <v>8</v>
      </c>
      <c r="W532">
        <v>2</v>
      </c>
      <c r="X532">
        <v>28.124999999999993</v>
      </c>
      <c r="Y532">
        <v>31.249999999999993</v>
      </c>
      <c r="Z532">
        <v>3.125</v>
      </c>
      <c r="AA532">
        <v>3</v>
      </c>
      <c r="AB532">
        <v>4</v>
      </c>
      <c r="AC532" t="s">
        <v>33</v>
      </c>
      <c r="AD532">
        <v>3</v>
      </c>
      <c r="AE532">
        <v>0</v>
      </c>
      <c r="AG532">
        <v>5</v>
      </c>
      <c r="AH532">
        <v>1</v>
      </c>
      <c r="AI532">
        <v>5</v>
      </c>
      <c r="AJ532">
        <v>5</v>
      </c>
      <c r="AK532">
        <v>7</v>
      </c>
      <c r="AL532">
        <v>1</v>
      </c>
      <c r="AM532">
        <f>AJ532*AK532*AL532/7</f>
        <v>5</v>
      </c>
      <c r="AN532" t="s">
        <v>27</v>
      </c>
      <c r="AO532">
        <v>0</v>
      </c>
      <c r="AV532">
        <f>AU532+AM532</f>
        <v>5</v>
      </c>
      <c r="AX532">
        <v>0</v>
      </c>
      <c r="BE532">
        <f>AM532+AU532+BD532</f>
        <v>5</v>
      </c>
      <c r="BG532">
        <v>0</v>
      </c>
      <c r="BJ532" t="s">
        <v>28</v>
      </c>
      <c r="BK532">
        <v>3</v>
      </c>
      <c r="BL532">
        <v>1</v>
      </c>
      <c r="BM532">
        <v>1</v>
      </c>
      <c r="BN532" t="s">
        <v>37</v>
      </c>
      <c r="BO532">
        <v>4</v>
      </c>
      <c r="BP532">
        <v>110</v>
      </c>
      <c r="BQ532">
        <v>0.05</v>
      </c>
      <c r="BR532">
        <v>2</v>
      </c>
      <c r="BS532">
        <v>0.1</v>
      </c>
      <c r="BT532">
        <f>BS532+BD532+AU532+AM532</f>
        <v>5.0999999999999996</v>
      </c>
      <c r="BU532">
        <v>1</v>
      </c>
      <c r="BV532">
        <v>3</v>
      </c>
      <c r="BW532">
        <v>439.5</v>
      </c>
      <c r="BX532">
        <f>BW532/7</f>
        <v>62.785714285714285</v>
      </c>
      <c r="BY532">
        <f>0.77*BX532</f>
        <v>48.344999999999999</v>
      </c>
      <c r="BZ532">
        <f t="shared" si="8"/>
        <v>53.445</v>
      </c>
    </row>
    <row r="533" spans="1:78">
      <c r="A533" s="1">
        <v>45211.517031875002</v>
      </c>
      <c r="C533">
        <v>532</v>
      </c>
      <c r="D533" s="10">
        <v>29121</v>
      </c>
      <c r="E533">
        <v>44</v>
      </c>
      <c r="F533">
        <v>1</v>
      </c>
      <c r="G533">
        <v>9</v>
      </c>
      <c r="H533">
        <v>4</v>
      </c>
      <c r="I533" s="10">
        <v>43202</v>
      </c>
      <c r="J533">
        <v>1</v>
      </c>
      <c r="K533">
        <v>1</v>
      </c>
      <c r="L533">
        <v>2</v>
      </c>
      <c r="M533">
        <v>3150</v>
      </c>
      <c r="N533">
        <v>2</v>
      </c>
      <c r="O533" s="10">
        <v>42922</v>
      </c>
      <c r="P533">
        <v>0</v>
      </c>
      <c r="Q533">
        <v>40</v>
      </c>
      <c r="R533">
        <v>2</v>
      </c>
      <c r="S533">
        <v>65</v>
      </c>
      <c r="T533">
        <v>160</v>
      </c>
      <c r="U533">
        <v>76</v>
      </c>
      <c r="V533">
        <v>11</v>
      </c>
      <c r="W533">
        <v>2</v>
      </c>
      <c r="X533">
        <v>25.390624999999996</v>
      </c>
      <c r="Y533">
        <v>29.687499999999993</v>
      </c>
      <c r="Z533">
        <v>4.2968749999999964</v>
      </c>
      <c r="AA533">
        <v>3</v>
      </c>
      <c r="AB533">
        <v>3</v>
      </c>
      <c r="AC533" t="s">
        <v>33</v>
      </c>
      <c r="AD533">
        <v>3</v>
      </c>
      <c r="AE533">
        <v>0</v>
      </c>
      <c r="AG533">
        <v>5</v>
      </c>
      <c r="AH533">
        <v>1</v>
      </c>
      <c r="AI533">
        <v>4</v>
      </c>
      <c r="AJ533">
        <v>1</v>
      </c>
      <c r="AK533">
        <v>7</v>
      </c>
      <c r="AL533">
        <v>1</v>
      </c>
      <c r="AM533">
        <f>AJ533*AK533*AL533/7</f>
        <v>1</v>
      </c>
      <c r="AN533" t="s">
        <v>43</v>
      </c>
      <c r="AO533">
        <v>0</v>
      </c>
      <c r="AV533">
        <f>AU533+AM533</f>
        <v>1</v>
      </c>
      <c r="AX533">
        <v>0</v>
      </c>
      <c r="BE533">
        <f>AM533+AU533+BD533</f>
        <v>1</v>
      </c>
      <c r="BG533">
        <v>0</v>
      </c>
      <c r="BJ533" t="s">
        <v>28</v>
      </c>
      <c r="BK533">
        <v>3</v>
      </c>
      <c r="BL533">
        <v>3</v>
      </c>
      <c r="BM533">
        <v>1</v>
      </c>
      <c r="BN533" t="s">
        <v>30</v>
      </c>
      <c r="BO533">
        <v>1</v>
      </c>
      <c r="BP533">
        <v>84</v>
      </c>
      <c r="BQ533">
        <v>0.13</v>
      </c>
      <c r="BR533">
        <v>1</v>
      </c>
      <c r="BS533">
        <v>0.13</v>
      </c>
      <c r="BT533">
        <f>BS533+BD533+AU533+AM533</f>
        <v>1.1299999999999999</v>
      </c>
      <c r="BU533">
        <v>1</v>
      </c>
      <c r="BV533">
        <v>2</v>
      </c>
      <c r="BW533">
        <v>293</v>
      </c>
      <c r="BX533">
        <f>BW533/7</f>
        <v>41.857142857142854</v>
      </c>
      <c r="BY533">
        <f>0.77*BX533</f>
        <v>32.229999999999997</v>
      </c>
      <c r="BZ533">
        <f t="shared" si="8"/>
        <v>33.36</v>
      </c>
    </row>
    <row r="534" spans="1:78">
      <c r="A534" s="1">
        <v>45211.543889444445</v>
      </c>
      <c r="C534">
        <v>533</v>
      </c>
      <c r="D534" s="10">
        <v>32847</v>
      </c>
      <c r="E534">
        <v>33</v>
      </c>
      <c r="F534">
        <v>1</v>
      </c>
      <c r="G534">
        <v>1</v>
      </c>
      <c r="H534">
        <v>4</v>
      </c>
      <c r="I534" s="10">
        <v>44469</v>
      </c>
      <c r="J534">
        <v>1</v>
      </c>
      <c r="K534">
        <v>1</v>
      </c>
      <c r="L534">
        <v>2</v>
      </c>
      <c r="M534">
        <v>3330</v>
      </c>
      <c r="N534">
        <v>2</v>
      </c>
      <c r="O534" s="10">
        <v>44190</v>
      </c>
      <c r="P534">
        <v>1</v>
      </c>
      <c r="Q534">
        <v>39.857142857142854</v>
      </c>
      <c r="R534">
        <v>2</v>
      </c>
      <c r="S534">
        <v>65</v>
      </c>
      <c r="T534">
        <v>165</v>
      </c>
      <c r="U534">
        <v>76</v>
      </c>
      <c r="V534">
        <v>11</v>
      </c>
      <c r="W534">
        <v>1</v>
      </c>
      <c r="X534">
        <v>23.875114784205696</v>
      </c>
      <c r="Y534">
        <v>27.915518824609737</v>
      </c>
      <c r="Z534">
        <v>4.0404040404040416</v>
      </c>
      <c r="AA534">
        <v>2</v>
      </c>
      <c r="AB534">
        <v>3</v>
      </c>
      <c r="AC534" t="s">
        <v>33</v>
      </c>
      <c r="AD534">
        <v>3</v>
      </c>
      <c r="AE534">
        <v>0</v>
      </c>
      <c r="AG534">
        <v>5</v>
      </c>
      <c r="AH534">
        <v>1</v>
      </c>
      <c r="AI534">
        <v>5</v>
      </c>
      <c r="AJ534">
        <v>5</v>
      </c>
      <c r="AK534">
        <v>7</v>
      </c>
      <c r="AL534">
        <v>1</v>
      </c>
      <c r="AM534">
        <f>AJ534*AK534*AL534/7</f>
        <v>5</v>
      </c>
      <c r="AN534" t="s">
        <v>27</v>
      </c>
      <c r="AO534">
        <v>0</v>
      </c>
      <c r="AV534">
        <f>AU534+AM534</f>
        <v>5</v>
      </c>
      <c r="AW534" t="s">
        <v>61</v>
      </c>
      <c r="AX534">
        <v>1</v>
      </c>
      <c r="AY534" t="s">
        <v>61</v>
      </c>
      <c r="AZ534">
        <v>2</v>
      </c>
      <c r="BA534">
        <v>0.27</v>
      </c>
      <c r="BB534">
        <v>7</v>
      </c>
      <c r="BC534">
        <v>1</v>
      </c>
      <c r="BD534">
        <f>BA534*BB534*1/7</f>
        <v>0.27</v>
      </c>
      <c r="BE534">
        <f>AM534+AU534+BD534</f>
        <v>5.27</v>
      </c>
      <c r="BF534" t="s">
        <v>61</v>
      </c>
      <c r="BG534">
        <v>0</v>
      </c>
      <c r="BH534">
        <v>7</v>
      </c>
      <c r="BI534">
        <v>1</v>
      </c>
      <c r="BJ534" t="s">
        <v>28</v>
      </c>
      <c r="BK534">
        <v>3</v>
      </c>
      <c r="BL534">
        <v>1</v>
      </c>
      <c r="BM534">
        <v>1</v>
      </c>
      <c r="BN534" t="s">
        <v>55</v>
      </c>
      <c r="BO534">
        <v>2</v>
      </c>
      <c r="BP534">
        <v>134</v>
      </c>
      <c r="BQ534">
        <v>0.1</v>
      </c>
      <c r="BR534">
        <v>2</v>
      </c>
      <c r="BS534">
        <v>0.2</v>
      </c>
      <c r="BT534">
        <f>BS534+BD534+AU534+AM534</f>
        <v>5.47</v>
      </c>
      <c r="BU534">
        <v>1</v>
      </c>
      <c r="BV534">
        <v>1</v>
      </c>
      <c r="BW534">
        <v>146.5</v>
      </c>
      <c r="BX534">
        <f>BW534/7</f>
        <v>20.928571428571427</v>
      </c>
      <c r="BY534">
        <f>0.77*BX534</f>
        <v>16.114999999999998</v>
      </c>
      <c r="BZ534">
        <f t="shared" si="8"/>
        <v>21.584999999999997</v>
      </c>
    </row>
    <row r="535" spans="1:78">
      <c r="A535" s="1">
        <v>45211.551301782412</v>
      </c>
      <c r="C535">
        <v>534</v>
      </c>
      <c r="D535" s="10">
        <v>32742</v>
      </c>
      <c r="E535">
        <v>34</v>
      </c>
      <c r="F535">
        <v>1</v>
      </c>
      <c r="G535">
        <v>10</v>
      </c>
      <c r="H535">
        <v>4</v>
      </c>
      <c r="I535" s="10">
        <v>44134</v>
      </c>
      <c r="J535">
        <v>1</v>
      </c>
      <c r="K535">
        <v>1</v>
      </c>
      <c r="L535">
        <v>1</v>
      </c>
      <c r="M535">
        <v>3100</v>
      </c>
      <c r="N535">
        <v>2</v>
      </c>
      <c r="O535" s="10">
        <v>43868</v>
      </c>
      <c r="P535">
        <v>0</v>
      </c>
      <c r="Q535">
        <v>38</v>
      </c>
      <c r="R535">
        <v>2</v>
      </c>
      <c r="S535">
        <v>92</v>
      </c>
      <c r="T535">
        <v>165</v>
      </c>
      <c r="U535">
        <v>95</v>
      </c>
      <c r="V535">
        <v>3</v>
      </c>
      <c r="W535">
        <v>1</v>
      </c>
      <c r="X535">
        <v>33.792470156106525</v>
      </c>
      <c r="Y535">
        <v>34.894398530762174</v>
      </c>
      <c r="Z535">
        <v>1.1019283746556496</v>
      </c>
      <c r="AA535">
        <v>4</v>
      </c>
      <c r="AB535">
        <v>4</v>
      </c>
      <c r="AC535" t="s">
        <v>44</v>
      </c>
      <c r="AD535">
        <v>1</v>
      </c>
      <c r="AE535">
        <v>0</v>
      </c>
      <c r="AG535">
        <v>5</v>
      </c>
      <c r="AH535">
        <v>1</v>
      </c>
      <c r="AI535">
        <v>4</v>
      </c>
      <c r="AJ535">
        <v>1</v>
      </c>
      <c r="AK535">
        <v>7</v>
      </c>
      <c r="AL535">
        <v>1</v>
      </c>
      <c r="AM535">
        <f>AJ535*AK535*AL535/7</f>
        <v>1</v>
      </c>
      <c r="AN535" t="s">
        <v>43</v>
      </c>
      <c r="AO535">
        <v>0</v>
      </c>
      <c r="AV535">
        <f>AU535+AM535</f>
        <v>1</v>
      </c>
      <c r="AW535" t="s">
        <v>381</v>
      </c>
      <c r="AX535">
        <v>1</v>
      </c>
      <c r="AY535" t="s">
        <v>381</v>
      </c>
      <c r="AZ535">
        <v>5</v>
      </c>
      <c r="BA535">
        <v>0.4</v>
      </c>
      <c r="BB535">
        <v>7</v>
      </c>
      <c r="BC535">
        <v>1</v>
      </c>
      <c r="BD535">
        <f>BA535*BB535*1/7</f>
        <v>0.4</v>
      </c>
      <c r="BE535">
        <f>AM535+AU535+BD535</f>
        <v>1.4</v>
      </c>
      <c r="BF535" t="s">
        <v>381</v>
      </c>
      <c r="BG535">
        <v>0</v>
      </c>
      <c r="BH535">
        <v>7</v>
      </c>
      <c r="BI535">
        <v>1</v>
      </c>
      <c r="BJ535" t="s">
        <v>28</v>
      </c>
      <c r="BK535">
        <v>3</v>
      </c>
      <c r="BL535">
        <v>3</v>
      </c>
      <c r="BM535">
        <v>1</v>
      </c>
      <c r="BN535" t="s">
        <v>59</v>
      </c>
      <c r="BO535">
        <v>3</v>
      </c>
      <c r="BP535">
        <v>56</v>
      </c>
      <c r="BQ535">
        <v>0.08</v>
      </c>
      <c r="BR535">
        <v>1</v>
      </c>
      <c r="BS535">
        <v>0.08</v>
      </c>
      <c r="BT535">
        <f>BS535+BD535+AU535+AM535</f>
        <v>1.48</v>
      </c>
      <c r="BU535">
        <v>1</v>
      </c>
      <c r="BV535">
        <v>2</v>
      </c>
      <c r="BW535">
        <v>293</v>
      </c>
      <c r="BX535">
        <f>BW535/7</f>
        <v>41.857142857142854</v>
      </c>
      <c r="BY535">
        <f>0.77*BX535</f>
        <v>32.229999999999997</v>
      </c>
      <c r="BZ535">
        <f t="shared" si="8"/>
        <v>33.709999999999994</v>
      </c>
    </row>
    <row r="536" spans="1:78">
      <c r="A536" s="1">
        <v>45211.563865520831</v>
      </c>
      <c r="C536">
        <v>535</v>
      </c>
      <c r="D536" s="10">
        <v>33109</v>
      </c>
      <c r="E536">
        <v>33</v>
      </c>
      <c r="F536">
        <v>1</v>
      </c>
      <c r="G536">
        <v>12</v>
      </c>
      <c r="H536">
        <v>4</v>
      </c>
      <c r="I536" s="10">
        <v>44274</v>
      </c>
      <c r="J536">
        <v>1</v>
      </c>
      <c r="K536">
        <v>1</v>
      </c>
      <c r="L536">
        <v>2</v>
      </c>
      <c r="M536">
        <v>3145</v>
      </c>
      <c r="N536">
        <v>2</v>
      </c>
      <c r="O536" s="10">
        <v>43994</v>
      </c>
      <c r="P536">
        <v>1</v>
      </c>
      <c r="Q536">
        <v>40</v>
      </c>
      <c r="R536">
        <v>2</v>
      </c>
      <c r="S536">
        <v>62</v>
      </c>
      <c r="T536">
        <v>150</v>
      </c>
      <c r="U536">
        <v>82</v>
      </c>
      <c r="V536">
        <v>20</v>
      </c>
      <c r="W536">
        <v>3</v>
      </c>
      <c r="X536">
        <v>27.555555555555557</v>
      </c>
      <c r="Y536">
        <v>36.444444444444443</v>
      </c>
      <c r="Z536">
        <v>8.8888888888888857</v>
      </c>
      <c r="AA536">
        <v>3</v>
      </c>
      <c r="AB536">
        <v>4</v>
      </c>
      <c r="AC536" t="s">
        <v>33</v>
      </c>
      <c r="AD536">
        <v>3</v>
      </c>
      <c r="AE536">
        <v>0</v>
      </c>
      <c r="AG536">
        <v>5</v>
      </c>
      <c r="AH536">
        <v>1</v>
      </c>
      <c r="AI536">
        <v>13</v>
      </c>
      <c r="AJ536">
        <v>1</v>
      </c>
      <c r="AK536">
        <v>7</v>
      </c>
      <c r="AL536">
        <v>1</v>
      </c>
      <c r="AM536">
        <f>AJ536*AK536*AL536/7</f>
        <v>1</v>
      </c>
      <c r="AN536" t="s">
        <v>79</v>
      </c>
      <c r="AO536">
        <v>0</v>
      </c>
      <c r="AV536">
        <f>AU536+AM536</f>
        <v>1</v>
      </c>
      <c r="AW536" t="s">
        <v>382</v>
      </c>
      <c r="AX536">
        <v>1</v>
      </c>
      <c r="AY536" t="s">
        <v>382</v>
      </c>
      <c r="AZ536">
        <v>5</v>
      </c>
      <c r="BA536">
        <v>0.4</v>
      </c>
      <c r="BB536">
        <v>7</v>
      </c>
      <c r="BC536">
        <v>1</v>
      </c>
      <c r="BD536">
        <f>BA536*BB536*1/7</f>
        <v>0.4</v>
      </c>
      <c r="BE536">
        <f>AM536+AU536+BD536</f>
        <v>1.4</v>
      </c>
      <c r="BF536" t="s">
        <v>382</v>
      </c>
      <c r="BG536">
        <v>0</v>
      </c>
      <c r="BH536">
        <v>7</v>
      </c>
      <c r="BI536">
        <v>1</v>
      </c>
      <c r="BJ536" t="s">
        <v>49</v>
      </c>
      <c r="BK536">
        <v>5</v>
      </c>
      <c r="BL536">
        <v>1</v>
      </c>
      <c r="BM536">
        <v>0</v>
      </c>
      <c r="BN536" t="s">
        <v>383</v>
      </c>
      <c r="BO536">
        <v>15</v>
      </c>
      <c r="BP536">
        <v>0</v>
      </c>
      <c r="BQ536">
        <v>0</v>
      </c>
      <c r="BR536">
        <v>0</v>
      </c>
      <c r="BS536">
        <v>0</v>
      </c>
      <c r="BT536">
        <f>BS536+BD536+AU536+AM536</f>
        <v>1.4</v>
      </c>
      <c r="BU536">
        <v>1</v>
      </c>
      <c r="BV536">
        <v>1</v>
      </c>
      <c r="BW536">
        <v>146.5</v>
      </c>
      <c r="BX536">
        <f>BW536/7</f>
        <v>20.928571428571427</v>
      </c>
      <c r="BY536">
        <f>0.77*BX536</f>
        <v>16.114999999999998</v>
      </c>
      <c r="BZ536">
        <f t="shared" si="8"/>
        <v>17.514999999999997</v>
      </c>
    </row>
    <row r="537" spans="1:78">
      <c r="A537" s="1">
        <v>45211.594606932871</v>
      </c>
      <c r="C537">
        <v>536</v>
      </c>
      <c r="D537" s="10">
        <v>31125</v>
      </c>
      <c r="E537">
        <v>38</v>
      </c>
      <c r="F537">
        <v>1</v>
      </c>
      <c r="G537">
        <v>1</v>
      </c>
      <c r="H537">
        <v>4</v>
      </c>
      <c r="I537" s="10">
        <v>43160</v>
      </c>
      <c r="J537">
        <v>1</v>
      </c>
      <c r="K537">
        <v>1</v>
      </c>
      <c r="L537">
        <v>1</v>
      </c>
      <c r="M537">
        <v>3420</v>
      </c>
      <c r="N537">
        <v>2</v>
      </c>
      <c r="O537" s="10">
        <v>42908</v>
      </c>
      <c r="P537">
        <v>0</v>
      </c>
      <c r="Q537">
        <v>36</v>
      </c>
      <c r="R537">
        <v>3</v>
      </c>
      <c r="S537">
        <v>54</v>
      </c>
      <c r="T537">
        <v>164</v>
      </c>
      <c r="U537">
        <v>64</v>
      </c>
      <c r="V537">
        <v>10</v>
      </c>
      <c r="W537">
        <v>1</v>
      </c>
      <c r="X537">
        <v>20.077334919690664</v>
      </c>
      <c r="Y537">
        <v>23.795359904818564</v>
      </c>
      <c r="Z537">
        <v>3.7180249851279008</v>
      </c>
      <c r="AA537">
        <v>2</v>
      </c>
      <c r="AB537">
        <v>2</v>
      </c>
      <c r="AC537" t="s">
        <v>33</v>
      </c>
      <c r="AD537">
        <v>3</v>
      </c>
      <c r="AE537">
        <v>0</v>
      </c>
      <c r="AG537">
        <v>5</v>
      </c>
      <c r="AH537">
        <v>1</v>
      </c>
      <c r="AI537">
        <v>2</v>
      </c>
      <c r="AJ537">
        <v>5</v>
      </c>
      <c r="AK537">
        <v>7</v>
      </c>
      <c r="AL537">
        <v>1</v>
      </c>
      <c r="AM537">
        <f>AJ537*AK537*AL537/7</f>
        <v>5</v>
      </c>
      <c r="AN537" t="s">
        <v>57</v>
      </c>
      <c r="AO537">
        <v>0</v>
      </c>
      <c r="AV537">
        <f>AU537+AM537</f>
        <v>5</v>
      </c>
      <c r="AW537" t="s">
        <v>384</v>
      </c>
      <c r="AX537">
        <v>1</v>
      </c>
      <c r="AY537" t="s">
        <v>384</v>
      </c>
      <c r="AZ537">
        <v>14</v>
      </c>
      <c r="BA537">
        <v>0.5</v>
      </c>
      <c r="BB537">
        <v>7</v>
      </c>
      <c r="BC537">
        <v>1</v>
      </c>
      <c r="BD537">
        <f>BA537*BB537*1/7</f>
        <v>0.5</v>
      </c>
      <c r="BE537">
        <f>AM537+AU537+BD537</f>
        <v>5.5</v>
      </c>
      <c r="BF537" t="s">
        <v>384</v>
      </c>
      <c r="BG537">
        <v>0</v>
      </c>
      <c r="BH537">
        <v>7</v>
      </c>
      <c r="BI537">
        <v>1</v>
      </c>
      <c r="BJ537" t="s">
        <v>28</v>
      </c>
      <c r="BK537">
        <v>3</v>
      </c>
      <c r="BL537">
        <v>4</v>
      </c>
      <c r="BM537">
        <v>1</v>
      </c>
      <c r="BN537" t="s">
        <v>30</v>
      </c>
      <c r="BO537">
        <v>1</v>
      </c>
      <c r="BP537">
        <v>42</v>
      </c>
      <c r="BQ537">
        <v>0.13</v>
      </c>
      <c r="BR537">
        <v>0.5</v>
      </c>
      <c r="BS537">
        <v>6.5000000000000002E-2</v>
      </c>
      <c r="BT537">
        <f>BS537+BD537+AU537+AM537</f>
        <v>5.5649999999999995</v>
      </c>
      <c r="BU537">
        <v>1</v>
      </c>
      <c r="BV537">
        <v>2</v>
      </c>
      <c r="BW537">
        <v>293</v>
      </c>
      <c r="BX537">
        <f>BW537/7</f>
        <v>41.857142857142854</v>
      </c>
      <c r="BY537">
        <f>0.77*BX537</f>
        <v>32.229999999999997</v>
      </c>
      <c r="BZ537">
        <f t="shared" si="8"/>
        <v>37.794999999999995</v>
      </c>
    </row>
    <row r="538" spans="1:78">
      <c r="A538" s="1">
        <v>45211.620083912036</v>
      </c>
      <c r="C538">
        <v>537</v>
      </c>
      <c r="D538" s="10">
        <v>34892</v>
      </c>
      <c r="E538">
        <v>28</v>
      </c>
      <c r="F538">
        <v>1</v>
      </c>
      <c r="G538">
        <v>1</v>
      </c>
      <c r="H538">
        <v>4</v>
      </c>
      <c r="I538" s="10">
        <v>43477</v>
      </c>
      <c r="J538">
        <v>1</v>
      </c>
      <c r="K538">
        <v>1</v>
      </c>
      <c r="L538">
        <v>1</v>
      </c>
      <c r="M538">
        <v>3590</v>
      </c>
      <c r="N538">
        <v>2</v>
      </c>
      <c r="O538" s="10">
        <v>43201</v>
      </c>
      <c r="P538">
        <v>0</v>
      </c>
      <c r="Q538">
        <v>39.428571428571431</v>
      </c>
      <c r="R538">
        <v>2</v>
      </c>
      <c r="S538">
        <v>60</v>
      </c>
      <c r="T538">
        <v>174</v>
      </c>
      <c r="U538">
        <v>71</v>
      </c>
      <c r="V538">
        <v>11</v>
      </c>
      <c r="W538">
        <v>1</v>
      </c>
      <c r="X538">
        <v>19.817677368212443</v>
      </c>
      <c r="Y538">
        <v>23.450918219051392</v>
      </c>
      <c r="Z538">
        <v>3.6332408508389484</v>
      </c>
      <c r="AA538">
        <v>2</v>
      </c>
      <c r="AB538">
        <v>2</v>
      </c>
      <c r="AC538" t="s">
        <v>33</v>
      </c>
      <c r="AD538">
        <v>3</v>
      </c>
      <c r="AE538">
        <v>0</v>
      </c>
      <c r="AG538">
        <v>5</v>
      </c>
      <c r="AH538">
        <v>1</v>
      </c>
      <c r="AI538">
        <v>13</v>
      </c>
      <c r="AJ538">
        <v>1</v>
      </c>
      <c r="AK538">
        <v>7</v>
      </c>
      <c r="AL538">
        <v>1</v>
      </c>
      <c r="AM538">
        <f>AJ538*AK538*AL538/7</f>
        <v>1</v>
      </c>
      <c r="AN538" t="s">
        <v>79</v>
      </c>
      <c r="AO538">
        <v>0</v>
      </c>
      <c r="AV538">
        <f>AU538+AM538</f>
        <v>1</v>
      </c>
      <c r="AX538">
        <v>0</v>
      </c>
      <c r="BE538">
        <f>AM538+AU538+BD538</f>
        <v>1</v>
      </c>
      <c r="BG538">
        <v>0</v>
      </c>
      <c r="BJ538" t="s">
        <v>49</v>
      </c>
      <c r="BK538">
        <v>5</v>
      </c>
      <c r="BL538">
        <v>1</v>
      </c>
      <c r="BM538">
        <v>1</v>
      </c>
      <c r="BN538" t="s">
        <v>30</v>
      </c>
      <c r="BO538">
        <v>1</v>
      </c>
      <c r="BP538">
        <v>168</v>
      </c>
      <c r="BQ538">
        <v>0.13</v>
      </c>
      <c r="BR538">
        <v>2</v>
      </c>
      <c r="BS538">
        <v>0.26</v>
      </c>
      <c r="BT538">
        <f>BS538+BD538+AU538+AM538</f>
        <v>1.26</v>
      </c>
      <c r="BU538">
        <v>1</v>
      </c>
      <c r="BV538">
        <v>2</v>
      </c>
      <c r="BW538">
        <v>293</v>
      </c>
      <c r="BX538">
        <f>BW538/7</f>
        <v>41.857142857142854</v>
      </c>
      <c r="BY538">
        <f>0.77*BX538</f>
        <v>32.229999999999997</v>
      </c>
      <c r="BZ538">
        <f t="shared" si="8"/>
        <v>33.489999999999995</v>
      </c>
    </row>
    <row r="539" spans="1:78">
      <c r="A539" s="1">
        <v>45211.644141701385</v>
      </c>
      <c r="B539" t="s">
        <v>865</v>
      </c>
      <c r="C539">
        <v>538</v>
      </c>
      <c r="D539" s="10">
        <v>31081</v>
      </c>
      <c r="E539">
        <v>38</v>
      </c>
      <c r="F539">
        <v>1</v>
      </c>
      <c r="G539">
        <v>1</v>
      </c>
      <c r="H539">
        <v>5</v>
      </c>
      <c r="I539" s="10">
        <v>43264</v>
      </c>
      <c r="J539">
        <v>1</v>
      </c>
      <c r="K539">
        <v>1</v>
      </c>
      <c r="L539">
        <v>2</v>
      </c>
      <c r="M539">
        <v>2990</v>
      </c>
      <c r="N539">
        <v>2</v>
      </c>
      <c r="O539" s="10">
        <v>42991</v>
      </c>
      <c r="P539">
        <v>0</v>
      </c>
      <c r="Q539">
        <v>39</v>
      </c>
      <c r="R539">
        <v>2</v>
      </c>
      <c r="S539">
        <v>45</v>
      </c>
      <c r="T539">
        <v>150</v>
      </c>
      <c r="U539">
        <v>50</v>
      </c>
      <c r="V539">
        <v>5</v>
      </c>
      <c r="W539">
        <v>1</v>
      </c>
      <c r="X539">
        <v>20</v>
      </c>
      <c r="Y539">
        <v>22.222222222222221</v>
      </c>
      <c r="Z539">
        <v>2.2222222222222214</v>
      </c>
      <c r="AA539">
        <v>2</v>
      </c>
      <c r="AB539">
        <v>2</v>
      </c>
      <c r="AC539" t="s">
        <v>33</v>
      </c>
      <c r="AD539">
        <v>3</v>
      </c>
      <c r="AE539">
        <v>1</v>
      </c>
      <c r="AF539" t="s">
        <v>95</v>
      </c>
      <c r="AG539" t="e">
        <v>#N/A</v>
      </c>
      <c r="AH539">
        <v>1</v>
      </c>
      <c r="AI539">
        <v>2</v>
      </c>
      <c r="AJ539">
        <v>5</v>
      </c>
      <c r="AK539">
        <v>7</v>
      </c>
      <c r="AL539">
        <v>1</v>
      </c>
      <c r="AM539">
        <f>AJ539*AK539*AL539/7</f>
        <v>5</v>
      </c>
      <c r="AN539" t="s">
        <v>57</v>
      </c>
      <c r="AO539">
        <v>0</v>
      </c>
      <c r="AV539">
        <f>AU539+AM539</f>
        <v>5</v>
      </c>
      <c r="AW539" t="s">
        <v>689</v>
      </c>
      <c r="AX539">
        <v>0</v>
      </c>
      <c r="AY539" t="s">
        <v>116</v>
      </c>
      <c r="BE539">
        <f>AM539+AU539+BD539</f>
        <v>5</v>
      </c>
      <c r="BF539" t="s">
        <v>116</v>
      </c>
      <c r="BG539">
        <v>1</v>
      </c>
      <c r="BH539">
        <v>7</v>
      </c>
      <c r="BI539">
        <v>1</v>
      </c>
      <c r="BJ539" t="s">
        <v>49</v>
      </c>
      <c r="BK539">
        <v>5</v>
      </c>
      <c r="BL539">
        <v>3</v>
      </c>
      <c r="BM539">
        <v>1</v>
      </c>
      <c r="BN539" t="s">
        <v>30</v>
      </c>
      <c r="BO539">
        <v>1</v>
      </c>
      <c r="BP539">
        <v>42</v>
      </c>
      <c r="BQ539">
        <v>0.13</v>
      </c>
      <c r="BR539">
        <v>0.5</v>
      </c>
      <c r="BS539">
        <v>6.5000000000000002E-2</v>
      </c>
      <c r="BT539">
        <f>BS539+BD539+AU539+AM539</f>
        <v>5.0650000000000004</v>
      </c>
      <c r="BU539">
        <v>1</v>
      </c>
      <c r="BV539">
        <v>0.5</v>
      </c>
      <c r="BW539">
        <v>73.25</v>
      </c>
      <c r="BX539">
        <f>BW539/7</f>
        <v>10.464285714285714</v>
      </c>
      <c r="BY539">
        <f>0.77*BX539</f>
        <v>8.0574999999999992</v>
      </c>
      <c r="BZ539">
        <f t="shared" si="8"/>
        <v>13.122499999999999</v>
      </c>
    </row>
    <row r="540" spans="1:78">
      <c r="A540" s="1">
        <v>45211.646094293981</v>
      </c>
      <c r="C540">
        <v>539</v>
      </c>
      <c r="D540" s="10">
        <v>31407</v>
      </c>
      <c r="E540">
        <v>37</v>
      </c>
      <c r="F540">
        <v>1</v>
      </c>
      <c r="G540">
        <v>1</v>
      </c>
      <c r="H540">
        <v>3</v>
      </c>
      <c r="I540" s="10">
        <v>44959</v>
      </c>
      <c r="J540">
        <v>2</v>
      </c>
      <c r="K540">
        <v>0</v>
      </c>
      <c r="L540">
        <v>2</v>
      </c>
      <c r="M540">
        <v>3630</v>
      </c>
      <c r="N540">
        <v>2</v>
      </c>
      <c r="O540" s="10">
        <v>44693</v>
      </c>
      <c r="P540">
        <v>0</v>
      </c>
      <c r="Q540">
        <v>38</v>
      </c>
      <c r="R540">
        <v>2</v>
      </c>
      <c r="S540">
        <v>48.5</v>
      </c>
      <c r="T540">
        <v>156</v>
      </c>
      <c r="U540">
        <v>59</v>
      </c>
      <c r="V540">
        <v>10.5</v>
      </c>
      <c r="W540">
        <v>1</v>
      </c>
      <c r="X540">
        <v>19.929322813938196</v>
      </c>
      <c r="Y540">
        <v>24.243918474687703</v>
      </c>
      <c r="Z540">
        <v>4.3145956607495073</v>
      </c>
      <c r="AA540">
        <v>2</v>
      </c>
      <c r="AB540">
        <v>2</v>
      </c>
      <c r="AC540" t="s">
        <v>33</v>
      </c>
      <c r="AD540">
        <v>3</v>
      </c>
      <c r="AE540">
        <v>0</v>
      </c>
      <c r="AG540">
        <v>5</v>
      </c>
      <c r="AH540">
        <v>1</v>
      </c>
      <c r="AI540">
        <v>2</v>
      </c>
      <c r="AJ540">
        <v>5</v>
      </c>
      <c r="AK540">
        <v>7</v>
      </c>
      <c r="AL540">
        <v>1</v>
      </c>
      <c r="AM540">
        <f>AJ540*AK540*AL540/7</f>
        <v>5</v>
      </c>
      <c r="AN540" t="s">
        <v>57</v>
      </c>
      <c r="AO540">
        <v>0</v>
      </c>
      <c r="AV540">
        <f>AU540+AM540</f>
        <v>5</v>
      </c>
      <c r="AW540" t="s">
        <v>58</v>
      </c>
      <c r="AX540">
        <v>1</v>
      </c>
      <c r="AY540" t="s">
        <v>58</v>
      </c>
      <c r="AZ540">
        <v>1</v>
      </c>
      <c r="BA540">
        <v>0.8</v>
      </c>
      <c r="BB540">
        <v>7</v>
      </c>
      <c r="BC540">
        <v>1</v>
      </c>
      <c r="BD540">
        <f>BA540*BB540*1/7</f>
        <v>0.8</v>
      </c>
      <c r="BE540">
        <f>AM540+AU540+BD540</f>
        <v>5.8</v>
      </c>
      <c r="BF540" t="s">
        <v>58</v>
      </c>
      <c r="BG540">
        <v>0</v>
      </c>
      <c r="BH540">
        <v>7</v>
      </c>
      <c r="BI540">
        <v>1</v>
      </c>
      <c r="BJ540" t="s">
        <v>28</v>
      </c>
      <c r="BK540">
        <v>3</v>
      </c>
      <c r="BL540">
        <v>1</v>
      </c>
      <c r="BM540">
        <v>1</v>
      </c>
      <c r="BN540" t="s">
        <v>30</v>
      </c>
      <c r="BO540">
        <v>1</v>
      </c>
      <c r="BP540">
        <v>168</v>
      </c>
      <c r="BQ540">
        <v>0.13</v>
      </c>
      <c r="BR540">
        <v>2</v>
      </c>
      <c r="BS540">
        <v>0.26</v>
      </c>
      <c r="BT540">
        <f>BS540+BD540+AU540+AM540</f>
        <v>6.0600000000000005</v>
      </c>
      <c r="BU540">
        <v>1</v>
      </c>
      <c r="BV540">
        <v>0.5</v>
      </c>
      <c r="BW540">
        <v>73.25</v>
      </c>
      <c r="BX540">
        <f>BW540/7</f>
        <v>10.464285714285714</v>
      </c>
      <c r="BY540">
        <f>0.77*BX540</f>
        <v>8.0574999999999992</v>
      </c>
      <c r="BZ540">
        <f t="shared" si="8"/>
        <v>14.1175</v>
      </c>
    </row>
    <row r="541" spans="1:78">
      <c r="A541" s="1">
        <v>45211.708521909721</v>
      </c>
      <c r="C541">
        <v>540</v>
      </c>
      <c r="D541" s="10">
        <v>33860</v>
      </c>
      <c r="E541">
        <v>31</v>
      </c>
      <c r="F541">
        <v>1</v>
      </c>
      <c r="G541">
        <v>9</v>
      </c>
      <c r="H541">
        <v>4</v>
      </c>
      <c r="I541" s="10">
        <v>44083</v>
      </c>
      <c r="J541">
        <v>1</v>
      </c>
      <c r="K541">
        <v>1</v>
      </c>
      <c r="L541">
        <v>1</v>
      </c>
      <c r="M541">
        <v>3750</v>
      </c>
      <c r="N541">
        <v>2</v>
      </c>
      <c r="O541" s="10">
        <v>43824</v>
      </c>
      <c r="P541">
        <v>0</v>
      </c>
      <c r="Q541">
        <v>37</v>
      </c>
      <c r="R541">
        <v>2</v>
      </c>
      <c r="S541">
        <v>117</v>
      </c>
      <c r="T541">
        <v>168</v>
      </c>
      <c r="U541">
        <v>124</v>
      </c>
      <c r="V541">
        <v>7</v>
      </c>
      <c r="W541">
        <v>2</v>
      </c>
      <c r="X541">
        <v>41.454081632653065</v>
      </c>
      <c r="Y541">
        <v>43.934240362811799</v>
      </c>
      <c r="Z541">
        <v>2.4801587301587347</v>
      </c>
      <c r="AA541">
        <v>4</v>
      </c>
      <c r="AB541">
        <v>4</v>
      </c>
      <c r="AC541" t="s">
        <v>33</v>
      </c>
      <c r="AD541">
        <v>3</v>
      </c>
      <c r="AE541">
        <v>1</v>
      </c>
      <c r="AF541" t="s">
        <v>386</v>
      </c>
      <c r="AG541">
        <v>4</v>
      </c>
      <c r="AH541">
        <v>1</v>
      </c>
      <c r="AI541">
        <v>13</v>
      </c>
      <c r="AJ541">
        <v>1</v>
      </c>
      <c r="AK541">
        <v>7</v>
      </c>
      <c r="AL541">
        <v>1</v>
      </c>
      <c r="AM541">
        <f>AJ541*AK541*AL541/7</f>
        <v>1</v>
      </c>
      <c r="AN541" t="s">
        <v>79</v>
      </c>
      <c r="AO541">
        <v>0</v>
      </c>
      <c r="AV541">
        <f>AU541+AM541</f>
        <v>1</v>
      </c>
      <c r="AW541" t="s">
        <v>58</v>
      </c>
      <c r="AX541">
        <v>1</v>
      </c>
      <c r="AY541" t="s">
        <v>58</v>
      </c>
      <c r="AZ541">
        <v>1</v>
      </c>
      <c r="BA541">
        <v>0.8</v>
      </c>
      <c r="BB541">
        <v>7</v>
      </c>
      <c r="BC541">
        <v>1</v>
      </c>
      <c r="BD541">
        <f>BA541*BB541*1/7</f>
        <v>0.8</v>
      </c>
      <c r="BE541">
        <f>AM541+AU541+BD541</f>
        <v>1.8</v>
      </c>
      <c r="BF541" t="s">
        <v>58</v>
      </c>
      <c r="BG541">
        <v>0</v>
      </c>
      <c r="BH541">
        <v>7</v>
      </c>
      <c r="BI541">
        <v>1</v>
      </c>
      <c r="BJ541" t="s">
        <v>42</v>
      </c>
      <c r="BK541">
        <v>6</v>
      </c>
      <c r="BL541">
        <v>1</v>
      </c>
      <c r="BM541">
        <v>1</v>
      </c>
      <c r="BN541" t="s">
        <v>30</v>
      </c>
      <c r="BO541">
        <v>1</v>
      </c>
      <c r="BP541">
        <v>168</v>
      </c>
      <c r="BQ541">
        <v>0.13</v>
      </c>
      <c r="BR541">
        <v>2</v>
      </c>
      <c r="BS541">
        <v>0.26</v>
      </c>
      <c r="BT541">
        <f>BS541+BD541+AU541+AM541</f>
        <v>2.06</v>
      </c>
      <c r="BU541">
        <v>1</v>
      </c>
      <c r="BV541">
        <v>2</v>
      </c>
      <c r="BW541">
        <v>293</v>
      </c>
      <c r="BX541">
        <f>BW541/7</f>
        <v>41.857142857142854</v>
      </c>
      <c r="BY541">
        <f>0.77*BX541</f>
        <v>32.229999999999997</v>
      </c>
      <c r="BZ541">
        <f t="shared" si="8"/>
        <v>34.29</v>
      </c>
    </row>
    <row r="542" spans="1:78">
      <c r="A542" s="1">
        <v>45211.807083136577</v>
      </c>
      <c r="C542">
        <v>541</v>
      </c>
      <c r="D542" s="10">
        <v>34564</v>
      </c>
      <c r="E542">
        <v>29</v>
      </c>
      <c r="F542">
        <v>1</v>
      </c>
      <c r="G542">
        <v>1</v>
      </c>
      <c r="H542">
        <v>4</v>
      </c>
      <c r="I542" s="10">
        <v>44027</v>
      </c>
      <c r="J542">
        <v>1</v>
      </c>
      <c r="K542">
        <v>1</v>
      </c>
      <c r="L542">
        <v>2</v>
      </c>
      <c r="M542">
        <v>3350</v>
      </c>
      <c r="N542">
        <v>2</v>
      </c>
      <c r="O542" s="10">
        <v>43747</v>
      </c>
      <c r="P542">
        <v>0</v>
      </c>
      <c r="Q542">
        <v>40</v>
      </c>
      <c r="R542">
        <v>2</v>
      </c>
      <c r="S542">
        <v>51</v>
      </c>
      <c r="T542">
        <v>150</v>
      </c>
      <c r="U542">
        <v>60</v>
      </c>
      <c r="V542">
        <v>9</v>
      </c>
      <c r="W542">
        <v>1</v>
      </c>
      <c r="X542">
        <v>22.666666666666668</v>
      </c>
      <c r="Y542">
        <v>26.666666666666668</v>
      </c>
      <c r="Z542">
        <v>4</v>
      </c>
      <c r="AA542">
        <v>2</v>
      </c>
      <c r="AB542">
        <v>3</v>
      </c>
      <c r="AC542" t="s">
        <v>33</v>
      </c>
      <c r="AD542">
        <v>3</v>
      </c>
      <c r="AE542">
        <v>0</v>
      </c>
      <c r="AG542">
        <v>5</v>
      </c>
      <c r="AH542">
        <v>1</v>
      </c>
      <c r="AI542">
        <v>5</v>
      </c>
      <c r="AJ542">
        <v>5</v>
      </c>
      <c r="AK542">
        <v>7</v>
      </c>
      <c r="AL542">
        <v>1</v>
      </c>
      <c r="AM542">
        <f>AJ542*AK542*AL542/7</f>
        <v>5</v>
      </c>
      <c r="AN542" t="s">
        <v>27</v>
      </c>
      <c r="AO542">
        <v>0</v>
      </c>
      <c r="AV542">
        <f>AU542+AM542</f>
        <v>5</v>
      </c>
      <c r="AW542" t="s">
        <v>58</v>
      </c>
      <c r="AX542">
        <v>1</v>
      </c>
      <c r="AY542" t="s">
        <v>58</v>
      </c>
      <c r="AZ542">
        <v>1</v>
      </c>
      <c r="BA542">
        <v>0.8</v>
      </c>
      <c r="BB542">
        <v>7</v>
      </c>
      <c r="BC542">
        <v>1</v>
      </c>
      <c r="BD542">
        <f>BA542*BB542*1/7</f>
        <v>0.8</v>
      </c>
      <c r="BE542">
        <f>AM542+AU542+BD542</f>
        <v>5.8</v>
      </c>
      <c r="BF542" t="s">
        <v>58</v>
      </c>
      <c r="BG542">
        <v>0</v>
      </c>
      <c r="BH542">
        <v>7</v>
      </c>
      <c r="BI542">
        <v>1</v>
      </c>
      <c r="BJ542" t="s">
        <v>49</v>
      </c>
      <c r="BK542">
        <v>5</v>
      </c>
      <c r="BL542">
        <v>1</v>
      </c>
      <c r="BM542">
        <v>1</v>
      </c>
      <c r="BN542" t="s">
        <v>30</v>
      </c>
      <c r="BO542">
        <v>1</v>
      </c>
      <c r="BP542">
        <v>168</v>
      </c>
      <c r="BQ542">
        <v>0.13</v>
      </c>
      <c r="BR542">
        <v>2</v>
      </c>
      <c r="BS542">
        <v>0.26</v>
      </c>
      <c r="BT542">
        <f>BS542+BD542+AU542+AM542</f>
        <v>6.0600000000000005</v>
      </c>
      <c r="BU542">
        <v>1</v>
      </c>
      <c r="BV542">
        <v>2</v>
      </c>
      <c r="BW542">
        <v>293</v>
      </c>
      <c r="BX542">
        <f>BW542/7</f>
        <v>41.857142857142854</v>
      </c>
      <c r="BY542">
        <f>0.77*BX542</f>
        <v>32.229999999999997</v>
      </c>
      <c r="BZ542">
        <f t="shared" si="8"/>
        <v>38.29</v>
      </c>
    </row>
    <row r="543" spans="1:78">
      <c r="A543" s="1">
        <v>45211.847854930558</v>
      </c>
      <c r="C543">
        <v>542</v>
      </c>
      <c r="D543" s="10">
        <v>32156</v>
      </c>
      <c r="E543">
        <v>35</v>
      </c>
      <c r="F543">
        <v>1</v>
      </c>
      <c r="G543">
        <v>3</v>
      </c>
      <c r="H543">
        <v>4</v>
      </c>
      <c r="I543" s="10">
        <v>43635</v>
      </c>
      <c r="J543">
        <v>1</v>
      </c>
      <c r="K543">
        <v>1</v>
      </c>
      <c r="L543">
        <v>1</v>
      </c>
      <c r="M543">
        <v>2650</v>
      </c>
      <c r="N543">
        <v>2</v>
      </c>
      <c r="O543" s="10">
        <v>43376</v>
      </c>
      <c r="P543">
        <v>0</v>
      </c>
      <c r="Q543">
        <v>37</v>
      </c>
      <c r="R543">
        <v>2</v>
      </c>
      <c r="S543">
        <v>50</v>
      </c>
      <c r="T543">
        <v>154</v>
      </c>
      <c r="U543">
        <v>62</v>
      </c>
      <c r="V543">
        <v>12</v>
      </c>
      <c r="W543">
        <v>2</v>
      </c>
      <c r="X543">
        <v>21.0828132906055</v>
      </c>
      <c r="Y543">
        <v>26.14268848035082</v>
      </c>
      <c r="Z543">
        <v>5.0598751897453198</v>
      </c>
      <c r="AA543">
        <v>2</v>
      </c>
      <c r="AB543">
        <v>3</v>
      </c>
      <c r="AC543" t="s">
        <v>33</v>
      </c>
      <c r="AD543">
        <v>3</v>
      </c>
      <c r="AE543">
        <v>1</v>
      </c>
      <c r="AF543" t="s">
        <v>387</v>
      </c>
      <c r="AG543">
        <v>3</v>
      </c>
      <c r="AH543">
        <v>1</v>
      </c>
      <c r="AI543">
        <v>13</v>
      </c>
      <c r="AJ543">
        <v>1</v>
      </c>
      <c r="AK543">
        <v>7</v>
      </c>
      <c r="AL543">
        <v>1</v>
      </c>
      <c r="AM543">
        <f>AJ543*AK543*AL543/7</f>
        <v>1</v>
      </c>
      <c r="AN543" t="s">
        <v>79</v>
      </c>
      <c r="AO543">
        <v>0</v>
      </c>
      <c r="AV543">
        <f>AU543+AM543</f>
        <v>1</v>
      </c>
      <c r="AX543">
        <v>0</v>
      </c>
      <c r="BE543">
        <f>AM543+AU543+BD543</f>
        <v>1</v>
      </c>
      <c r="BG543">
        <v>0</v>
      </c>
      <c r="BJ543" t="s">
        <v>49</v>
      </c>
      <c r="BK543">
        <v>5</v>
      </c>
      <c r="BL543">
        <v>1</v>
      </c>
      <c r="BM543">
        <v>1</v>
      </c>
      <c r="BN543" t="s">
        <v>37</v>
      </c>
      <c r="BO543">
        <v>4</v>
      </c>
      <c r="BP543">
        <v>110</v>
      </c>
      <c r="BQ543">
        <v>0.05</v>
      </c>
      <c r="BR543">
        <v>2</v>
      </c>
      <c r="BS543">
        <v>0.1</v>
      </c>
      <c r="BT543">
        <f>BS543+BD543+AU543+AM543</f>
        <v>1.1000000000000001</v>
      </c>
      <c r="BU543">
        <v>1</v>
      </c>
      <c r="BV543">
        <v>1</v>
      </c>
      <c r="BW543">
        <v>146.5</v>
      </c>
      <c r="BX543">
        <f>BW543/7</f>
        <v>20.928571428571427</v>
      </c>
      <c r="BY543">
        <f>0.77*BX543</f>
        <v>16.114999999999998</v>
      </c>
      <c r="BZ543">
        <f t="shared" si="8"/>
        <v>17.215</v>
      </c>
    </row>
    <row r="544" spans="1:78">
      <c r="A544" s="1">
        <v>45211.854905636574</v>
      </c>
      <c r="C544">
        <v>543</v>
      </c>
      <c r="D544" s="10">
        <v>33269</v>
      </c>
      <c r="E544">
        <v>32</v>
      </c>
      <c r="F544">
        <v>1</v>
      </c>
      <c r="G544">
        <v>13</v>
      </c>
      <c r="H544">
        <v>4</v>
      </c>
      <c r="I544" s="10">
        <v>44658</v>
      </c>
      <c r="J544">
        <v>1</v>
      </c>
      <c r="K544">
        <v>1</v>
      </c>
      <c r="L544">
        <v>2</v>
      </c>
      <c r="M544">
        <v>3825</v>
      </c>
      <c r="N544">
        <v>2</v>
      </c>
      <c r="O544" s="10">
        <v>44384</v>
      </c>
      <c r="P544">
        <v>1</v>
      </c>
      <c r="Q544">
        <v>39.142857142857146</v>
      </c>
      <c r="R544">
        <v>2</v>
      </c>
      <c r="S544">
        <v>55</v>
      </c>
      <c r="T544">
        <v>167</v>
      </c>
      <c r="U544">
        <v>68</v>
      </c>
      <c r="V544">
        <v>13</v>
      </c>
      <c r="W544">
        <v>2</v>
      </c>
      <c r="X544">
        <v>19.721036967980208</v>
      </c>
      <c r="Y544">
        <v>24.382372978593711</v>
      </c>
      <c r="Z544">
        <v>4.6613360106135033</v>
      </c>
      <c r="AA544">
        <v>2</v>
      </c>
      <c r="AB544">
        <v>2</v>
      </c>
      <c r="AC544" t="s">
        <v>33</v>
      </c>
      <c r="AD544">
        <v>3</v>
      </c>
      <c r="AE544">
        <v>0</v>
      </c>
      <c r="AG544">
        <v>5</v>
      </c>
      <c r="AH544">
        <v>1</v>
      </c>
      <c r="AI544">
        <v>13</v>
      </c>
      <c r="AJ544">
        <v>1</v>
      </c>
      <c r="AK544">
        <v>5</v>
      </c>
      <c r="AL544">
        <v>1</v>
      </c>
      <c r="AM544">
        <f>AJ544*AK544*AL544/7</f>
        <v>0.7142857142857143</v>
      </c>
      <c r="AN544" t="s">
        <v>79</v>
      </c>
      <c r="AO544">
        <v>0</v>
      </c>
      <c r="AV544">
        <f>AU544+AM544</f>
        <v>0.7142857142857143</v>
      </c>
      <c r="AW544" t="s">
        <v>245</v>
      </c>
      <c r="AX544">
        <v>0</v>
      </c>
      <c r="BE544">
        <f>AM544+AU544+BD544</f>
        <v>0.7142857142857143</v>
      </c>
      <c r="BF544" t="s">
        <v>245</v>
      </c>
      <c r="BG544">
        <v>1</v>
      </c>
      <c r="BH544">
        <v>5</v>
      </c>
      <c r="BI544">
        <v>1</v>
      </c>
      <c r="BJ544" t="s">
        <v>49</v>
      </c>
      <c r="BK544">
        <v>5</v>
      </c>
      <c r="BL544">
        <v>1</v>
      </c>
      <c r="BM544">
        <v>1</v>
      </c>
      <c r="BN544" t="s">
        <v>55</v>
      </c>
      <c r="BO544">
        <v>2</v>
      </c>
      <c r="BP544">
        <v>268</v>
      </c>
      <c r="BQ544">
        <v>0.1</v>
      </c>
      <c r="BR544">
        <v>4</v>
      </c>
      <c r="BS544">
        <v>0.4</v>
      </c>
      <c r="BT544">
        <f>BS544+BD544+AU544+AM544</f>
        <v>1.1142857142857143</v>
      </c>
      <c r="BU544">
        <v>1</v>
      </c>
      <c r="BV544">
        <v>4</v>
      </c>
      <c r="BW544">
        <v>586</v>
      </c>
      <c r="BX544">
        <f>BW544/7</f>
        <v>83.714285714285708</v>
      </c>
      <c r="BY544">
        <f>0.77*BX544</f>
        <v>64.459999999999994</v>
      </c>
      <c r="BZ544">
        <f t="shared" si="8"/>
        <v>65.574285714285708</v>
      </c>
    </row>
    <row r="545" spans="1:78">
      <c r="A545" s="1">
        <v>45211.867657696755</v>
      </c>
      <c r="C545">
        <v>544</v>
      </c>
      <c r="D545" s="10">
        <v>30353</v>
      </c>
      <c r="E545">
        <v>40</v>
      </c>
      <c r="F545">
        <v>1</v>
      </c>
      <c r="G545">
        <v>12</v>
      </c>
      <c r="H545">
        <v>4</v>
      </c>
      <c r="I545" s="10">
        <v>43388</v>
      </c>
      <c r="J545">
        <v>1</v>
      </c>
      <c r="K545">
        <v>1</v>
      </c>
      <c r="L545">
        <v>2</v>
      </c>
      <c r="M545">
        <v>3570</v>
      </c>
      <c r="N545">
        <v>2</v>
      </c>
      <c r="O545" s="10">
        <v>43115</v>
      </c>
      <c r="P545">
        <v>0</v>
      </c>
      <c r="Q545">
        <v>39</v>
      </c>
      <c r="R545">
        <v>2</v>
      </c>
      <c r="S545">
        <v>74.599999999999994</v>
      </c>
      <c r="T545">
        <v>158</v>
      </c>
      <c r="U545">
        <v>83.1</v>
      </c>
      <c r="V545">
        <v>8.5</v>
      </c>
      <c r="W545">
        <v>2</v>
      </c>
      <c r="X545">
        <v>29.883031565454246</v>
      </c>
      <c r="Y545">
        <v>33.287934625861233</v>
      </c>
      <c r="Z545">
        <v>3.404903060406987</v>
      </c>
      <c r="AA545">
        <v>3</v>
      </c>
      <c r="AB545">
        <v>4</v>
      </c>
      <c r="AC545" t="s">
        <v>33</v>
      </c>
      <c r="AD545">
        <v>3</v>
      </c>
      <c r="AE545">
        <v>0</v>
      </c>
      <c r="AG545">
        <v>5</v>
      </c>
      <c r="AH545">
        <v>1</v>
      </c>
      <c r="AI545">
        <v>13</v>
      </c>
      <c r="AJ545">
        <v>1</v>
      </c>
      <c r="AK545">
        <v>7</v>
      </c>
      <c r="AL545">
        <v>1</v>
      </c>
      <c r="AM545">
        <f>AJ545*AK545*AL545/7</f>
        <v>1</v>
      </c>
      <c r="AN545" t="s">
        <v>79</v>
      </c>
      <c r="AO545">
        <v>0</v>
      </c>
      <c r="AV545">
        <f>AU545+AM545</f>
        <v>1</v>
      </c>
      <c r="AX545">
        <v>0</v>
      </c>
      <c r="BE545">
        <f>AM545+AU545+BD545</f>
        <v>1</v>
      </c>
      <c r="BG545">
        <v>0</v>
      </c>
      <c r="BJ545" t="s">
        <v>49</v>
      </c>
      <c r="BK545">
        <v>5</v>
      </c>
      <c r="BL545">
        <v>3</v>
      </c>
      <c r="BM545">
        <v>1</v>
      </c>
      <c r="BN545" t="s">
        <v>55</v>
      </c>
      <c r="BO545">
        <v>2</v>
      </c>
      <c r="BP545">
        <v>201</v>
      </c>
      <c r="BQ545">
        <v>0.1</v>
      </c>
      <c r="BR545">
        <v>3</v>
      </c>
      <c r="BS545">
        <v>0.30000000000000004</v>
      </c>
      <c r="BT545">
        <f>BS545+BD545+AU545+AM545</f>
        <v>1.3</v>
      </c>
      <c r="BU545">
        <v>1</v>
      </c>
      <c r="BV545">
        <v>1</v>
      </c>
      <c r="BW545">
        <v>146.5</v>
      </c>
      <c r="BX545">
        <f>BW545/7</f>
        <v>20.928571428571427</v>
      </c>
      <c r="BY545">
        <f>0.77*BX545</f>
        <v>16.114999999999998</v>
      </c>
      <c r="BZ545">
        <f t="shared" si="8"/>
        <v>17.414999999999999</v>
      </c>
    </row>
    <row r="546" spans="1:78">
      <c r="A546" s="1">
        <v>45211.879338182873</v>
      </c>
      <c r="C546">
        <v>545</v>
      </c>
      <c r="D546" s="10">
        <v>30101</v>
      </c>
      <c r="E546">
        <v>41</v>
      </c>
      <c r="F546">
        <v>1</v>
      </c>
      <c r="G546">
        <v>9</v>
      </c>
      <c r="H546">
        <v>5</v>
      </c>
      <c r="I546" s="10">
        <v>44163</v>
      </c>
      <c r="J546">
        <v>1</v>
      </c>
      <c r="K546">
        <v>1</v>
      </c>
      <c r="L546">
        <v>1</v>
      </c>
      <c r="M546">
        <v>2730</v>
      </c>
      <c r="N546">
        <v>2</v>
      </c>
      <c r="O546" s="10">
        <v>43897</v>
      </c>
      <c r="P546">
        <v>1</v>
      </c>
      <c r="Q546">
        <v>38</v>
      </c>
      <c r="R546">
        <v>2</v>
      </c>
      <c r="S546">
        <v>48</v>
      </c>
      <c r="T546">
        <v>150</v>
      </c>
      <c r="U546">
        <v>57.8</v>
      </c>
      <c r="V546">
        <v>9.7999999999999972</v>
      </c>
      <c r="W546">
        <v>1</v>
      </c>
      <c r="X546">
        <v>21.333333333333332</v>
      </c>
      <c r="Y546">
        <v>25.688888888888886</v>
      </c>
      <c r="Z546">
        <v>4.3555555555555543</v>
      </c>
      <c r="AA546">
        <v>2</v>
      </c>
      <c r="AB546">
        <v>3</v>
      </c>
      <c r="AC546" t="s">
        <v>173</v>
      </c>
      <c r="AD546">
        <v>1</v>
      </c>
      <c r="AE546">
        <v>0</v>
      </c>
      <c r="AG546">
        <v>5</v>
      </c>
      <c r="AH546">
        <v>1</v>
      </c>
      <c r="AI546">
        <v>4</v>
      </c>
      <c r="AJ546">
        <v>1</v>
      </c>
      <c r="AK546">
        <v>7</v>
      </c>
      <c r="AL546">
        <v>1</v>
      </c>
      <c r="AM546">
        <f>AJ546*AK546*AL546/7</f>
        <v>1</v>
      </c>
      <c r="AN546" t="s">
        <v>43</v>
      </c>
      <c r="AO546">
        <v>0</v>
      </c>
      <c r="AV546">
        <f>AU546+AM546</f>
        <v>1</v>
      </c>
      <c r="AW546" t="s">
        <v>58</v>
      </c>
      <c r="AX546">
        <v>1</v>
      </c>
      <c r="AY546" t="s">
        <v>58</v>
      </c>
      <c r="AZ546">
        <v>1</v>
      </c>
      <c r="BA546">
        <v>0.8</v>
      </c>
      <c r="BB546">
        <v>7</v>
      </c>
      <c r="BC546">
        <v>1</v>
      </c>
      <c r="BD546">
        <f>BA546*BB546*1/7</f>
        <v>0.8</v>
      </c>
      <c r="BE546">
        <f>AM546+AU546+BD546</f>
        <v>1.8</v>
      </c>
      <c r="BF546" t="s">
        <v>58</v>
      </c>
      <c r="BG546">
        <v>0</v>
      </c>
      <c r="BH546">
        <v>7</v>
      </c>
      <c r="BI546">
        <v>1</v>
      </c>
      <c r="BJ546" t="s">
        <v>28</v>
      </c>
      <c r="BK546">
        <v>3</v>
      </c>
      <c r="BL546">
        <v>1</v>
      </c>
      <c r="BM546">
        <v>1</v>
      </c>
      <c r="BN546" t="s">
        <v>55</v>
      </c>
      <c r="BO546">
        <v>2</v>
      </c>
      <c r="BP546">
        <v>67</v>
      </c>
      <c r="BQ546">
        <v>0.1</v>
      </c>
      <c r="BR546">
        <v>1</v>
      </c>
      <c r="BS546">
        <v>0.1</v>
      </c>
      <c r="BT546">
        <f>BS546+BD546+AU546+AM546</f>
        <v>1.9</v>
      </c>
      <c r="BU546">
        <v>1</v>
      </c>
      <c r="BV546">
        <v>1</v>
      </c>
      <c r="BW546">
        <v>146.5</v>
      </c>
      <c r="BX546">
        <f>BW546/7</f>
        <v>20.928571428571427</v>
      </c>
      <c r="BY546">
        <f>0.77*BX546</f>
        <v>16.114999999999998</v>
      </c>
      <c r="BZ546">
        <f t="shared" si="8"/>
        <v>18.014999999999997</v>
      </c>
    </row>
    <row r="547" spans="1:78">
      <c r="A547" s="1">
        <v>45211.879882743058</v>
      </c>
      <c r="C547">
        <v>546</v>
      </c>
      <c r="D547" s="10">
        <v>33485</v>
      </c>
      <c r="E547">
        <v>32</v>
      </c>
      <c r="F547">
        <v>1</v>
      </c>
      <c r="G547">
        <v>10</v>
      </c>
      <c r="H547">
        <v>5</v>
      </c>
      <c r="I547" s="10">
        <v>44863</v>
      </c>
      <c r="J547">
        <v>1</v>
      </c>
      <c r="K547">
        <v>1</v>
      </c>
      <c r="L547">
        <v>1</v>
      </c>
      <c r="M547">
        <v>3565</v>
      </c>
      <c r="N547">
        <v>2</v>
      </c>
      <c r="O547" s="10">
        <v>44593</v>
      </c>
      <c r="P547">
        <v>0</v>
      </c>
      <c r="Q547">
        <v>38.571428571428569</v>
      </c>
      <c r="R547">
        <v>2</v>
      </c>
      <c r="S547">
        <v>101.5</v>
      </c>
      <c r="T547">
        <v>169</v>
      </c>
      <c r="U547">
        <v>113.3</v>
      </c>
      <c r="V547">
        <v>11.799999999999997</v>
      </c>
      <c r="W547">
        <v>3</v>
      </c>
      <c r="X547">
        <v>35.537971359546241</v>
      </c>
      <c r="Y547">
        <v>39.669479359966395</v>
      </c>
      <c r="Z547">
        <v>4.1315080004201548</v>
      </c>
      <c r="AA547">
        <v>4</v>
      </c>
      <c r="AB547">
        <v>4</v>
      </c>
      <c r="AC547" t="s">
        <v>33</v>
      </c>
      <c r="AD547">
        <v>3</v>
      </c>
      <c r="AE547">
        <v>0</v>
      </c>
      <c r="AG547">
        <v>5</v>
      </c>
      <c r="AH547">
        <v>1</v>
      </c>
      <c r="AI547">
        <v>5</v>
      </c>
      <c r="AJ547">
        <v>5</v>
      </c>
      <c r="AK547">
        <v>7</v>
      </c>
      <c r="AL547">
        <v>1</v>
      </c>
      <c r="AM547">
        <f>AJ547*AK547*AL547/7</f>
        <v>5</v>
      </c>
      <c r="AN547" t="s">
        <v>27</v>
      </c>
      <c r="AO547">
        <v>0</v>
      </c>
      <c r="AV547">
        <f>AU547+AM547</f>
        <v>5</v>
      </c>
      <c r="AX547">
        <v>0</v>
      </c>
      <c r="BE547">
        <f>AM547+AU547+BD547</f>
        <v>5</v>
      </c>
      <c r="BG547">
        <v>0</v>
      </c>
      <c r="BJ547" t="s">
        <v>49</v>
      </c>
      <c r="BK547">
        <v>5</v>
      </c>
      <c r="BL547">
        <v>3</v>
      </c>
      <c r="BM547">
        <v>1</v>
      </c>
      <c r="BN547" t="s">
        <v>37</v>
      </c>
      <c r="BO547">
        <v>4</v>
      </c>
      <c r="BP547">
        <v>110</v>
      </c>
      <c r="BQ547">
        <v>0.05</v>
      </c>
      <c r="BR547">
        <v>2</v>
      </c>
      <c r="BS547">
        <v>0.1</v>
      </c>
      <c r="BT547">
        <f>BS547+BD547+AU547+AM547</f>
        <v>5.0999999999999996</v>
      </c>
      <c r="BU547">
        <v>1</v>
      </c>
      <c r="BV547">
        <v>1</v>
      </c>
      <c r="BW547">
        <v>146.5</v>
      </c>
      <c r="BX547">
        <f>BW547/7</f>
        <v>20.928571428571427</v>
      </c>
      <c r="BY547">
        <f>0.77*BX547</f>
        <v>16.114999999999998</v>
      </c>
      <c r="BZ547">
        <f t="shared" si="8"/>
        <v>21.214999999999996</v>
      </c>
    </row>
    <row r="548" spans="1:78">
      <c r="A548" s="1">
        <v>45211.882566458335</v>
      </c>
      <c r="C548">
        <v>547</v>
      </c>
      <c r="D548" s="10">
        <v>29015</v>
      </c>
      <c r="E548">
        <v>44</v>
      </c>
      <c r="F548">
        <v>1</v>
      </c>
      <c r="G548">
        <v>2</v>
      </c>
      <c r="H548">
        <v>4</v>
      </c>
      <c r="I548" s="10">
        <v>44774</v>
      </c>
      <c r="J548">
        <v>1</v>
      </c>
      <c r="K548">
        <v>1</v>
      </c>
      <c r="L548">
        <v>1</v>
      </c>
      <c r="M548">
        <v>3133</v>
      </c>
      <c r="N548">
        <v>2</v>
      </c>
      <c r="O548" s="10">
        <v>44515</v>
      </c>
      <c r="P548">
        <v>0</v>
      </c>
      <c r="Q548">
        <v>37</v>
      </c>
      <c r="R548">
        <v>2</v>
      </c>
      <c r="S548">
        <v>97</v>
      </c>
      <c r="T548">
        <v>170</v>
      </c>
      <c r="U548">
        <v>93</v>
      </c>
      <c r="V548">
        <v>-4</v>
      </c>
      <c r="W548">
        <v>1</v>
      </c>
      <c r="X548">
        <v>33.564013840830455</v>
      </c>
      <c r="Y548">
        <v>32.179930795847753</v>
      </c>
      <c r="Z548">
        <v>-1.3840830449827024</v>
      </c>
      <c r="AA548">
        <v>4</v>
      </c>
      <c r="AB548">
        <v>4</v>
      </c>
      <c r="AC548" t="s">
        <v>25</v>
      </c>
      <c r="AD548">
        <v>1</v>
      </c>
      <c r="AE548">
        <v>0</v>
      </c>
      <c r="AG548">
        <v>5</v>
      </c>
      <c r="AH548">
        <v>1</v>
      </c>
      <c r="AI548">
        <v>5</v>
      </c>
      <c r="AJ548">
        <v>5</v>
      </c>
      <c r="AK548">
        <v>7</v>
      </c>
      <c r="AL548">
        <v>1</v>
      </c>
      <c r="AM548">
        <f>AJ548*AK548*AL548/7</f>
        <v>5</v>
      </c>
      <c r="AN548" t="s">
        <v>27</v>
      </c>
      <c r="AO548">
        <v>0</v>
      </c>
      <c r="AV548">
        <f>AU548+AM548</f>
        <v>5</v>
      </c>
      <c r="AW548" t="s">
        <v>254</v>
      </c>
      <c r="AX548">
        <v>1</v>
      </c>
      <c r="AY548" t="s">
        <v>254</v>
      </c>
      <c r="AZ548">
        <v>12</v>
      </c>
      <c r="BA548">
        <v>0.4</v>
      </c>
      <c r="BB548">
        <v>7</v>
      </c>
      <c r="BC548">
        <v>1</v>
      </c>
      <c r="BD548">
        <f>BA548*BB548*1/7</f>
        <v>0.4</v>
      </c>
      <c r="BE548">
        <f>AM548+AU548+BD548</f>
        <v>5.4</v>
      </c>
      <c r="BF548" t="s">
        <v>254</v>
      </c>
      <c r="BG548">
        <v>0</v>
      </c>
      <c r="BH548">
        <v>7</v>
      </c>
      <c r="BI548">
        <v>1</v>
      </c>
      <c r="BJ548" t="s">
        <v>36</v>
      </c>
      <c r="BK548">
        <v>4</v>
      </c>
      <c r="BL548">
        <v>1</v>
      </c>
      <c r="BM548">
        <v>1</v>
      </c>
      <c r="BN548" t="s">
        <v>37</v>
      </c>
      <c r="BO548">
        <v>4</v>
      </c>
      <c r="BP548">
        <v>110</v>
      </c>
      <c r="BQ548">
        <v>0.05</v>
      </c>
      <c r="BR548">
        <v>2</v>
      </c>
      <c r="BS548">
        <v>0.1</v>
      </c>
      <c r="BT548">
        <f>BS548+BD548+AU548+AM548</f>
        <v>5.5</v>
      </c>
      <c r="BU548">
        <v>1</v>
      </c>
      <c r="BV548">
        <v>0.5</v>
      </c>
      <c r="BW548">
        <v>73.25</v>
      </c>
      <c r="BX548">
        <f>BW548/7</f>
        <v>10.464285714285714</v>
      </c>
      <c r="BY548">
        <f>0.77*BX548</f>
        <v>8.0574999999999992</v>
      </c>
      <c r="BZ548">
        <f t="shared" si="8"/>
        <v>13.557499999999999</v>
      </c>
    </row>
    <row r="549" spans="1:78">
      <c r="A549" s="1">
        <v>45211.892946944441</v>
      </c>
      <c r="C549">
        <v>548</v>
      </c>
      <c r="D549" s="10">
        <v>29680</v>
      </c>
      <c r="E549">
        <v>42</v>
      </c>
      <c r="F549">
        <v>1</v>
      </c>
      <c r="G549">
        <v>10</v>
      </c>
      <c r="H549">
        <v>4</v>
      </c>
      <c r="I549" s="10">
        <v>44707</v>
      </c>
      <c r="J549">
        <v>3</v>
      </c>
      <c r="K549">
        <v>0</v>
      </c>
      <c r="L549">
        <v>2</v>
      </c>
      <c r="M549">
        <v>3150</v>
      </c>
      <c r="N549">
        <v>2</v>
      </c>
      <c r="O549" s="10">
        <v>44441</v>
      </c>
      <c r="P549">
        <v>1</v>
      </c>
      <c r="Q549">
        <v>38</v>
      </c>
      <c r="R549">
        <v>2</v>
      </c>
      <c r="S549">
        <v>60</v>
      </c>
      <c r="T549">
        <v>158</v>
      </c>
      <c r="U549">
        <v>69</v>
      </c>
      <c r="V549">
        <v>9</v>
      </c>
      <c r="W549">
        <v>1</v>
      </c>
      <c r="X549">
        <v>24.034609838166958</v>
      </c>
      <c r="Y549">
        <v>27.639801313892001</v>
      </c>
      <c r="Z549">
        <v>3.6051914757250429</v>
      </c>
      <c r="AA549">
        <v>2</v>
      </c>
      <c r="AB549">
        <v>3</v>
      </c>
      <c r="AC549" t="s">
        <v>33</v>
      </c>
      <c r="AD549">
        <v>3</v>
      </c>
      <c r="AE549">
        <v>0</v>
      </c>
      <c r="AG549">
        <v>5</v>
      </c>
      <c r="AH549">
        <v>1</v>
      </c>
      <c r="AI549">
        <v>5</v>
      </c>
      <c r="AJ549">
        <v>5</v>
      </c>
      <c r="AK549">
        <v>7</v>
      </c>
      <c r="AL549">
        <v>1</v>
      </c>
      <c r="AM549">
        <f>AJ549*AK549*AL549/7</f>
        <v>5</v>
      </c>
      <c r="AN549" t="s">
        <v>27</v>
      </c>
      <c r="AO549">
        <v>0</v>
      </c>
      <c r="AV549">
        <f>AU549+AM549</f>
        <v>5</v>
      </c>
      <c r="AX549">
        <v>0</v>
      </c>
      <c r="BE549">
        <f>AM549+AU549+BD549</f>
        <v>5</v>
      </c>
      <c r="BG549">
        <v>0</v>
      </c>
      <c r="BJ549" t="s">
        <v>49</v>
      </c>
      <c r="BK549">
        <v>5</v>
      </c>
      <c r="BL549">
        <v>3</v>
      </c>
      <c r="BM549">
        <v>1</v>
      </c>
      <c r="BN549" t="s">
        <v>59</v>
      </c>
      <c r="BO549">
        <v>3</v>
      </c>
      <c r="BP549">
        <v>112</v>
      </c>
      <c r="BQ549">
        <v>0.08</v>
      </c>
      <c r="BR549">
        <v>2</v>
      </c>
      <c r="BS549">
        <v>0.16</v>
      </c>
      <c r="BT549">
        <f>BS549+BD549+AU549+AM549</f>
        <v>5.16</v>
      </c>
      <c r="BU549">
        <v>1</v>
      </c>
      <c r="BV549">
        <v>2</v>
      </c>
      <c r="BW549">
        <v>293</v>
      </c>
      <c r="BX549">
        <f>BW549/7</f>
        <v>41.857142857142854</v>
      </c>
      <c r="BY549">
        <f>0.77*BX549</f>
        <v>32.229999999999997</v>
      </c>
      <c r="BZ549">
        <f t="shared" si="8"/>
        <v>37.39</v>
      </c>
    </row>
    <row r="550" spans="1:78">
      <c r="A550" s="1">
        <v>45211.896459560186</v>
      </c>
      <c r="C550">
        <v>549</v>
      </c>
      <c r="D550" s="10">
        <v>32116</v>
      </c>
      <c r="E550">
        <v>35</v>
      </c>
      <c r="F550">
        <v>1</v>
      </c>
      <c r="G550">
        <v>14</v>
      </c>
      <c r="H550">
        <v>4</v>
      </c>
      <c r="I550" s="10">
        <v>43004</v>
      </c>
      <c r="J550">
        <v>2</v>
      </c>
      <c r="K550">
        <v>0</v>
      </c>
      <c r="L550">
        <v>1</v>
      </c>
      <c r="M550">
        <v>3000</v>
      </c>
      <c r="N550">
        <v>2</v>
      </c>
      <c r="O550" s="10">
        <v>42738</v>
      </c>
      <c r="P550">
        <v>0</v>
      </c>
      <c r="Q550">
        <v>38</v>
      </c>
      <c r="R550">
        <v>2</v>
      </c>
      <c r="S550">
        <v>80</v>
      </c>
      <c r="T550">
        <v>160</v>
      </c>
      <c r="U550">
        <v>96</v>
      </c>
      <c r="V550">
        <v>16</v>
      </c>
      <c r="W550">
        <v>3</v>
      </c>
      <c r="X550">
        <v>31.249999999999993</v>
      </c>
      <c r="Y550">
        <v>37.499999999999993</v>
      </c>
      <c r="Z550">
        <v>6.25</v>
      </c>
      <c r="AA550">
        <v>4</v>
      </c>
      <c r="AB550">
        <v>4</v>
      </c>
      <c r="AC550" t="s">
        <v>33</v>
      </c>
      <c r="AD550">
        <v>3</v>
      </c>
      <c r="AE550">
        <v>0</v>
      </c>
      <c r="AG550">
        <v>5</v>
      </c>
      <c r="AH550">
        <v>1</v>
      </c>
      <c r="AI550">
        <v>7</v>
      </c>
      <c r="AJ550">
        <v>5</v>
      </c>
      <c r="AK550">
        <v>7</v>
      </c>
      <c r="AL550">
        <v>1</v>
      </c>
      <c r="AM550">
        <f>AJ550*AK550*AL550/7</f>
        <v>5</v>
      </c>
      <c r="AN550" t="s">
        <v>206</v>
      </c>
      <c r="AO550">
        <v>0</v>
      </c>
      <c r="AV550">
        <f>AU550+AM550</f>
        <v>5</v>
      </c>
      <c r="AX550">
        <v>0</v>
      </c>
      <c r="BE550">
        <f>AM550+AU550+BD550</f>
        <v>5</v>
      </c>
      <c r="BG550">
        <v>0</v>
      </c>
      <c r="BJ550" t="s">
        <v>49</v>
      </c>
      <c r="BK550">
        <v>5</v>
      </c>
      <c r="BL550">
        <v>1</v>
      </c>
      <c r="BM550">
        <v>1</v>
      </c>
      <c r="BN550" t="s">
        <v>55</v>
      </c>
      <c r="BO550">
        <v>2</v>
      </c>
      <c r="BP550">
        <v>134</v>
      </c>
      <c r="BQ550">
        <v>0.1</v>
      </c>
      <c r="BR550">
        <v>2</v>
      </c>
      <c r="BS550">
        <v>0.2</v>
      </c>
      <c r="BT550">
        <f>BS550+BD550+AU550+AM550</f>
        <v>5.2</v>
      </c>
      <c r="BU550">
        <v>1</v>
      </c>
      <c r="BV550">
        <v>2</v>
      </c>
      <c r="BW550">
        <v>293</v>
      </c>
      <c r="BX550">
        <f>BW550/7</f>
        <v>41.857142857142854</v>
      </c>
      <c r="BY550">
        <f>0.77*BX550</f>
        <v>32.229999999999997</v>
      </c>
      <c r="BZ550">
        <f t="shared" si="8"/>
        <v>37.43</v>
      </c>
    </row>
    <row r="551" spans="1:78">
      <c r="A551" s="1">
        <v>45211.901103969911</v>
      </c>
      <c r="C551">
        <v>550</v>
      </c>
      <c r="D551" s="10">
        <v>30020</v>
      </c>
      <c r="E551">
        <v>41</v>
      </c>
      <c r="F551">
        <v>1</v>
      </c>
      <c r="G551">
        <v>1</v>
      </c>
      <c r="H551">
        <v>4</v>
      </c>
      <c r="I551" s="10">
        <v>44008</v>
      </c>
      <c r="J551">
        <v>1</v>
      </c>
      <c r="K551">
        <v>1</v>
      </c>
      <c r="L551">
        <v>1</v>
      </c>
      <c r="M551">
        <v>3950</v>
      </c>
      <c r="N551">
        <v>2</v>
      </c>
      <c r="O551" s="10">
        <v>43742</v>
      </c>
      <c r="P551">
        <v>0</v>
      </c>
      <c r="Q551">
        <v>38</v>
      </c>
      <c r="R551">
        <v>2</v>
      </c>
      <c r="S551">
        <v>67</v>
      </c>
      <c r="T551">
        <v>163</v>
      </c>
      <c r="U551">
        <v>84</v>
      </c>
      <c r="V551">
        <v>17</v>
      </c>
      <c r="W551">
        <v>3</v>
      </c>
      <c r="X551">
        <v>25.217358575783809</v>
      </c>
      <c r="Y551">
        <v>31.615792841281195</v>
      </c>
      <c r="Z551">
        <v>6.3984342654973858</v>
      </c>
      <c r="AA551">
        <v>3</v>
      </c>
      <c r="AB551">
        <v>4</v>
      </c>
      <c r="AC551" t="s">
        <v>40</v>
      </c>
      <c r="AD551">
        <v>2</v>
      </c>
      <c r="AE551">
        <v>1</v>
      </c>
      <c r="AF551" t="s">
        <v>391</v>
      </c>
      <c r="AG551" t="e">
        <v>#N/A</v>
      </c>
      <c r="AH551">
        <v>1</v>
      </c>
      <c r="AI551">
        <v>17</v>
      </c>
      <c r="AJ551">
        <v>0.6</v>
      </c>
      <c r="AK551">
        <v>7</v>
      </c>
      <c r="AL551">
        <v>1</v>
      </c>
      <c r="AM551">
        <f>AJ551*AK551*AL551/7</f>
        <v>0.6</v>
      </c>
      <c r="AN551" t="s">
        <v>140</v>
      </c>
      <c r="AO551">
        <v>0</v>
      </c>
      <c r="AV551">
        <f>AU551+AM551</f>
        <v>0.6</v>
      </c>
      <c r="AX551">
        <v>0</v>
      </c>
      <c r="BE551">
        <f>AM551+AU551+BD551</f>
        <v>0.6</v>
      </c>
      <c r="BG551">
        <v>0</v>
      </c>
      <c r="BJ551" t="s">
        <v>42</v>
      </c>
      <c r="BK551">
        <v>6</v>
      </c>
      <c r="BL551">
        <v>1</v>
      </c>
      <c r="BM551">
        <v>1</v>
      </c>
      <c r="BN551" t="s">
        <v>30</v>
      </c>
      <c r="BO551">
        <v>1</v>
      </c>
      <c r="BP551">
        <v>168</v>
      </c>
      <c r="BQ551">
        <v>0.13</v>
      </c>
      <c r="BR551">
        <v>2</v>
      </c>
      <c r="BS551">
        <v>0.26</v>
      </c>
      <c r="BT551">
        <f>BS551+BD551+AU551+AM551</f>
        <v>0.86</v>
      </c>
      <c r="BU551">
        <v>1</v>
      </c>
      <c r="BV551">
        <v>0.5</v>
      </c>
      <c r="BW551">
        <v>73.25</v>
      </c>
      <c r="BX551">
        <f>BW551/7</f>
        <v>10.464285714285714</v>
      </c>
      <c r="BY551">
        <f>0.77*BX551</f>
        <v>8.0574999999999992</v>
      </c>
      <c r="BZ551">
        <f t="shared" si="8"/>
        <v>8.9174999999999986</v>
      </c>
    </row>
    <row r="552" spans="1:78">
      <c r="A552" s="1">
        <v>45211.911789618054</v>
      </c>
      <c r="C552">
        <v>551</v>
      </c>
      <c r="D552" s="10">
        <v>31659</v>
      </c>
      <c r="E552">
        <v>37</v>
      </c>
      <c r="F552">
        <v>1</v>
      </c>
      <c r="G552">
        <v>5</v>
      </c>
      <c r="H552">
        <v>5</v>
      </c>
      <c r="I552" s="10">
        <v>45089</v>
      </c>
      <c r="J552">
        <v>2</v>
      </c>
      <c r="K552">
        <v>0</v>
      </c>
      <c r="L552">
        <v>2</v>
      </c>
      <c r="M552">
        <v>1990</v>
      </c>
      <c r="N552">
        <v>1</v>
      </c>
      <c r="O552" s="10">
        <v>44837</v>
      </c>
      <c r="P552">
        <v>0</v>
      </c>
      <c r="Q552">
        <v>36</v>
      </c>
      <c r="R552">
        <v>3</v>
      </c>
      <c r="S552">
        <v>92</v>
      </c>
      <c r="T552">
        <v>160</v>
      </c>
      <c r="U552">
        <v>96</v>
      </c>
      <c r="V552">
        <v>4</v>
      </c>
      <c r="W552">
        <v>1</v>
      </c>
      <c r="X552">
        <v>35.937499999999993</v>
      </c>
      <c r="Y552">
        <v>37.499999999999993</v>
      </c>
      <c r="Z552">
        <v>1.5625</v>
      </c>
      <c r="AA552">
        <v>4</v>
      </c>
      <c r="AB552">
        <v>4</v>
      </c>
      <c r="AC552" t="s">
        <v>25</v>
      </c>
      <c r="AD552">
        <v>1</v>
      </c>
      <c r="AE552">
        <v>1</v>
      </c>
      <c r="AF552" t="s">
        <v>392</v>
      </c>
      <c r="AG552">
        <v>4</v>
      </c>
      <c r="AH552">
        <v>1</v>
      </c>
      <c r="AI552">
        <v>2</v>
      </c>
      <c r="AJ552">
        <v>5</v>
      </c>
      <c r="AK552">
        <v>7</v>
      </c>
      <c r="AL552">
        <v>1</v>
      </c>
      <c r="AM552">
        <f>AJ552*AK552*AL552/7</f>
        <v>5</v>
      </c>
      <c r="AN552" t="s">
        <v>57</v>
      </c>
      <c r="AO552">
        <v>0</v>
      </c>
      <c r="AV552">
        <f>AU552+AM552</f>
        <v>5</v>
      </c>
      <c r="AX552">
        <v>0</v>
      </c>
      <c r="BE552">
        <f>AM552+AU552+BD552</f>
        <v>5</v>
      </c>
      <c r="BG552">
        <v>0</v>
      </c>
      <c r="BJ552" t="s">
        <v>36</v>
      </c>
      <c r="BK552">
        <v>4</v>
      </c>
      <c r="BL552">
        <v>1</v>
      </c>
      <c r="BM552">
        <v>1</v>
      </c>
      <c r="BN552" t="s">
        <v>37</v>
      </c>
      <c r="BO552">
        <v>4</v>
      </c>
      <c r="BP552">
        <v>55</v>
      </c>
      <c r="BQ552">
        <v>0.05</v>
      </c>
      <c r="BR552">
        <v>1</v>
      </c>
      <c r="BS552">
        <v>0.05</v>
      </c>
      <c r="BT552">
        <f>BS552+BD552+AU552+AM552</f>
        <v>5.05</v>
      </c>
      <c r="BU552">
        <v>1</v>
      </c>
      <c r="BV552">
        <v>2</v>
      </c>
      <c r="BW552">
        <v>293</v>
      </c>
      <c r="BX552">
        <f>BW552/7</f>
        <v>41.857142857142854</v>
      </c>
      <c r="BY552">
        <f>0.77*BX552</f>
        <v>32.229999999999997</v>
      </c>
      <c r="BZ552">
        <f t="shared" si="8"/>
        <v>37.279999999999994</v>
      </c>
    </row>
    <row r="553" spans="1:78">
      <c r="A553" s="1">
        <v>45211.915536412038</v>
      </c>
      <c r="C553">
        <v>552</v>
      </c>
      <c r="D553" s="10">
        <v>30286</v>
      </c>
      <c r="E553">
        <v>41</v>
      </c>
      <c r="F553">
        <v>1</v>
      </c>
      <c r="G553">
        <v>5</v>
      </c>
      <c r="H553">
        <v>4</v>
      </c>
      <c r="I553" s="10">
        <v>43535</v>
      </c>
      <c r="J553">
        <v>2</v>
      </c>
      <c r="K553">
        <v>0</v>
      </c>
      <c r="L553">
        <v>1</v>
      </c>
      <c r="M553">
        <v>4560</v>
      </c>
      <c r="N553">
        <v>3</v>
      </c>
      <c r="O553" s="10">
        <v>43269</v>
      </c>
      <c r="P553">
        <v>0</v>
      </c>
      <c r="Q553">
        <v>38</v>
      </c>
      <c r="R553">
        <v>2</v>
      </c>
      <c r="S553">
        <v>72</v>
      </c>
      <c r="T553">
        <v>160</v>
      </c>
      <c r="U553">
        <v>77</v>
      </c>
      <c r="V553">
        <v>5</v>
      </c>
      <c r="W553">
        <v>1</v>
      </c>
      <c r="X553">
        <v>28.124999999999993</v>
      </c>
      <c r="Y553">
        <v>30.078124999999993</v>
      </c>
      <c r="Z553">
        <v>1.953125</v>
      </c>
      <c r="AA553">
        <v>3</v>
      </c>
      <c r="AB553">
        <v>4</v>
      </c>
      <c r="AC553" t="s">
        <v>44</v>
      </c>
      <c r="AD553">
        <v>1</v>
      </c>
      <c r="AE553">
        <v>1</v>
      </c>
      <c r="AF553" t="s">
        <v>393</v>
      </c>
      <c r="AG553" t="e">
        <v>#N/A</v>
      </c>
      <c r="AH553">
        <v>1</v>
      </c>
      <c r="AI553">
        <v>4</v>
      </c>
      <c r="AJ553">
        <v>1</v>
      </c>
      <c r="AK553">
        <v>7</v>
      </c>
      <c r="AL553">
        <v>1</v>
      </c>
      <c r="AM553">
        <f>AJ553*AK553*AL553/7</f>
        <v>1</v>
      </c>
      <c r="AN553" t="s">
        <v>43</v>
      </c>
      <c r="AO553">
        <v>0</v>
      </c>
      <c r="AV553">
        <f>AU553+AM553</f>
        <v>1</v>
      </c>
      <c r="AW553" t="s">
        <v>336</v>
      </c>
      <c r="AX553">
        <v>0</v>
      </c>
      <c r="BE553">
        <f>AM553+AU553+BD553</f>
        <v>1</v>
      </c>
      <c r="BF553" t="s">
        <v>336</v>
      </c>
      <c r="BG553">
        <v>1</v>
      </c>
      <c r="BH553">
        <v>7</v>
      </c>
      <c r="BI553">
        <v>1</v>
      </c>
      <c r="BJ553" t="s">
        <v>49</v>
      </c>
      <c r="BK553">
        <v>5</v>
      </c>
      <c r="BL553">
        <v>1</v>
      </c>
      <c r="BM553">
        <v>1</v>
      </c>
      <c r="BN553" t="s">
        <v>30</v>
      </c>
      <c r="BO553">
        <v>1</v>
      </c>
      <c r="BP553">
        <v>168</v>
      </c>
      <c r="BQ553">
        <v>0.13</v>
      </c>
      <c r="BR553">
        <v>2</v>
      </c>
      <c r="BS553">
        <v>0.26</v>
      </c>
      <c r="BT553">
        <f>BS553+BD553+AU553+AM553</f>
        <v>1.26</v>
      </c>
      <c r="BU553">
        <v>1</v>
      </c>
      <c r="BV553">
        <v>1</v>
      </c>
      <c r="BW553">
        <v>146.5</v>
      </c>
      <c r="BX553">
        <f>BW553/7</f>
        <v>20.928571428571427</v>
      </c>
      <c r="BY553">
        <f>0.77*BX553</f>
        <v>16.114999999999998</v>
      </c>
      <c r="BZ553">
        <f t="shared" si="8"/>
        <v>17.375</v>
      </c>
    </row>
    <row r="554" spans="1:78">
      <c r="A554" s="1">
        <v>45211.935431782404</v>
      </c>
      <c r="C554">
        <v>553</v>
      </c>
      <c r="D554" s="10">
        <v>34132</v>
      </c>
      <c r="E554">
        <v>30</v>
      </c>
      <c r="F554">
        <v>1</v>
      </c>
      <c r="G554">
        <v>9</v>
      </c>
      <c r="H554">
        <v>4</v>
      </c>
      <c r="I554" s="10">
        <v>44550</v>
      </c>
      <c r="J554">
        <v>1</v>
      </c>
      <c r="K554">
        <v>1</v>
      </c>
      <c r="L554">
        <v>1</v>
      </c>
      <c r="M554">
        <v>2975</v>
      </c>
      <c r="N554">
        <v>2</v>
      </c>
      <c r="O554" s="10">
        <v>44298</v>
      </c>
      <c r="P554">
        <v>1</v>
      </c>
      <c r="Q554">
        <v>36</v>
      </c>
      <c r="R554">
        <v>3</v>
      </c>
      <c r="S554">
        <v>92</v>
      </c>
      <c r="T554">
        <v>157</v>
      </c>
      <c r="U554">
        <v>100</v>
      </c>
      <c r="V554">
        <v>8</v>
      </c>
      <c r="W554">
        <v>2</v>
      </c>
      <c r="X554">
        <v>37.324029372388331</v>
      </c>
      <c r="Y554">
        <v>40.56959714390036</v>
      </c>
      <c r="Z554">
        <v>3.2455677715120288</v>
      </c>
      <c r="AA554">
        <v>4</v>
      </c>
      <c r="AB554">
        <v>4</v>
      </c>
      <c r="AC554" t="s">
        <v>33</v>
      </c>
      <c r="AD554">
        <v>3</v>
      </c>
      <c r="AE554">
        <v>0</v>
      </c>
      <c r="AG554">
        <v>5</v>
      </c>
      <c r="AH554">
        <v>1</v>
      </c>
      <c r="AI554">
        <v>13</v>
      </c>
      <c r="AJ554">
        <v>1</v>
      </c>
      <c r="AK554">
        <v>7</v>
      </c>
      <c r="AL554">
        <v>1</v>
      </c>
      <c r="AM554">
        <f>AJ554*AK554*AL554/7</f>
        <v>1</v>
      </c>
      <c r="AN554" t="s">
        <v>79</v>
      </c>
      <c r="AO554">
        <v>0</v>
      </c>
      <c r="AV554">
        <f>AU554+AM554</f>
        <v>1</v>
      </c>
      <c r="AX554">
        <v>0</v>
      </c>
      <c r="BE554">
        <f>AM554+AU554+BD554</f>
        <v>1</v>
      </c>
      <c r="BG554">
        <v>0</v>
      </c>
      <c r="BJ554" t="s">
        <v>49</v>
      </c>
      <c r="BK554">
        <v>5</v>
      </c>
      <c r="BL554">
        <v>1</v>
      </c>
      <c r="BM554">
        <v>1</v>
      </c>
      <c r="BN554" t="s">
        <v>55</v>
      </c>
      <c r="BO554">
        <v>2</v>
      </c>
      <c r="BP554">
        <v>201</v>
      </c>
      <c r="BQ554">
        <v>0.1</v>
      </c>
      <c r="BR554">
        <v>3</v>
      </c>
      <c r="BS554">
        <v>0.30000000000000004</v>
      </c>
      <c r="BT554">
        <f>BS554+BD554+AU554+AM554</f>
        <v>1.3</v>
      </c>
      <c r="BU554">
        <v>1</v>
      </c>
      <c r="BV554">
        <v>4</v>
      </c>
      <c r="BW554">
        <v>586</v>
      </c>
      <c r="BX554">
        <f>BW554/7</f>
        <v>83.714285714285708</v>
      </c>
      <c r="BY554">
        <f>0.77*BX554</f>
        <v>64.459999999999994</v>
      </c>
      <c r="BZ554">
        <f t="shared" si="8"/>
        <v>65.759999999999991</v>
      </c>
    </row>
    <row r="555" spans="1:78">
      <c r="A555" s="1">
        <v>45211.943235347222</v>
      </c>
      <c r="C555">
        <v>554</v>
      </c>
      <c r="D555" s="10">
        <v>35914</v>
      </c>
      <c r="E555">
        <v>25</v>
      </c>
      <c r="F555">
        <v>1</v>
      </c>
      <c r="G555">
        <v>10</v>
      </c>
      <c r="H555">
        <v>5</v>
      </c>
      <c r="I555" s="10">
        <v>44917</v>
      </c>
      <c r="J555">
        <v>1</v>
      </c>
      <c r="K555">
        <v>1</v>
      </c>
      <c r="L555">
        <v>2</v>
      </c>
      <c r="M555">
        <v>3185</v>
      </c>
      <c r="N555">
        <v>2</v>
      </c>
      <c r="O555" s="10">
        <v>44642</v>
      </c>
      <c r="P555">
        <v>0</v>
      </c>
      <c r="Q555">
        <v>39.285714285714285</v>
      </c>
      <c r="R555">
        <v>2</v>
      </c>
      <c r="S555">
        <v>66</v>
      </c>
      <c r="T555">
        <v>164</v>
      </c>
      <c r="U555">
        <v>78</v>
      </c>
      <c r="V555">
        <v>12</v>
      </c>
      <c r="W555">
        <v>2</v>
      </c>
      <c r="X555">
        <v>24.538964901844146</v>
      </c>
      <c r="Y555">
        <v>29.000594883997625</v>
      </c>
      <c r="Z555">
        <v>4.4616299821534788</v>
      </c>
      <c r="AA555">
        <v>2</v>
      </c>
      <c r="AB555">
        <v>3</v>
      </c>
      <c r="AC555" t="s">
        <v>33</v>
      </c>
      <c r="AD555">
        <v>3</v>
      </c>
      <c r="AE555">
        <v>0</v>
      </c>
      <c r="AG555">
        <v>5</v>
      </c>
      <c r="AH555">
        <v>1</v>
      </c>
      <c r="AI555">
        <v>13</v>
      </c>
      <c r="AJ555">
        <v>1</v>
      </c>
      <c r="AK555">
        <v>6</v>
      </c>
      <c r="AL555">
        <v>1</v>
      </c>
      <c r="AM555">
        <f>AJ555*AK555*AL555/7</f>
        <v>0.8571428571428571</v>
      </c>
      <c r="AN555" t="s">
        <v>79</v>
      </c>
      <c r="AO555">
        <v>0</v>
      </c>
      <c r="AV555">
        <f>AU555+AM555</f>
        <v>0.8571428571428571</v>
      </c>
      <c r="AX555">
        <v>0</v>
      </c>
      <c r="BE555">
        <f>AM555+AU555+BD555</f>
        <v>0.8571428571428571</v>
      </c>
      <c r="BG555">
        <v>0</v>
      </c>
      <c r="BJ555" t="s">
        <v>28</v>
      </c>
      <c r="BK555">
        <v>3</v>
      </c>
      <c r="BL555">
        <v>3</v>
      </c>
      <c r="BM555">
        <v>1</v>
      </c>
      <c r="BN555" t="s">
        <v>30</v>
      </c>
      <c r="BO555">
        <v>1</v>
      </c>
      <c r="BP555">
        <v>252</v>
      </c>
      <c r="BQ555">
        <v>0.13</v>
      </c>
      <c r="BR555">
        <v>3</v>
      </c>
      <c r="BS555">
        <v>0.39</v>
      </c>
      <c r="BT555">
        <f>BS555+BD555+AU555+AM555</f>
        <v>1.2471428571428571</v>
      </c>
      <c r="BU555">
        <v>1</v>
      </c>
      <c r="BV555">
        <v>1</v>
      </c>
      <c r="BW555">
        <v>146.5</v>
      </c>
      <c r="BX555">
        <f>BW555/7</f>
        <v>20.928571428571427</v>
      </c>
      <c r="BY555">
        <f>0.77*BX555</f>
        <v>16.114999999999998</v>
      </c>
      <c r="BZ555">
        <f t="shared" si="8"/>
        <v>17.362142857142857</v>
      </c>
    </row>
    <row r="556" spans="1:78">
      <c r="A556" s="1">
        <v>45211.946636828703</v>
      </c>
      <c r="C556">
        <v>555</v>
      </c>
      <c r="D556" s="10">
        <v>33191</v>
      </c>
      <c r="E556">
        <v>32</v>
      </c>
      <c r="F556">
        <v>1</v>
      </c>
      <c r="G556">
        <v>1</v>
      </c>
      <c r="H556">
        <v>4</v>
      </c>
      <c r="I556" s="10">
        <v>43374</v>
      </c>
      <c r="J556">
        <v>3</v>
      </c>
      <c r="K556">
        <v>0</v>
      </c>
      <c r="L556">
        <v>1</v>
      </c>
      <c r="M556">
        <v>3300</v>
      </c>
      <c r="N556">
        <v>2</v>
      </c>
      <c r="O556" s="10">
        <v>43094</v>
      </c>
      <c r="P556">
        <v>0</v>
      </c>
      <c r="Q556">
        <v>40</v>
      </c>
      <c r="R556">
        <v>2</v>
      </c>
      <c r="S556">
        <v>75</v>
      </c>
      <c r="T556">
        <v>152</v>
      </c>
      <c r="U556">
        <v>82</v>
      </c>
      <c r="V556">
        <v>7</v>
      </c>
      <c r="W556">
        <v>2</v>
      </c>
      <c r="X556">
        <v>32.461911357340718</v>
      </c>
      <c r="Y556">
        <v>35.491689750692522</v>
      </c>
      <c r="Z556">
        <v>3.0297783933518048</v>
      </c>
      <c r="AA556">
        <v>4</v>
      </c>
      <c r="AB556">
        <v>4</v>
      </c>
      <c r="AC556" t="s">
        <v>44</v>
      </c>
      <c r="AD556">
        <v>1</v>
      </c>
      <c r="AE556">
        <v>0</v>
      </c>
      <c r="AG556">
        <v>5</v>
      </c>
      <c r="AH556">
        <v>1</v>
      </c>
      <c r="AI556">
        <v>13</v>
      </c>
      <c r="AJ556">
        <v>1</v>
      </c>
      <c r="AK556">
        <v>7</v>
      </c>
      <c r="AL556">
        <v>1</v>
      </c>
      <c r="AM556">
        <f>AJ556*AK556*AL556/7</f>
        <v>1</v>
      </c>
      <c r="AN556" t="s">
        <v>79</v>
      </c>
      <c r="AO556">
        <v>0</v>
      </c>
      <c r="AV556">
        <f>AU556+AM556</f>
        <v>1</v>
      </c>
      <c r="AX556">
        <v>0</v>
      </c>
      <c r="BE556">
        <f>AM556+AU556+BD556</f>
        <v>1</v>
      </c>
      <c r="BG556">
        <v>0</v>
      </c>
      <c r="BJ556" t="s">
        <v>49</v>
      </c>
      <c r="BK556">
        <v>5</v>
      </c>
      <c r="BL556">
        <v>1</v>
      </c>
      <c r="BM556">
        <v>1</v>
      </c>
      <c r="BN556" t="s">
        <v>37</v>
      </c>
      <c r="BO556">
        <v>4</v>
      </c>
      <c r="BP556">
        <v>55</v>
      </c>
      <c r="BQ556">
        <v>0.05</v>
      </c>
      <c r="BR556">
        <v>1</v>
      </c>
      <c r="BS556">
        <v>0.05</v>
      </c>
      <c r="BT556">
        <f>BS556+BD556+AU556+AM556</f>
        <v>1.05</v>
      </c>
      <c r="BU556">
        <v>1</v>
      </c>
      <c r="BV556">
        <v>1</v>
      </c>
      <c r="BW556">
        <v>146.5</v>
      </c>
      <c r="BX556">
        <f>BW556/7</f>
        <v>20.928571428571427</v>
      </c>
      <c r="BY556">
        <f>0.77*BX556</f>
        <v>16.114999999999998</v>
      </c>
      <c r="BZ556">
        <f t="shared" si="8"/>
        <v>17.164999999999999</v>
      </c>
    </row>
    <row r="557" spans="1:78">
      <c r="A557" s="1">
        <v>45211.946964270828</v>
      </c>
      <c r="C557">
        <v>556</v>
      </c>
      <c r="D557" s="10">
        <v>31308</v>
      </c>
      <c r="E557">
        <v>38</v>
      </c>
      <c r="F557">
        <v>1</v>
      </c>
      <c r="G557">
        <v>1</v>
      </c>
      <c r="H557">
        <v>4</v>
      </c>
      <c r="I557" s="10">
        <v>43373</v>
      </c>
      <c r="J557">
        <v>1</v>
      </c>
      <c r="K557">
        <v>1</v>
      </c>
      <c r="L557">
        <v>1</v>
      </c>
      <c r="M557">
        <v>3265</v>
      </c>
      <c r="N557">
        <v>2</v>
      </c>
      <c r="O557" s="10">
        <v>43100</v>
      </c>
      <c r="P557">
        <v>0</v>
      </c>
      <c r="Q557">
        <v>39</v>
      </c>
      <c r="R557">
        <v>2</v>
      </c>
      <c r="S557">
        <v>52</v>
      </c>
      <c r="T557">
        <v>158</v>
      </c>
      <c r="U557">
        <v>61</v>
      </c>
      <c r="V557">
        <v>9</v>
      </c>
      <c r="W557">
        <v>1</v>
      </c>
      <c r="X557">
        <v>20.82999519307803</v>
      </c>
      <c r="Y557">
        <v>24.435186668803073</v>
      </c>
      <c r="Z557">
        <v>3.6051914757250429</v>
      </c>
      <c r="AA557">
        <v>2</v>
      </c>
      <c r="AB557">
        <v>2</v>
      </c>
      <c r="AC557" t="s">
        <v>33</v>
      </c>
      <c r="AD557">
        <v>3</v>
      </c>
      <c r="AE557">
        <v>0</v>
      </c>
      <c r="AG557">
        <v>5</v>
      </c>
      <c r="AH557">
        <v>1</v>
      </c>
      <c r="AI557">
        <v>4</v>
      </c>
      <c r="AJ557">
        <v>1</v>
      </c>
      <c r="AK557">
        <v>7</v>
      </c>
      <c r="AL557">
        <v>1</v>
      </c>
      <c r="AM557">
        <f>AJ557*AK557*AL557/7</f>
        <v>1</v>
      </c>
      <c r="AN557" t="s">
        <v>43</v>
      </c>
      <c r="AO557">
        <v>0</v>
      </c>
      <c r="AV557">
        <f>AU557+AM557</f>
        <v>1</v>
      </c>
      <c r="AW557" t="s">
        <v>58</v>
      </c>
      <c r="AX557">
        <v>1</v>
      </c>
      <c r="AY557" t="s">
        <v>58</v>
      </c>
      <c r="AZ557">
        <v>1</v>
      </c>
      <c r="BA557">
        <v>0.8</v>
      </c>
      <c r="BB557">
        <v>7</v>
      </c>
      <c r="BC557">
        <v>1</v>
      </c>
      <c r="BD557">
        <f>BA557*BB557*1/7</f>
        <v>0.8</v>
      </c>
      <c r="BE557">
        <f>AM557+AU557+BD557</f>
        <v>1.8</v>
      </c>
      <c r="BF557" t="s">
        <v>58</v>
      </c>
      <c r="BG557">
        <v>0</v>
      </c>
      <c r="BH557">
        <v>7</v>
      </c>
      <c r="BI557">
        <v>1</v>
      </c>
      <c r="BJ557" t="s">
        <v>54</v>
      </c>
      <c r="BK557">
        <v>2</v>
      </c>
      <c r="BL557">
        <v>1</v>
      </c>
      <c r="BM557">
        <v>1</v>
      </c>
      <c r="BN557" t="s">
        <v>30</v>
      </c>
      <c r="BO557">
        <v>1</v>
      </c>
      <c r="BP557">
        <v>84</v>
      </c>
      <c r="BQ557">
        <v>0.13</v>
      </c>
      <c r="BR557">
        <v>1</v>
      </c>
      <c r="BS557">
        <v>0.13</v>
      </c>
      <c r="BT557">
        <f>BS557+BD557+AU557+AM557</f>
        <v>1.9300000000000002</v>
      </c>
      <c r="BU557">
        <v>1</v>
      </c>
      <c r="BV557">
        <v>1</v>
      </c>
      <c r="BW557">
        <v>146.5</v>
      </c>
      <c r="BX557">
        <f>BW557/7</f>
        <v>20.928571428571427</v>
      </c>
      <c r="BY557">
        <f>0.77*BX557</f>
        <v>16.114999999999998</v>
      </c>
      <c r="BZ557">
        <f t="shared" si="8"/>
        <v>18.044999999999998</v>
      </c>
    </row>
    <row r="558" spans="1:78">
      <c r="A558" s="1">
        <v>45211.954976215275</v>
      </c>
      <c r="C558">
        <v>557</v>
      </c>
      <c r="D558" s="10">
        <v>34034</v>
      </c>
      <c r="E558">
        <v>30</v>
      </c>
      <c r="F558">
        <v>1</v>
      </c>
      <c r="G558">
        <v>9</v>
      </c>
      <c r="H558">
        <v>2</v>
      </c>
      <c r="I558" s="10">
        <v>45071</v>
      </c>
      <c r="J558">
        <v>5</v>
      </c>
      <c r="K558">
        <v>0</v>
      </c>
      <c r="L558">
        <v>2</v>
      </c>
      <c r="M558">
        <v>3760</v>
      </c>
      <c r="N558">
        <v>2</v>
      </c>
      <c r="O558" s="10">
        <v>44798</v>
      </c>
      <c r="P558">
        <v>0</v>
      </c>
      <c r="Q558">
        <v>39</v>
      </c>
      <c r="R558">
        <v>2</v>
      </c>
      <c r="S558">
        <v>102</v>
      </c>
      <c r="T558">
        <v>167</v>
      </c>
      <c r="U558">
        <v>113</v>
      </c>
      <c r="V558">
        <v>11</v>
      </c>
      <c r="W558">
        <v>2</v>
      </c>
      <c r="X558">
        <v>36.573559467890568</v>
      </c>
      <c r="Y558">
        <v>40.517766861486606</v>
      </c>
      <c r="Z558">
        <v>3.944207393596038</v>
      </c>
      <c r="AA558">
        <v>4</v>
      </c>
      <c r="AB558">
        <v>4</v>
      </c>
      <c r="AC558" t="s">
        <v>33</v>
      </c>
      <c r="AD558">
        <v>3</v>
      </c>
      <c r="AE558">
        <v>0</v>
      </c>
      <c r="AG558">
        <v>5</v>
      </c>
      <c r="AH558">
        <v>1</v>
      </c>
      <c r="AI558">
        <v>13</v>
      </c>
      <c r="AJ558">
        <v>1</v>
      </c>
      <c r="AK558">
        <v>7</v>
      </c>
      <c r="AL558">
        <v>1</v>
      </c>
      <c r="AM558">
        <f>AJ558*AK558*AL558/7</f>
        <v>1</v>
      </c>
      <c r="AN558" t="s">
        <v>79</v>
      </c>
      <c r="AO558">
        <v>0</v>
      </c>
      <c r="AV558">
        <f>AU558+AM558</f>
        <v>1</v>
      </c>
      <c r="AW558" t="s">
        <v>395</v>
      </c>
      <c r="AX558">
        <v>0</v>
      </c>
      <c r="BE558">
        <f>AM558+AU558+BD558</f>
        <v>1</v>
      </c>
      <c r="BF558" t="s">
        <v>395</v>
      </c>
      <c r="BG558">
        <v>1</v>
      </c>
      <c r="BH558">
        <v>7</v>
      </c>
      <c r="BI558">
        <v>1</v>
      </c>
      <c r="BJ558" t="s">
        <v>36</v>
      </c>
      <c r="BK558">
        <v>4</v>
      </c>
      <c r="BL558">
        <v>1</v>
      </c>
      <c r="BM558">
        <v>1</v>
      </c>
      <c r="BN558" t="s">
        <v>55</v>
      </c>
      <c r="BO558">
        <v>2</v>
      </c>
      <c r="BP558">
        <v>134</v>
      </c>
      <c r="BQ558">
        <v>0.1</v>
      </c>
      <c r="BR558">
        <v>2</v>
      </c>
      <c r="BS558">
        <v>0.2</v>
      </c>
      <c r="BT558">
        <f>BS558+BD558+AU558+AM558</f>
        <v>1.2</v>
      </c>
      <c r="BU558">
        <v>1</v>
      </c>
      <c r="BV558">
        <v>1</v>
      </c>
      <c r="BW558">
        <v>146.5</v>
      </c>
      <c r="BX558">
        <f>BW558/7</f>
        <v>20.928571428571427</v>
      </c>
      <c r="BY558">
        <f>0.77*BX558</f>
        <v>16.114999999999998</v>
      </c>
      <c r="BZ558">
        <f t="shared" si="8"/>
        <v>17.314999999999998</v>
      </c>
    </row>
    <row r="559" spans="1:78">
      <c r="A559" s="1">
        <v>45211.961878437505</v>
      </c>
      <c r="C559">
        <v>558</v>
      </c>
      <c r="D559" s="10">
        <v>32033</v>
      </c>
      <c r="E559">
        <v>36</v>
      </c>
      <c r="F559">
        <v>1</v>
      </c>
      <c r="G559">
        <v>1</v>
      </c>
      <c r="H559">
        <v>4</v>
      </c>
      <c r="I559" s="10">
        <v>44628</v>
      </c>
      <c r="J559">
        <v>2</v>
      </c>
      <c r="K559">
        <v>0</v>
      </c>
      <c r="L559">
        <v>1</v>
      </c>
      <c r="M559">
        <v>3160</v>
      </c>
      <c r="N559">
        <v>2</v>
      </c>
      <c r="O559" s="10">
        <v>44355</v>
      </c>
      <c r="P559">
        <v>1</v>
      </c>
      <c r="Q559">
        <v>39</v>
      </c>
      <c r="R559">
        <v>2</v>
      </c>
      <c r="S559">
        <v>60</v>
      </c>
      <c r="T559">
        <v>154</v>
      </c>
      <c r="U559">
        <v>74</v>
      </c>
      <c r="V559">
        <v>14</v>
      </c>
      <c r="W559">
        <v>3</v>
      </c>
      <c r="X559">
        <v>25.299375948726599</v>
      </c>
      <c r="Y559">
        <v>31.20256367009614</v>
      </c>
      <c r="Z559">
        <v>5.903187721369541</v>
      </c>
      <c r="AA559">
        <v>3</v>
      </c>
      <c r="AB559">
        <v>4</v>
      </c>
      <c r="AC559" t="s">
        <v>40</v>
      </c>
      <c r="AD559">
        <v>2</v>
      </c>
      <c r="AE559">
        <v>1</v>
      </c>
      <c r="AF559" t="s">
        <v>396</v>
      </c>
      <c r="AG559">
        <v>2</v>
      </c>
      <c r="AH559">
        <v>0</v>
      </c>
      <c r="AI559">
        <v>0</v>
      </c>
      <c r="AN559" t="s">
        <v>41</v>
      </c>
      <c r="AO559">
        <v>0</v>
      </c>
      <c r="AW559" t="s">
        <v>397</v>
      </c>
      <c r="AX559">
        <v>1</v>
      </c>
      <c r="AY559" t="s">
        <v>882</v>
      </c>
      <c r="AZ559">
        <v>1</v>
      </c>
      <c r="BA559">
        <v>0.8</v>
      </c>
      <c r="BB559">
        <v>7</v>
      </c>
      <c r="BC559">
        <v>1</v>
      </c>
      <c r="BD559">
        <f>BA559*BB559*1/7</f>
        <v>0.8</v>
      </c>
      <c r="BE559">
        <f>AM559+AU559+BD559</f>
        <v>0.8</v>
      </c>
      <c r="BF559" t="s">
        <v>897</v>
      </c>
      <c r="BG559">
        <v>1</v>
      </c>
      <c r="BH559">
        <v>7</v>
      </c>
      <c r="BI559">
        <v>1</v>
      </c>
      <c r="BJ559" t="s">
        <v>36</v>
      </c>
      <c r="BK559">
        <v>4</v>
      </c>
      <c r="BL559">
        <v>1</v>
      </c>
      <c r="BM559">
        <v>1</v>
      </c>
      <c r="BN559" t="s">
        <v>55</v>
      </c>
      <c r="BO559">
        <v>2</v>
      </c>
      <c r="BP559">
        <v>134</v>
      </c>
      <c r="BQ559">
        <v>0.1</v>
      </c>
      <c r="BR559">
        <v>2</v>
      </c>
      <c r="BS559">
        <v>0.2</v>
      </c>
      <c r="BT559">
        <f>BS559+BD559+AU559+AM559</f>
        <v>1</v>
      </c>
      <c r="BU559">
        <v>1</v>
      </c>
      <c r="BV559">
        <v>2</v>
      </c>
      <c r="BW559">
        <v>293</v>
      </c>
      <c r="BX559">
        <f>BW559/7</f>
        <v>41.857142857142854</v>
      </c>
      <c r="BY559">
        <f>0.77*BX559</f>
        <v>32.229999999999997</v>
      </c>
      <c r="BZ559">
        <f t="shared" si="8"/>
        <v>33.229999999999997</v>
      </c>
    </row>
    <row r="560" spans="1:78">
      <c r="A560" s="1">
        <v>45211.993595624997</v>
      </c>
      <c r="C560">
        <v>559</v>
      </c>
      <c r="D560" s="10">
        <v>32006</v>
      </c>
      <c r="E560">
        <v>36</v>
      </c>
      <c r="F560">
        <v>1</v>
      </c>
      <c r="G560">
        <v>10</v>
      </c>
      <c r="H560">
        <v>5</v>
      </c>
      <c r="I560" s="10">
        <v>43418</v>
      </c>
      <c r="J560">
        <v>1</v>
      </c>
      <c r="K560">
        <v>1</v>
      </c>
      <c r="L560">
        <v>2</v>
      </c>
      <c r="M560">
        <v>3850</v>
      </c>
      <c r="N560">
        <v>2</v>
      </c>
      <c r="O560" s="10">
        <v>43131</v>
      </c>
      <c r="P560">
        <v>0</v>
      </c>
      <c r="Q560">
        <v>41</v>
      </c>
      <c r="R560">
        <v>2</v>
      </c>
      <c r="S560">
        <v>90</v>
      </c>
      <c r="T560">
        <v>164</v>
      </c>
      <c r="U560">
        <v>95</v>
      </c>
      <c r="V560">
        <v>5</v>
      </c>
      <c r="W560">
        <v>1</v>
      </c>
      <c r="X560">
        <v>33.462224866151104</v>
      </c>
      <c r="Y560">
        <v>35.321237358715059</v>
      </c>
      <c r="Z560">
        <v>1.8590124925639557</v>
      </c>
      <c r="AA560">
        <v>4</v>
      </c>
      <c r="AB560">
        <v>4</v>
      </c>
      <c r="AC560" t="s">
        <v>89</v>
      </c>
      <c r="AD560">
        <v>2</v>
      </c>
      <c r="AE560">
        <v>0</v>
      </c>
      <c r="AG560">
        <v>5</v>
      </c>
      <c r="AH560">
        <v>1</v>
      </c>
      <c r="AI560">
        <v>13</v>
      </c>
      <c r="AJ560">
        <v>1</v>
      </c>
      <c r="AK560">
        <v>7</v>
      </c>
      <c r="AL560">
        <v>1</v>
      </c>
      <c r="AM560">
        <f>AJ560*AK560*AL560/7</f>
        <v>1</v>
      </c>
      <c r="AN560" t="s">
        <v>79</v>
      </c>
      <c r="AO560">
        <v>0</v>
      </c>
      <c r="AV560">
        <f>AU560+AM560</f>
        <v>1</v>
      </c>
      <c r="AW560" t="s">
        <v>245</v>
      </c>
      <c r="AX560">
        <v>0</v>
      </c>
      <c r="BE560">
        <f>AM560+AU560+BD560</f>
        <v>1</v>
      </c>
      <c r="BF560" t="s">
        <v>245</v>
      </c>
      <c r="BG560">
        <v>1</v>
      </c>
      <c r="BH560">
        <v>7</v>
      </c>
      <c r="BI560">
        <v>1</v>
      </c>
      <c r="BJ560" t="s">
        <v>36</v>
      </c>
      <c r="BK560">
        <v>4</v>
      </c>
      <c r="BL560">
        <v>3</v>
      </c>
      <c r="BM560">
        <v>1</v>
      </c>
      <c r="BN560" t="s">
        <v>37</v>
      </c>
      <c r="BO560">
        <v>4</v>
      </c>
      <c r="BP560">
        <v>110</v>
      </c>
      <c r="BQ560">
        <v>0.05</v>
      </c>
      <c r="BR560">
        <v>2</v>
      </c>
      <c r="BS560">
        <v>0.1</v>
      </c>
      <c r="BT560">
        <f>BS560+BD560+AU560+AM560</f>
        <v>1.1000000000000001</v>
      </c>
      <c r="BU560">
        <v>1</v>
      </c>
      <c r="BV560">
        <v>0.5</v>
      </c>
      <c r="BW560">
        <v>73.25</v>
      </c>
      <c r="BX560">
        <f>BW560/7</f>
        <v>10.464285714285714</v>
      </c>
      <c r="BY560">
        <f>0.77*BX560</f>
        <v>8.0574999999999992</v>
      </c>
      <c r="BZ560">
        <f t="shared" si="8"/>
        <v>9.1574999999999989</v>
      </c>
    </row>
    <row r="561" spans="1:78">
      <c r="A561" s="1">
        <v>45212.038333518518</v>
      </c>
      <c r="C561">
        <v>560</v>
      </c>
      <c r="D561" s="10">
        <v>32134</v>
      </c>
      <c r="E561">
        <v>35</v>
      </c>
      <c r="F561">
        <v>1</v>
      </c>
      <c r="G561">
        <v>16</v>
      </c>
      <c r="H561">
        <v>4</v>
      </c>
      <c r="I561" s="10">
        <v>43966</v>
      </c>
      <c r="J561">
        <v>3</v>
      </c>
      <c r="K561">
        <v>0</v>
      </c>
      <c r="L561">
        <v>1</v>
      </c>
      <c r="M561">
        <v>3350</v>
      </c>
      <c r="N561">
        <v>2</v>
      </c>
      <c r="O561" s="10">
        <v>43693</v>
      </c>
      <c r="P561">
        <v>0</v>
      </c>
      <c r="Q561">
        <v>39</v>
      </c>
      <c r="R561">
        <v>2</v>
      </c>
      <c r="S561">
        <v>70</v>
      </c>
      <c r="T561">
        <v>160</v>
      </c>
      <c r="U561">
        <v>80</v>
      </c>
      <c r="V561">
        <v>10</v>
      </c>
      <c r="W561">
        <v>2</v>
      </c>
      <c r="X561">
        <v>27.343749999999996</v>
      </c>
      <c r="Y561">
        <v>31.249999999999993</v>
      </c>
      <c r="Z561">
        <v>3.9062499999999964</v>
      </c>
      <c r="AA561">
        <v>3</v>
      </c>
      <c r="AB561">
        <v>4</v>
      </c>
      <c r="AC561" t="s">
        <v>33</v>
      </c>
      <c r="AD561">
        <v>3</v>
      </c>
      <c r="AE561">
        <v>0</v>
      </c>
      <c r="AG561">
        <v>5</v>
      </c>
      <c r="AH561">
        <v>1</v>
      </c>
      <c r="AI561">
        <v>5</v>
      </c>
      <c r="AJ561">
        <v>5</v>
      </c>
      <c r="AK561">
        <v>7</v>
      </c>
      <c r="AL561">
        <v>1</v>
      </c>
      <c r="AM561">
        <f>AJ561*AK561*AL561/7</f>
        <v>5</v>
      </c>
      <c r="AN561" t="s">
        <v>27</v>
      </c>
      <c r="AO561">
        <v>0</v>
      </c>
      <c r="AV561">
        <f>AU561+AM561</f>
        <v>5</v>
      </c>
      <c r="AW561" t="s">
        <v>157</v>
      </c>
      <c r="AX561">
        <v>1</v>
      </c>
      <c r="AY561" t="s">
        <v>157</v>
      </c>
      <c r="AZ561">
        <v>14</v>
      </c>
      <c r="BA561">
        <v>0.5</v>
      </c>
      <c r="BB561">
        <v>7</v>
      </c>
      <c r="BC561">
        <v>1</v>
      </c>
      <c r="BD561">
        <f>BA561*BB561*1/7</f>
        <v>0.5</v>
      </c>
      <c r="BE561">
        <f>AM561+AU561+BD561</f>
        <v>5.5</v>
      </c>
      <c r="BF561" t="s">
        <v>157</v>
      </c>
      <c r="BG561">
        <v>0</v>
      </c>
      <c r="BH561">
        <v>7</v>
      </c>
      <c r="BI561">
        <v>1</v>
      </c>
      <c r="BJ561" t="s">
        <v>49</v>
      </c>
      <c r="BK561">
        <v>5</v>
      </c>
      <c r="BL561">
        <v>1</v>
      </c>
      <c r="BM561">
        <v>1</v>
      </c>
      <c r="BN561" t="s">
        <v>55</v>
      </c>
      <c r="BO561">
        <v>2</v>
      </c>
      <c r="BP561">
        <v>201</v>
      </c>
      <c r="BQ561">
        <v>0.1</v>
      </c>
      <c r="BR561">
        <v>3</v>
      </c>
      <c r="BS561">
        <v>0.30000000000000004</v>
      </c>
      <c r="BT561">
        <f>BS561+BD561+AU561+AM561</f>
        <v>5.8</v>
      </c>
      <c r="BU561">
        <v>1</v>
      </c>
      <c r="BV561">
        <v>1</v>
      </c>
      <c r="BW561">
        <v>146.5</v>
      </c>
      <c r="BX561">
        <f>BW561/7</f>
        <v>20.928571428571427</v>
      </c>
      <c r="BY561">
        <f>0.77*BX561</f>
        <v>16.114999999999998</v>
      </c>
      <c r="BZ561">
        <f t="shared" si="8"/>
        <v>21.914999999999999</v>
      </c>
    </row>
    <row r="562" spans="1:78">
      <c r="A562" s="1">
        <v>45212.040906724535</v>
      </c>
      <c r="C562">
        <v>561</v>
      </c>
      <c r="D562" s="10">
        <v>34492</v>
      </c>
      <c r="E562">
        <v>29</v>
      </c>
      <c r="F562">
        <v>1</v>
      </c>
      <c r="G562">
        <v>2</v>
      </c>
      <c r="H562">
        <v>4</v>
      </c>
      <c r="I562" s="10">
        <v>44716</v>
      </c>
      <c r="J562">
        <v>1</v>
      </c>
      <c r="K562">
        <v>1</v>
      </c>
      <c r="L562">
        <v>1</v>
      </c>
      <c r="M562">
        <v>3249</v>
      </c>
      <c r="N562">
        <v>2</v>
      </c>
      <c r="O562" s="10">
        <v>44450</v>
      </c>
      <c r="P562">
        <v>1</v>
      </c>
      <c r="Q562">
        <v>38</v>
      </c>
      <c r="R562">
        <v>2</v>
      </c>
      <c r="S562">
        <v>59</v>
      </c>
      <c r="T562">
        <v>150</v>
      </c>
      <c r="U562">
        <v>68</v>
      </c>
      <c r="V562">
        <v>9</v>
      </c>
      <c r="W562">
        <v>2</v>
      </c>
      <c r="X562">
        <v>26.222222222222221</v>
      </c>
      <c r="Y562">
        <v>30.222222222222221</v>
      </c>
      <c r="Z562">
        <v>4</v>
      </c>
      <c r="AA562">
        <v>3</v>
      </c>
      <c r="AB562">
        <v>4</v>
      </c>
      <c r="AC562" t="s">
        <v>33</v>
      </c>
      <c r="AD562">
        <v>3</v>
      </c>
      <c r="AE562">
        <v>0</v>
      </c>
      <c r="AG562">
        <v>5</v>
      </c>
      <c r="AH562">
        <v>1</v>
      </c>
      <c r="AI562">
        <v>13</v>
      </c>
      <c r="AJ562">
        <v>1</v>
      </c>
      <c r="AK562">
        <v>7</v>
      </c>
      <c r="AL562">
        <v>1</v>
      </c>
      <c r="AM562">
        <f>AJ562*AK562*AL562/7</f>
        <v>1</v>
      </c>
      <c r="AN562" t="s">
        <v>79</v>
      </c>
      <c r="AO562">
        <v>0</v>
      </c>
      <c r="AV562">
        <f>AU562+AM562</f>
        <v>1</v>
      </c>
      <c r="AW562" t="s">
        <v>398</v>
      </c>
      <c r="AX562">
        <v>1</v>
      </c>
      <c r="AY562" t="s">
        <v>221</v>
      </c>
      <c r="AZ562">
        <v>4</v>
      </c>
      <c r="BA562">
        <v>0.2</v>
      </c>
      <c r="BB562">
        <v>7</v>
      </c>
      <c r="BC562">
        <v>1</v>
      </c>
      <c r="BD562">
        <f>BA562*BB562*1/7</f>
        <v>0.2</v>
      </c>
      <c r="BE562">
        <f>AM562+AU562+BD562</f>
        <v>1.2</v>
      </c>
      <c r="BF562" t="s">
        <v>398</v>
      </c>
      <c r="BG562">
        <v>1</v>
      </c>
      <c r="BH562">
        <v>7</v>
      </c>
      <c r="BI562">
        <v>1</v>
      </c>
      <c r="BJ562" t="s">
        <v>49</v>
      </c>
      <c r="BK562">
        <v>5</v>
      </c>
      <c r="BL562">
        <v>1</v>
      </c>
      <c r="BM562">
        <v>1</v>
      </c>
      <c r="BN562" t="s">
        <v>55</v>
      </c>
      <c r="BO562">
        <v>2</v>
      </c>
      <c r="BP562">
        <v>33.5</v>
      </c>
      <c r="BQ562">
        <v>0.1</v>
      </c>
      <c r="BR562">
        <v>0.5</v>
      </c>
      <c r="BS562">
        <v>0.05</v>
      </c>
      <c r="BT562">
        <f>BS562+BD562+AU562+AM562</f>
        <v>1.25</v>
      </c>
      <c r="BU562">
        <v>1</v>
      </c>
      <c r="BV562">
        <v>2</v>
      </c>
      <c r="BW562">
        <v>293</v>
      </c>
      <c r="BX562">
        <f>BW562/7</f>
        <v>41.857142857142854</v>
      </c>
      <c r="BY562">
        <f>0.77*BX562</f>
        <v>32.229999999999997</v>
      </c>
      <c r="BZ562">
        <f t="shared" si="8"/>
        <v>33.479999999999997</v>
      </c>
    </row>
    <row r="563" spans="1:78">
      <c r="A563" s="1">
        <v>45212.061918263891</v>
      </c>
      <c r="C563">
        <v>562</v>
      </c>
      <c r="D563" s="10">
        <v>32786</v>
      </c>
      <c r="E563">
        <v>34</v>
      </c>
      <c r="F563">
        <v>1</v>
      </c>
      <c r="G563">
        <v>15</v>
      </c>
      <c r="H563">
        <v>4</v>
      </c>
      <c r="I563" s="10">
        <v>44810</v>
      </c>
      <c r="J563">
        <v>1</v>
      </c>
      <c r="K563">
        <v>1</v>
      </c>
      <c r="L563">
        <v>1</v>
      </c>
      <c r="M563">
        <v>4910</v>
      </c>
      <c r="N563">
        <v>3</v>
      </c>
      <c r="O563" s="10">
        <v>44525</v>
      </c>
      <c r="P563">
        <v>0</v>
      </c>
      <c r="Q563">
        <v>40.714285714285715</v>
      </c>
      <c r="R563">
        <v>2</v>
      </c>
      <c r="S563">
        <v>74</v>
      </c>
      <c r="T563">
        <v>174</v>
      </c>
      <c r="U563">
        <v>91</v>
      </c>
      <c r="V563">
        <v>17</v>
      </c>
      <c r="W563">
        <v>3</v>
      </c>
      <c r="X563">
        <v>24.441802087462015</v>
      </c>
      <c r="Y563">
        <v>30.056810675122207</v>
      </c>
      <c r="Z563">
        <v>5.6150085876601921</v>
      </c>
      <c r="AA563">
        <v>2</v>
      </c>
      <c r="AB563">
        <v>4</v>
      </c>
      <c r="AC563" t="s">
        <v>33</v>
      </c>
      <c r="AD563">
        <v>3</v>
      </c>
      <c r="AE563">
        <v>0</v>
      </c>
      <c r="AG563">
        <v>5</v>
      </c>
      <c r="AH563">
        <v>1</v>
      </c>
      <c r="AI563">
        <v>13</v>
      </c>
      <c r="AJ563">
        <v>1</v>
      </c>
      <c r="AK563">
        <v>7</v>
      </c>
      <c r="AL563">
        <v>1</v>
      </c>
      <c r="AM563">
        <f>AJ563*AK563*AL563/7</f>
        <v>1</v>
      </c>
      <c r="AN563" t="s">
        <v>79</v>
      </c>
      <c r="AO563">
        <v>0</v>
      </c>
      <c r="AV563">
        <f>AU563+AM563</f>
        <v>1</v>
      </c>
      <c r="AX563">
        <v>0</v>
      </c>
      <c r="BE563">
        <f>AM563+AU563+BD563</f>
        <v>1</v>
      </c>
      <c r="BG563">
        <v>0</v>
      </c>
      <c r="BJ563" t="s">
        <v>49</v>
      </c>
      <c r="BK563">
        <v>5</v>
      </c>
      <c r="BL563">
        <v>3</v>
      </c>
      <c r="BM563">
        <v>1</v>
      </c>
      <c r="BN563" t="s">
        <v>55</v>
      </c>
      <c r="BO563">
        <v>2</v>
      </c>
      <c r="BP563">
        <v>134</v>
      </c>
      <c r="BQ563">
        <v>0.1</v>
      </c>
      <c r="BR563">
        <v>2</v>
      </c>
      <c r="BS563">
        <v>0.2</v>
      </c>
      <c r="BT563">
        <f>BS563+BD563+AU563+AM563</f>
        <v>1.2</v>
      </c>
      <c r="BU563">
        <v>1</v>
      </c>
      <c r="BV563">
        <v>3</v>
      </c>
      <c r="BW563">
        <v>439.5</v>
      </c>
      <c r="BX563">
        <f>BW563/7</f>
        <v>62.785714285714285</v>
      </c>
      <c r="BY563">
        <f>0.77*BX563</f>
        <v>48.344999999999999</v>
      </c>
      <c r="BZ563">
        <f t="shared" si="8"/>
        <v>49.545000000000002</v>
      </c>
    </row>
    <row r="564" spans="1:78">
      <c r="A564" s="1">
        <v>45212.269985740742</v>
      </c>
      <c r="C564">
        <v>563</v>
      </c>
      <c r="D564" s="10">
        <v>31315</v>
      </c>
      <c r="E564">
        <v>38</v>
      </c>
      <c r="F564">
        <v>1</v>
      </c>
      <c r="G564">
        <v>10</v>
      </c>
      <c r="H564">
        <v>4</v>
      </c>
      <c r="I564" s="10">
        <v>43400</v>
      </c>
      <c r="J564">
        <v>3</v>
      </c>
      <c r="K564">
        <v>0</v>
      </c>
      <c r="L564">
        <v>1</v>
      </c>
      <c r="M564">
        <v>3350</v>
      </c>
      <c r="N564">
        <v>2</v>
      </c>
      <c r="O564" s="10">
        <v>43141</v>
      </c>
      <c r="P564">
        <v>0</v>
      </c>
      <c r="Q564">
        <v>37</v>
      </c>
      <c r="R564">
        <v>2</v>
      </c>
      <c r="S564">
        <v>74</v>
      </c>
      <c r="T564">
        <v>163</v>
      </c>
      <c r="U564">
        <v>95</v>
      </c>
      <c r="V564">
        <v>21</v>
      </c>
      <c r="W564">
        <v>3</v>
      </c>
      <c r="X564">
        <v>27.852007979223909</v>
      </c>
      <c r="Y564">
        <v>35.755956189544207</v>
      </c>
      <c r="Z564">
        <v>7.9039482103202978</v>
      </c>
      <c r="AA564">
        <v>3</v>
      </c>
      <c r="AB564">
        <v>4</v>
      </c>
      <c r="AC564" t="s">
        <v>44</v>
      </c>
      <c r="AD564">
        <v>1</v>
      </c>
      <c r="AE564">
        <v>0</v>
      </c>
      <c r="AG564">
        <v>5</v>
      </c>
      <c r="AH564">
        <v>1</v>
      </c>
      <c r="AI564">
        <v>5</v>
      </c>
      <c r="AJ564">
        <v>5</v>
      </c>
      <c r="AK564">
        <v>3</v>
      </c>
      <c r="AL564">
        <v>1</v>
      </c>
      <c r="AM564">
        <f>AJ564*AK564*AL564/7</f>
        <v>2.1428571428571428</v>
      </c>
      <c r="AN564" t="s">
        <v>27</v>
      </c>
      <c r="AO564">
        <v>0</v>
      </c>
      <c r="AV564">
        <f>AU564+AM564</f>
        <v>2.1428571428571428</v>
      </c>
      <c r="AX564">
        <v>0</v>
      </c>
      <c r="BE564">
        <f>AM564+AU564+BD564</f>
        <v>2.1428571428571428</v>
      </c>
      <c r="BG564">
        <v>0</v>
      </c>
      <c r="BJ564" t="s">
        <v>49</v>
      </c>
      <c r="BK564">
        <v>5</v>
      </c>
      <c r="BL564">
        <v>1</v>
      </c>
      <c r="BM564">
        <v>1</v>
      </c>
      <c r="BN564" t="s">
        <v>55</v>
      </c>
      <c r="BO564">
        <v>2</v>
      </c>
      <c r="BP564">
        <v>201</v>
      </c>
      <c r="BQ564">
        <v>0.1</v>
      </c>
      <c r="BR564">
        <v>3</v>
      </c>
      <c r="BS564">
        <v>0.30000000000000004</v>
      </c>
      <c r="BT564">
        <f>BS564+BD564+AU564+AM564</f>
        <v>2.4428571428571431</v>
      </c>
      <c r="BU564">
        <v>1</v>
      </c>
      <c r="BV564">
        <v>4</v>
      </c>
      <c r="BW564">
        <v>586</v>
      </c>
      <c r="BX564">
        <f>BW564/7</f>
        <v>83.714285714285708</v>
      </c>
      <c r="BY564">
        <f>0.77*BX564</f>
        <v>64.459999999999994</v>
      </c>
      <c r="BZ564">
        <f t="shared" si="8"/>
        <v>66.90285714285713</v>
      </c>
    </row>
    <row r="565" spans="1:78">
      <c r="A565" s="1">
        <v>45212.310260509257</v>
      </c>
      <c r="C565">
        <v>564</v>
      </c>
      <c r="D565" s="10">
        <v>34056</v>
      </c>
      <c r="E565">
        <v>30</v>
      </c>
      <c r="F565">
        <v>1</v>
      </c>
      <c r="G565">
        <v>8</v>
      </c>
      <c r="H565">
        <v>2</v>
      </c>
      <c r="I565" s="10">
        <v>44202</v>
      </c>
      <c r="J565">
        <v>3</v>
      </c>
      <c r="K565">
        <v>0</v>
      </c>
      <c r="L565">
        <v>2</v>
      </c>
      <c r="M565">
        <v>2970</v>
      </c>
      <c r="N565">
        <v>2</v>
      </c>
      <c r="O565" s="10">
        <v>43929</v>
      </c>
      <c r="P565">
        <v>1</v>
      </c>
      <c r="Q565">
        <v>39</v>
      </c>
      <c r="R565">
        <v>2</v>
      </c>
      <c r="S565">
        <v>95</v>
      </c>
      <c r="T565">
        <v>160</v>
      </c>
      <c r="U565">
        <v>105</v>
      </c>
      <c r="V565">
        <v>10</v>
      </c>
      <c r="W565">
        <v>2</v>
      </c>
      <c r="X565">
        <v>37.109374999999993</v>
      </c>
      <c r="Y565">
        <v>41.015624999999993</v>
      </c>
      <c r="Z565">
        <v>3.90625</v>
      </c>
      <c r="AA565">
        <v>4</v>
      </c>
      <c r="AB565">
        <v>4</v>
      </c>
      <c r="AC565" t="s">
        <v>33</v>
      </c>
      <c r="AD565">
        <v>3</v>
      </c>
      <c r="AE565">
        <v>0</v>
      </c>
      <c r="AG565">
        <v>5</v>
      </c>
      <c r="AH565">
        <v>1</v>
      </c>
      <c r="AI565">
        <v>10</v>
      </c>
      <c r="AJ565">
        <v>1</v>
      </c>
      <c r="AK565">
        <v>7</v>
      </c>
      <c r="AL565">
        <v>1</v>
      </c>
      <c r="AM565">
        <f>AJ565*AK565*AL565/7</f>
        <v>1</v>
      </c>
      <c r="AN565" t="s">
        <v>166</v>
      </c>
      <c r="AO565">
        <v>0</v>
      </c>
      <c r="AV565">
        <f>AU565+AM565</f>
        <v>1</v>
      </c>
      <c r="AX565">
        <v>0</v>
      </c>
      <c r="BE565">
        <f>AM565+AU565+BD565</f>
        <v>1</v>
      </c>
      <c r="BG565">
        <v>0</v>
      </c>
      <c r="BJ565" t="s">
        <v>49</v>
      </c>
      <c r="BK565">
        <v>5</v>
      </c>
      <c r="BL565">
        <v>1</v>
      </c>
      <c r="BM565">
        <v>1</v>
      </c>
      <c r="BN565" t="s">
        <v>30</v>
      </c>
      <c r="BO565">
        <v>1</v>
      </c>
      <c r="BP565">
        <v>168</v>
      </c>
      <c r="BQ565">
        <v>0.13</v>
      </c>
      <c r="BR565">
        <v>2</v>
      </c>
      <c r="BS565">
        <v>0.26</v>
      </c>
      <c r="BT565">
        <f>BS565+BD565+AU565+AM565</f>
        <v>1.26</v>
      </c>
      <c r="BU565">
        <v>1</v>
      </c>
      <c r="BV565">
        <v>3</v>
      </c>
      <c r="BW565">
        <v>439.5</v>
      </c>
      <c r="BX565">
        <f>BW565/7</f>
        <v>62.785714285714285</v>
      </c>
      <c r="BY565">
        <f>0.77*BX565</f>
        <v>48.344999999999999</v>
      </c>
      <c r="BZ565">
        <f t="shared" si="8"/>
        <v>49.604999999999997</v>
      </c>
    </row>
    <row r="566" spans="1:78">
      <c r="A566" s="1">
        <v>45212.312935833332</v>
      </c>
      <c r="C566">
        <v>565</v>
      </c>
      <c r="D566" s="10">
        <v>32696</v>
      </c>
      <c r="E566">
        <v>34</v>
      </c>
      <c r="F566">
        <v>1</v>
      </c>
      <c r="G566">
        <v>9</v>
      </c>
      <c r="H566">
        <v>4</v>
      </c>
      <c r="I566" s="10">
        <v>44790</v>
      </c>
      <c r="J566">
        <v>1</v>
      </c>
      <c r="K566">
        <v>1</v>
      </c>
      <c r="L566">
        <v>2</v>
      </c>
      <c r="M566">
        <v>3300</v>
      </c>
      <c r="N566">
        <v>2</v>
      </c>
      <c r="O566" s="10">
        <v>44510</v>
      </c>
      <c r="P566">
        <v>0</v>
      </c>
      <c r="Q566">
        <v>40</v>
      </c>
      <c r="R566">
        <v>2</v>
      </c>
      <c r="S566">
        <v>75</v>
      </c>
      <c r="T566">
        <v>161</v>
      </c>
      <c r="U566">
        <v>85</v>
      </c>
      <c r="V566">
        <v>10</v>
      </c>
      <c r="W566">
        <v>2</v>
      </c>
      <c r="X566">
        <v>28.934068901662741</v>
      </c>
      <c r="Y566">
        <v>32.79194475521777</v>
      </c>
      <c r="Z566">
        <v>3.8578758535550293</v>
      </c>
      <c r="AA566">
        <v>3</v>
      </c>
      <c r="AB566">
        <v>4</v>
      </c>
      <c r="AC566" t="s">
        <v>33</v>
      </c>
      <c r="AD566">
        <v>3</v>
      </c>
      <c r="AE566">
        <v>0</v>
      </c>
      <c r="AG566">
        <v>5</v>
      </c>
      <c r="AH566">
        <v>1</v>
      </c>
      <c r="AI566">
        <v>4</v>
      </c>
      <c r="AJ566">
        <v>1</v>
      </c>
      <c r="AK566">
        <v>7</v>
      </c>
      <c r="AL566">
        <v>1</v>
      </c>
      <c r="AM566">
        <f>AJ566*AK566*AL566/7</f>
        <v>1</v>
      </c>
      <c r="AN566" t="s">
        <v>43</v>
      </c>
      <c r="AO566">
        <v>0</v>
      </c>
      <c r="AV566">
        <f>AU566+AM566</f>
        <v>1</v>
      </c>
      <c r="AW566" t="s">
        <v>399</v>
      </c>
      <c r="AX566">
        <v>1</v>
      </c>
      <c r="AY566" t="s">
        <v>71</v>
      </c>
      <c r="AZ566">
        <v>5</v>
      </c>
      <c r="BA566">
        <v>0.4</v>
      </c>
      <c r="BB566">
        <v>7</v>
      </c>
      <c r="BC566">
        <v>2</v>
      </c>
      <c r="BD566">
        <f>BA566*BB566*BC566/7</f>
        <v>0.8</v>
      </c>
      <c r="BE566">
        <f>AM566+AU566+BD566</f>
        <v>1.8</v>
      </c>
      <c r="BF566" t="s">
        <v>399</v>
      </c>
      <c r="BG566">
        <v>1</v>
      </c>
      <c r="BH566">
        <v>7</v>
      </c>
      <c r="BI566">
        <v>2</v>
      </c>
      <c r="BJ566" t="s">
        <v>49</v>
      </c>
      <c r="BK566">
        <v>5</v>
      </c>
      <c r="BL566">
        <v>3</v>
      </c>
      <c r="BM566">
        <v>1</v>
      </c>
      <c r="BN566" t="s">
        <v>30</v>
      </c>
      <c r="BO566">
        <v>1</v>
      </c>
      <c r="BP566">
        <v>168</v>
      </c>
      <c r="BQ566">
        <v>0.13</v>
      </c>
      <c r="BR566">
        <v>2</v>
      </c>
      <c r="BS566">
        <v>0.26</v>
      </c>
      <c r="BT566">
        <f>BS566+BD566+AU566+AM566</f>
        <v>2.06</v>
      </c>
      <c r="BU566">
        <v>1</v>
      </c>
      <c r="BV566">
        <v>2</v>
      </c>
      <c r="BW566">
        <v>293</v>
      </c>
      <c r="BX566">
        <f>BW566/7</f>
        <v>41.857142857142854</v>
      </c>
      <c r="BY566">
        <f>0.77*BX566</f>
        <v>32.229999999999997</v>
      </c>
      <c r="BZ566">
        <f t="shared" si="8"/>
        <v>34.29</v>
      </c>
    </row>
    <row r="567" spans="1:78">
      <c r="A567" s="1">
        <v>45212.31570673611</v>
      </c>
      <c r="C567">
        <v>566</v>
      </c>
      <c r="D567" s="10">
        <v>34411</v>
      </c>
      <c r="E567">
        <v>29</v>
      </c>
      <c r="F567">
        <v>1</v>
      </c>
      <c r="G567">
        <v>4</v>
      </c>
      <c r="H567">
        <v>2</v>
      </c>
      <c r="I567" s="10">
        <v>44918</v>
      </c>
      <c r="J567">
        <v>2</v>
      </c>
      <c r="K567">
        <v>0</v>
      </c>
      <c r="L567">
        <v>2</v>
      </c>
      <c r="M567">
        <v>3325</v>
      </c>
      <c r="N567">
        <v>2</v>
      </c>
      <c r="O567" s="10">
        <v>44652</v>
      </c>
      <c r="P567">
        <v>0</v>
      </c>
      <c r="Q567">
        <v>38</v>
      </c>
      <c r="R567">
        <v>2</v>
      </c>
      <c r="S567">
        <v>75</v>
      </c>
      <c r="T567">
        <v>160</v>
      </c>
      <c r="U567">
        <v>85</v>
      </c>
      <c r="V567">
        <v>10</v>
      </c>
      <c r="W567">
        <v>2</v>
      </c>
      <c r="X567">
        <v>29.296874999999993</v>
      </c>
      <c r="Y567">
        <v>33.203124999999993</v>
      </c>
      <c r="Z567">
        <v>3.90625</v>
      </c>
      <c r="AA567">
        <v>3</v>
      </c>
      <c r="AB567">
        <v>4</v>
      </c>
      <c r="AC567" t="s">
        <v>33</v>
      </c>
      <c r="AD567">
        <v>3</v>
      </c>
      <c r="AE567">
        <v>0</v>
      </c>
      <c r="AG567">
        <v>5</v>
      </c>
      <c r="AH567">
        <v>1</v>
      </c>
      <c r="AI567">
        <v>13</v>
      </c>
      <c r="AJ567">
        <v>1</v>
      </c>
      <c r="AK567">
        <v>7</v>
      </c>
      <c r="AL567">
        <v>1</v>
      </c>
      <c r="AM567">
        <f>AJ567*AK567*AL567/7</f>
        <v>1</v>
      </c>
      <c r="AN567" t="s">
        <v>79</v>
      </c>
      <c r="AO567">
        <v>0</v>
      </c>
      <c r="AV567">
        <f>AU567+AM567</f>
        <v>1</v>
      </c>
      <c r="AX567">
        <v>0</v>
      </c>
      <c r="BE567">
        <f>AM567+AU567+BD567</f>
        <v>1</v>
      </c>
      <c r="BG567">
        <v>0</v>
      </c>
      <c r="BJ567" t="s">
        <v>36</v>
      </c>
      <c r="BK567">
        <v>4</v>
      </c>
      <c r="BL567">
        <v>1</v>
      </c>
      <c r="BM567">
        <v>1</v>
      </c>
      <c r="BN567" t="s">
        <v>30</v>
      </c>
      <c r="BO567">
        <v>1</v>
      </c>
      <c r="BP567">
        <v>84</v>
      </c>
      <c r="BQ567">
        <v>0.13</v>
      </c>
      <c r="BR567">
        <v>1</v>
      </c>
      <c r="BS567">
        <v>0.13</v>
      </c>
      <c r="BT567">
        <f>BS567+BD567+AU567+AM567</f>
        <v>1.1299999999999999</v>
      </c>
      <c r="BU567">
        <v>1</v>
      </c>
      <c r="BV567">
        <v>0.5</v>
      </c>
      <c r="BW567">
        <v>73.25</v>
      </c>
      <c r="BX567">
        <f>BW567/7</f>
        <v>10.464285714285714</v>
      </c>
      <c r="BY567">
        <f>0.77*BX567</f>
        <v>8.0574999999999992</v>
      </c>
      <c r="BZ567">
        <f t="shared" si="8"/>
        <v>9.1875</v>
      </c>
    </row>
    <row r="568" spans="1:78">
      <c r="A568" s="1">
        <v>45212.32234712963</v>
      </c>
      <c r="C568">
        <v>567</v>
      </c>
      <c r="D568" s="10">
        <v>31103</v>
      </c>
      <c r="E568">
        <v>38</v>
      </c>
      <c r="F568">
        <v>1</v>
      </c>
      <c r="G568">
        <v>10</v>
      </c>
      <c r="H568">
        <v>5</v>
      </c>
      <c r="I568" s="10">
        <v>43658</v>
      </c>
      <c r="J568">
        <v>2</v>
      </c>
      <c r="K568">
        <v>0</v>
      </c>
      <c r="L568">
        <v>2</v>
      </c>
      <c r="M568">
        <v>2775</v>
      </c>
      <c r="N568">
        <v>2</v>
      </c>
      <c r="O568" s="10">
        <v>43385</v>
      </c>
      <c r="P568">
        <v>0</v>
      </c>
      <c r="Q568">
        <v>39</v>
      </c>
      <c r="R568">
        <v>2</v>
      </c>
      <c r="S568">
        <v>53</v>
      </c>
      <c r="T568">
        <v>162</v>
      </c>
      <c r="U568">
        <v>73</v>
      </c>
      <c r="V568">
        <v>20</v>
      </c>
      <c r="W568">
        <v>3</v>
      </c>
      <c r="X568">
        <v>20.195092211553114</v>
      </c>
      <c r="Y568">
        <v>27.815881725346742</v>
      </c>
      <c r="Z568">
        <v>7.6207895137936283</v>
      </c>
      <c r="AA568">
        <v>2</v>
      </c>
      <c r="AB568">
        <v>3</v>
      </c>
      <c r="AC568" t="s">
        <v>33</v>
      </c>
      <c r="AD568">
        <v>3</v>
      </c>
      <c r="AE568">
        <v>0</v>
      </c>
      <c r="AG568">
        <v>5</v>
      </c>
      <c r="AH568">
        <v>1</v>
      </c>
      <c r="AI568">
        <v>13</v>
      </c>
      <c r="AJ568">
        <v>1</v>
      </c>
      <c r="AK568">
        <v>7</v>
      </c>
      <c r="AL568">
        <v>1</v>
      </c>
      <c r="AM568">
        <f>AJ568*AK568*AL568/7</f>
        <v>1</v>
      </c>
      <c r="AN568" t="s">
        <v>79</v>
      </c>
      <c r="AO568">
        <v>0</v>
      </c>
      <c r="AV568">
        <f>AU568+AM568</f>
        <v>1</v>
      </c>
      <c r="AW568" t="s">
        <v>400</v>
      </c>
      <c r="AX568">
        <v>1</v>
      </c>
      <c r="AY568" t="s">
        <v>400</v>
      </c>
      <c r="AZ568">
        <v>4</v>
      </c>
      <c r="BA568">
        <v>0.2</v>
      </c>
      <c r="BB568">
        <v>7</v>
      </c>
      <c r="BC568">
        <v>1</v>
      </c>
      <c r="BD568">
        <f>BA568*BB568*1/7</f>
        <v>0.2</v>
      </c>
      <c r="BE568">
        <f>AM568+AU568+BD568</f>
        <v>1.2</v>
      </c>
      <c r="BF568" t="s">
        <v>400</v>
      </c>
      <c r="BG568">
        <v>0</v>
      </c>
      <c r="BH568">
        <v>7</v>
      </c>
      <c r="BI568">
        <v>1</v>
      </c>
      <c r="BJ568" t="s">
        <v>49</v>
      </c>
      <c r="BK568">
        <v>5</v>
      </c>
      <c r="BL568">
        <v>1</v>
      </c>
      <c r="BM568">
        <v>1</v>
      </c>
      <c r="BN568" t="s">
        <v>30</v>
      </c>
      <c r="BO568">
        <v>1</v>
      </c>
      <c r="BP568">
        <v>84</v>
      </c>
      <c r="BQ568">
        <v>0.13</v>
      </c>
      <c r="BR568">
        <v>1</v>
      </c>
      <c r="BS568">
        <v>0.13</v>
      </c>
      <c r="BT568">
        <f>BS568+BD568+AU568+AM568</f>
        <v>1.33</v>
      </c>
      <c r="BU568">
        <v>1</v>
      </c>
      <c r="BV568">
        <v>1</v>
      </c>
      <c r="BW568">
        <v>146.5</v>
      </c>
      <c r="BX568">
        <f>BW568/7</f>
        <v>20.928571428571427</v>
      </c>
      <c r="BY568">
        <f>0.77*BX568</f>
        <v>16.114999999999998</v>
      </c>
      <c r="BZ568">
        <f t="shared" si="8"/>
        <v>17.445</v>
      </c>
    </row>
    <row r="569" spans="1:78">
      <c r="A569" s="1">
        <v>45212.388354745373</v>
      </c>
      <c r="C569">
        <v>568</v>
      </c>
      <c r="D569" s="10">
        <v>32730</v>
      </c>
      <c r="E569">
        <v>34</v>
      </c>
      <c r="F569">
        <v>1</v>
      </c>
      <c r="G569">
        <v>9</v>
      </c>
      <c r="H569">
        <v>4</v>
      </c>
      <c r="I569" s="10">
        <v>44043</v>
      </c>
      <c r="J569">
        <v>1</v>
      </c>
      <c r="K569">
        <v>1</v>
      </c>
      <c r="L569">
        <v>2</v>
      </c>
      <c r="M569">
        <v>3750</v>
      </c>
      <c r="N569">
        <v>2</v>
      </c>
      <c r="O569" s="10">
        <v>43770</v>
      </c>
      <c r="P569">
        <v>0</v>
      </c>
      <c r="Q569">
        <v>39</v>
      </c>
      <c r="R569">
        <v>2</v>
      </c>
      <c r="S569">
        <v>92</v>
      </c>
      <c r="T569">
        <v>161</v>
      </c>
      <c r="U569">
        <v>110</v>
      </c>
      <c r="V569">
        <v>18</v>
      </c>
      <c r="W569">
        <v>3</v>
      </c>
      <c r="X569">
        <v>35.492457852706295</v>
      </c>
      <c r="Y569">
        <v>42.43663438910535</v>
      </c>
      <c r="Z569">
        <v>6.9441765363990555</v>
      </c>
      <c r="AA569">
        <v>4</v>
      </c>
      <c r="AB569">
        <v>4</v>
      </c>
      <c r="AC569" t="s">
        <v>33</v>
      </c>
      <c r="AD569">
        <v>3</v>
      </c>
      <c r="AE569">
        <v>0</v>
      </c>
      <c r="AG569">
        <v>5</v>
      </c>
      <c r="AH569">
        <v>1</v>
      </c>
      <c r="AI569">
        <v>1</v>
      </c>
      <c r="AJ569">
        <v>1</v>
      </c>
      <c r="AK569">
        <v>7</v>
      </c>
      <c r="AL569">
        <v>1</v>
      </c>
      <c r="AM569">
        <f>AJ569*AK569*AL569/7</f>
        <v>1</v>
      </c>
      <c r="AN569" t="s">
        <v>56</v>
      </c>
      <c r="AO569">
        <v>0</v>
      </c>
      <c r="AV569">
        <f>AU569+AM569</f>
        <v>1</v>
      </c>
      <c r="AX569">
        <v>0</v>
      </c>
      <c r="BE569">
        <f>AM569+AU569+BD569</f>
        <v>1</v>
      </c>
      <c r="BG569">
        <v>0</v>
      </c>
      <c r="BJ569" t="s">
        <v>42</v>
      </c>
      <c r="BK569">
        <v>6</v>
      </c>
      <c r="BL569">
        <v>1</v>
      </c>
      <c r="BM569">
        <v>1</v>
      </c>
      <c r="BN569" t="s">
        <v>30</v>
      </c>
      <c r="BO569">
        <v>1</v>
      </c>
      <c r="BP569">
        <v>168</v>
      </c>
      <c r="BQ569">
        <v>0.13</v>
      </c>
      <c r="BR569">
        <v>2</v>
      </c>
      <c r="BS569">
        <v>0.26</v>
      </c>
      <c r="BT569">
        <f>BS569+BD569+AU569+AM569</f>
        <v>1.26</v>
      </c>
      <c r="BU569">
        <v>1</v>
      </c>
      <c r="BV569">
        <v>1</v>
      </c>
      <c r="BW569">
        <v>146.5</v>
      </c>
      <c r="BX569">
        <f>BW569/7</f>
        <v>20.928571428571427</v>
      </c>
      <c r="BY569">
        <f>0.77*BX569</f>
        <v>16.114999999999998</v>
      </c>
      <c r="BZ569">
        <f t="shared" si="8"/>
        <v>17.375</v>
      </c>
    </row>
    <row r="570" spans="1:78">
      <c r="A570" s="1">
        <v>45212.432528993057</v>
      </c>
      <c r="B570" s="9" t="s">
        <v>866</v>
      </c>
      <c r="C570">
        <v>569</v>
      </c>
      <c r="D570" s="10">
        <v>31386</v>
      </c>
      <c r="E570">
        <v>37</v>
      </c>
      <c r="F570">
        <v>1</v>
      </c>
      <c r="G570">
        <v>10</v>
      </c>
      <c r="H570">
        <v>4</v>
      </c>
      <c r="I570" s="10">
        <v>43318</v>
      </c>
      <c r="J570">
        <v>1</v>
      </c>
      <c r="K570">
        <v>1</v>
      </c>
      <c r="L570">
        <v>1</v>
      </c>
      <c r="M570">
        <v>3200</v>
      </c>
      <c r="N570">
        <v>2</v>
      </c>
      <c r="O570" s="10">
        <v>43049</v>
      </c>
      <c r="P570">
        <v>0</v>
      </c>
      <c r="Q570">
        <v>38.428571428571431</v>
      </c>
      <c r="R570">
        <v>2</v>
      </c>
      <c r="S570">
        <v>51</v>
      </c>
      <c r="T570">
        <v>154</v>
      </c>
      <c r="U570">
        <v>58</v>
      </c>
      <c r="V570">
        <v>7</v>
      </c>
      <c r="W570">
        <v>1</v>
      </c>
      <c r="X570">
        <v>21.504469556417607</v>
      </c>
      <c r="Y570">
        <v>24.456063417102378</v>
      </c>
      <c r="Z570">
        <v>2.9515938606847705</v>
      </c>
      <c r="AA570">
        <v>2</v>
      </c>
      <c r="AB570">
        <v>2</v>
      </c>
      <c r="AC570" t="s">
        <v>33</v>
      </c>
      <c r="AD570">
        <v>3</v>
      </c>
      <c r="AE570">
        <v>1</v>
      </c>
      <c r="AF570" t="s">
        <v>797</v>
      </c>
      <c r="AG570" t="e">
        <v>#N/A</v>
      </c>
      <c r="AH570">
        <v>1</v>
      </c>
      <c r="AI570" t="s">
        <v>258</v>
      </c>
      <c r="AJ570" t="s">
        <v>258</v>
      </c>
      <c r="AK570">
        <v>3</v>
      </c>
      <c r="AL570">
        <v>1</v>
      </c>
      <c r="AM570" t="s">
        <v>258</v>
      </c>
      <c r="AN570" t="s">
        <v>655</v>
      </c>
      <c r="AO570">
        <v>0</v>
      </c>
      <c r="AX570">
        <v>0</v>
      </c>
      <c r="BE570" t="s">
        <v>258</v>
      </c>
      <c r="BG570">
        <v>0</v>
      </c>
      <c r="BJ570" t="s">
        <v>49</v>
      </c>
      <c r="BK570">
        <v>5</v>
      </c>
      <c r="BL570">
        <v>3</v>
      </c>
      <c r="BM570">
        <v>1</v>
      </c>
      <c r="BN570" t="s">
        <v>55</v>
      </c>
      <c r="BO570">
        <v>2</v>
      </c>
      <c r="BP570">
        <v>134</v>
      </c>
      <c r="BQ570">
        <v>0.1</v>
      </c>
      <c r="BR570">
        <v>2</v>
      </c>
      <c r="BS570">
        <v>0.2</v>
      </c>
      <c r="BT570" t="e">
        <f>BS570+BD570+AU570+AM570</f>
        <v>#VALUE!</v>
      </c>
      <c r="BU570">
        <v>1</v>
      </c>
      <c r="BV570">
        <v>1</v>
      </c>
      <c r="BW570">
        <v>146.5</v>
      </c>
      <c r="BX570">
        <f>BW570/7</f>
        <v>20.928571428571427</v>
      </c>
      <c r="BY570">
        <f>0.77*BX570</f>
        <v>16.114999999999998</v>
      </c>
      <c r="BZ570" t="e">
        <f t="shared" si="8"/>
        <v>#VALUE!</v>
      </c>
    </row>
    <row r="571" spans="1:78">
      <c r="A571" s="1">
        <v>45212.441965428239</v>
      </c>
      <c r="C571">
        <v>570</v>
      </c>
      <c r="D571" s="10">
        <v>30488</v>
      </c>
      <c r="E571">
        <v>40</v>
      </c>
      <c r="F571">
        <v>1</v>
      </c>
      <c r="G571">
        <v>10</v>
      </c>
      <c r="H571">
        <v>4</v>
      </c>
      <c r="I571" s="10">
        <v>44609</v>
      </c>
      <c r="J571">
        <v>3</v>
      </c>
      <c r="K571">
        <v>0</v>
      </c>
      <c r="L571">
        <v>1</v>
      </c>
      <c r="M571">
        <v>3260</v>
      </c>
      <c r="N571">
        <v>2</v>
      </c>
      <c r="O571" s="10">
        <v>44343</v>
      </c>
      <c r="P571">
        <v>1</v>
      </c>
      <c r="Q571">
        <v>38</v>
      </c>
      <c r="R571">
        <v>2</v>
      </c>
      <c r="S571">
        <v>80</v>
      </c>
      <c r="T571">
        <v>165</v>
      </c>
      <c r="U571">
        <v>90</v>
      </c>
      <c r="V571">
        <v>10</v>
      </c>
      <c r="W571">
        <v>2</v>
      </c>
      <c r="X571">
        <v>29.384756657483933</v>
      </c>
      <c r="Y571">
        <v>33.057851239669425</v>
      </c>
      <c r="Z571">
        <v>3.6730945821854917</v>
      </c>
      <c r="AA571">
        <v>3</v>
      </c>
      <c r="AB571">
        <v>4</v>
      </c>
      <c r="AC571" t="s">
        <v>33</v>
      </c>
      <c r="AD571">
        <v>3</v>
      </c>
      <c r="AE571">
        <v>0</v>
      </c>
      <c r="AG571">
        <v>5</v>
      </c>
      <c r="AH571">
        <v>1</v>
      </c>
      <c r="AI571">
        <v>7</v>
      </c>
      <c r="AJ571">
        <v>5</v>
      </c>
      <c r="AK571">
        <v>7</v>
      </c>
      <c r="AL571">
        <v>1</v>
      </c>
      <c r="AM571">
        <f>AJ571*AK571*AL571/7</f>
        <v>5</v>
      </c>
      <c r="AN571" t="s">
        <v>206</v>
      </c>
      <c r="AO571">
        <v>0</v>
      </c>
      <c r="AV571">
        <f>AU571+AM571</f>
        <v>5</v>
      </c>
      <c r="AW571" t="s">
        <v>58</v>
      </c>
      <c r="AX571">
        <v>1</v>
      </c>
      <c r="AY571" t="s">
        <v>58</v>
      </c>
      <c r="AZ571">
        <v>1</v>
      </c>
      <c r="BA571">
        <v>0.8</v>
      </c>
      <c r="BB571">
        <v>5</v>
      </c>
      <c r="BC571">
        <v>1</v>
      </c>
      <c r="BD571">
        <f>BA571*BB571*1/7</f>
        <v>0.5714285714285714</v>
      </c>
      <c r="BE571">
        <f>AM571+AU571+BD571</f>
        <v>5.5714285714285712</v>
      </c>
      <c r="BF571" t="s">
        <v>58</v>
      </c>
      <c r="BG571">
        <v>0</v>
      </c>
      <c r="BH571">
        <v>5</v>
      </c>
      <c r="BI571">
        <v>1</v>
      </c>
      <c r="BJ571" t="s">
        <v>49</v>
      </c>
      <c r="BK571">
        <v>5</v>
      </c>
      <c r="BL571">
        <v>1</v>
      </c>
      <c r="BM571">
        <v>1</v>
      </c>
      <c r="BN571" t="s">
        <v>37</v>
      </c>
      <c r="BO571">
        <v>4</v>
      </c>
      <c r="BP571">
        <v>27.5</v>
      </c>
      <c r="BQ571">
        <v>0.05</v>
      </c>
      <c r="BR571">
        <v>0.5</v>
      </c>
      <c r="BS571">
        <v>2.5000000000000001E-2</v>
      </c>
      <c r="BT571">
        <f>BS571+BD571+AU571+AM571</f>
        <v>5.5964285714285715</v>
      </c>
      <c r="BU571">
        <v>1</v>
      </c>
      <c r="BV571">
        <v>1</v>
      </c>
      <c r="BW571">
        <v>146.5</v>
      </c>
      <c r="BX571">
        <f>BW571/7</f>
        <v>20.928571428571427</v>
      </c>
      <c r="BY571">
        <f>0.77*BX571</f>
        <v>16.114999999999998</v>
      </c>
      <c r="BZ571">
        <f t="shared" si="8"/>
        <v>21.71142857142857</v>
      </c>
    </row>
    <row r="572" spans="1:78">
      <c r="A572" s="1">
        <v>45212.46892269676</v>
      </c>
      <c r="B572" s="9" t="s">
        <v>866</v>
      </c>
      <c r="C572">
        <v>571</v>
      </c>
      <c r="D572" s="10">
        <v>35397</v>
      </c>
      <c r="E572">
        <v>26</v>
      </c>
      <c r="F572">
        <v>1</v>
      </c>
      <c r="G572">
        <v>1</v>
      </c>
      <c r="H572">
        <v>3</v>
      </c>
      <c r="I572" s="10">
        <v>44912</v>
      </c>
      <c r="J572">
        <v>1</v>
      </c>
      <c r="K572">
        <v>1</v>
      </c>
      <c r="L572">
        <v>1</v>
      </c>
      <c r="M572">
        <v>2670</v>
      </c>
      <c r="N572">
        <v>2</v>
      </c>
      <c r="O572" s="10">
        <v>44667</v>
      </c>
      <c r="P572">
        <v>0</v>
      </c>
      <c r="Q572">
        <v>35</v>
      </c>
      <c r="R572">
        <v>3</v>
      </c>
      <c r="S572">
        <v>99</v>
      </c>
      <c r="T572">
        <v>164</v>
      </c>
      <c r="U572">
        <v>89</v>
      </c>
      <c r="V572">
        <v>-10</v>
      </c>
      <c r="W572">
        <v>1</v>
      </c>
      <c r="X572">
        <v>36.808447352766215</v>
      </c>
      <c r="Y572">
        <v>33.090422367638318</v>
      </c>
      <c r="Z572">
        <v>-3.7180249851278973</v>
      </c>
      <c r="AA572">
        <v>4</v>
      </c>
      <c r="AB572">
        <v>4</v>
      </c>
      <c r="AC572" t="s">
        <v>33</v>
      </c>
      <c r="AD572">
        <v>3</v>
      </c>
      <c r="AE572">
        <v>0</v>
      </c>
      <c r="AG572">
        <v>5</v>
      </c>
      <c r="AH572">
        <v>1</v>
      </c>
      <c r="AI572" t="s">
        <v>258</v>
      </c>
      <c r="AJ572" t="s">
        <v>258</v>
      </c>
      <c r="AK572">
        <v>7</v>
      </c>
      <c r="AL572">
        <v>1</v>
      </c>
      <c r="AM572" t="s">
        <v>258</v>
      </c>
      <c r="AN572" t="s">
        <v>632</v>
      </c>
      <c r="AO572">
        <v>0</v>
      </c>
      <c r="AX572">
        <v>0</v>
      </c>
      <c r="BE572" t="s">
        <v>258</v>
      </c>
      <c r="BG572">
        <v>0</v>
      </c>
      <c r="BJ572" t="s">
        <v>49</v>
      </c>
      <c r="BK572">
        <v>5</v>
      </c>
      <c r="BL572">
        <v>1</v>
      </c>
      <c r="BM572">
        <v>1</v>
      </c>
      <c r="BN572" t="s">
        <v>30</v>
      </c>
      <c r="BO572">
        <v>1</v>
      </c>
      <c r="BP572">
        <v>42</v>
      </c>
      <c r="BQ572">
        <v>0.13</v>
      </c>
      <c r="BR572">
        <v>0.5</v>
      </c>
      <c r="BS572">
        <v>6.5000000000000002E-2</v>
      </c>
      <c r="BT572" t="e">
        <f>BS572+BD572+AU572+AM572</f>
        <v>#VALUE!</v>
      </c>
      <c r="BU572">
        <v>1</v>
      </c>
      <c r="BV572">
        <v>0.5</v>
      </c>
      <c r="BW572">
        <v>73.25</v>
      </c>
      <c r="BX572">
        <f>BW572/7</f>
        <v>10.464285714285714</v>
      </c>
      <c r="BY572">
        <f>0.77*BX572</f>
        <v>8.0574999999999992</v>
      </c>
      <c r="BZ572" t="e">
        <f t="shared" si="8"/>
        <v>#VALUE!</v>
      </c>
    </row>
    <row r="573" spans="1:78">
      <c r="A573" s="1">
        <v>45212.525610069446</v>
      </c>
      <c r="C573">
        <v>572</v>
      </c>
      <c r="D573" s="10">
        <v>29291</v>
      </c>
      <c r="E573">
        <v>43</v>
      </c>
      <c r="F573">
        <v>1</v>
      </c>
      <c r="G573">
        <v>4</v>
      </c>
      <c r="H573">
        <v>4</v>
      </c>
      <c r="I573" s="10">
        <v>44811</v>
      </c>
      <c r="J573">
        <v>2</v>
      </c>
      <c r="K573">
        <v>0</v>
      </c>
      <c r="L573">
        <v>1</v>
      </c>
      <c r="M573">
        <v>3240</v>
      </c>
      <c r="N573">
        <v>2</v>
      </c>
      <c r="O573" s="10">
        <v>44545</v>
      </c>
      <c r="P573">
        <v>0</v>
      </c>
      <c r="Q573">
        <v>38</v>
      </c>
      <c r="R573">
        <v>2</v>
      </c>
      <c r="S573">
        <v>69</v>
      </c>
      <c r="T573">
        <v>163</v>
      </c>
      <c r="U573">
        <v>81</v>
      </c>
      <c r="V573">
        <v>12</v>
      </c>
      <c r="W573">
        <v>3</v>
      </c>
      <c r="X573">
        <v>25.970115548195267</v>
      </c>
      <c r="Y573">
        <v>30.48665738266401</v>
      </c>
      <c r="Z573">
        <v>4.5165418344687431</v>
      </c>
      <c r="AA573">
        <v>3</v>
      </c>
      <c r="AB573">
        <v>4</v>
      </c>
      <c r="AC573" t="s">
        <v>33</v>
      </c>
      <c r="AD573">
        <v>3</v>
      </c>
      <c r="AE573">
        <v>0</v>
      </c>
      <c r="AG573">
        <v>5</v>
      </c>
      <c r="AH573">
        <v>1</v>
      </c>
      <c r="AI573">
        <v>2</v>
      </c>
      <c r="AJ573">
        <v>5</v>
      </c>
      <c r="AK573">
        <v>7</v>
      </c>
      <c r="AL573">
        <v>1</v>
      </c>
      <c r="AM573">
        <f>AJ573*AK573*AL573/7</f>
        <v>5</v>
      </c>
      <c r="AN573" t="s">
        <v>57</v>
      </c>
      <c r="AO573">
        <v>0</v>
      </c>
      <c r="AV573">
        <f>AU573+AM573</f>
        <v>5</v>
      </c>
      <c r="AW573" t="s">
        <v>401</v>
      </c>
      <c r="AX573">
        <v>1</v>
      </c>
      <c r="AY573" t="s">
        <v>401</v>
      </c>
      <c r="AZ573">
        <v>5</v>
      </c>
      <c r="BA573">
        <v>0.4</v>
      </c>
      <c r="BB573">
        <v>7</v>
      </c>
      <c r="BC573">
        <v>1</v>
      </c>
      <c r="BD573">
        <f>BA573*BB573*1/7</f>
        <v>0.4</v>
      </c>
      <c r="BE573">
        <f>AM573+AU573+BD573</f>
        <v>5.4</v>
      </c>
      <c r="BF573" t="s">
        <v>401</v>
      </c>
      <c r="BG573">
        <v>0</v>
      </c>
      <c r="BH573">
        <v>7</v>
      </c>
      <c r="BI573">
        <v>1</v>
      </c>
      <c r="BJ573" t="s">
        <v>49</v>
      </c>
      <c r="BK573">
        <v>5</v>
      </c>
      <c r="BL573">
        <v>1</v>
      </c>
      <c r="BM573">
        <v>1</v>
      </c>
      <c r="BN573" t="s">
        <v>30</v>
      </c>
      <c r="BO573">
        <v>1</v>
      </c>
      <c r="BP573">
        <v>84</v>
      </c>
      <c r="BQ573">
        <v>0.13</v>
      </c>
      <c r="BR573">
        <v>1</v>
      </c>
      <c r="BS573">
        <v>0.13</v>
      </c>
      <c r="BT573">
        <f>BS573+BD573+AU573+AM573</f>
        <v>5.53</v>
      </c>
      <c r="BU573">
        <v>1</v>
      </c>
      <c r="BV573">
        <v>1</v>
      </c>
      <c r="BW573">
        <v>146.5</v>
      </c>
      <c r="BX573">
        <f>BW573/7</f>
        <v>20.928571428571427</v>
      </c>
      <c r="BY573">
        <f>0.77*BX573</f>
        <v>16.114999999999998</v>
      </c>
      <c r="BZ573">
        <f t="shared" si="8"/>
        <v>21.645</v>
      </c>
    </row>
    <row r="574" spans="1:78">
      <c r="A574" s="1">
        <v>45212.584585543984</v>
      </c>
      <c r="C574">
        <v>573</v>
      </c>
      <c r="D574" s="10">
        <v>36793</v>
      </c>
      <c r="E574">
        <v>23</v>
      </c>
      <c r="F574">
        <v>1</v>
      </c>
      <c r="G574">
        <v>1</v>
      </c>
      <c r="H574">
        <v>3</v>
      </c>
      <c r="I574" s="10">
        <v>44131</v>
      </c>
      <c r="J574">
        <v>1</v>
      </c>
      <c r="K574">
        <v>1</v>
      </c>
      <c r="L574">
        <v>1</v>
      </c>
      <c r="M574">
        <v>2265</v>
      </c>
      <c r="N574">
        <v>1</v>
      </c>
      <c r="O574" s="10">
        <v>43889</v>
      </c>
      <c r="P574">
        <v>1</v>
      </c>
      <c r="Q574">
        <v>34.571428571428569</v>
      </c>
      <c r="R574">
        <v>3</v>
      </c>
      <c r="S574">
        <v>44</v>
      </c>
      <c r="T574">
        <v>150</v>
      </c>
      <c r="U574">
        <v>50.8</v>
      </c>
      <c r="V574">
        <v>6.7999999999999972</v>
      </c>
      <c r="W574">
        <v>1</v>
      </c>
      <c r="X574">
        <v>19.555555555555557</v>
      </c>
      <c r="Y574">
        <v>22.577777777777776</v>
      </c>
      <c r="Z574">
        <v>3.0222222222222186</v>
      </c>
      <c r="AA574">
        <v>2</v>
      </c>
      <c r="AB574">
        <v>2</v>
      </c>
      <c r="AC574" t="s">
        <v>123</v>
      </c>
      <c r="AD574">
        <v>2</v>
      </c>
      <c r="AE574">
        <v>1</v>
      </c>
      <c r="AF574" t="s">
        <v>402</v>
      </c>
      <c r="AG574" t="e">
        <v>#N/A</v>
      </c>
      <c r="AH574">
        <v>0</v>
      </c>
      <c r="AI574">
        <v>0</v>
      </c>
      <c r="AN574" t="s">
        <v>41</v>
      </c>
      <c r="AO574">
        <v>0</v>
      </c>
      <c r="AW574" t="s">
        <v>403</v>
      </c>
      <c r="AX574">
        <v>1</v>
      </c>
      <c r="AY574" t="s">
        <v>884</v>
      </c>
      <c r="AZ574">
        <v>1</v>
      </c>
      <c r="BA574">
        <v>0.8</v>
      </c>
      <c r="BB574">
        <v>7</v>
      </c>
      <c r="BC574">
        <v>1</v>
      </c>
      <c r="BD574">
        <f>BA574*BB574*1/7</f>
        <v>0.8</v>
      </c>
      <c r="BE574">
        <f>AM574+AU574+BD574</f>
        <v>0.8</v>
      </c>
      <c r="BF574" t="s">
        <v>884</v>
      </c>
      <c r="BG574">
        <v>0</v>
      </c>
      <c r="BH574">
        <v>7</v>
      </c>
      <c r="BI574">
        <v>1</v>
      </c>
      <c r="BJ574" t="s">
        <v>49</v>
      </c>
      <c r="BK574">
        <v>5</v>
      </c>
      <c r="BL574">
        <v>1</v>
      </c>
      <c r="BM574">
        <v>1</v>
      </c>
      <c r="BN574" t="s">
        <v>30</v>
      </c>
      <c r="BO574">
        <v>1</v>
      </c>
      <c r="BP574">
        <v>252</v>
      </c>
      <c r="BQ574">
        <v>0.13</v>
      </c>
      <c r="BR574">
        <v>3</v>
      </c>
      <c r="BS574">
        <v>0.39</v>
      </c>
      <c r="BT574">
        <f>BS574+BD574+AU574+AM574</f>
        <v>1.19</v>
      </c>
      <c r="BU574">
        <v>1</v>
      </c>
      <c r="BV574">
        <v>2</v>
      </c>
      <c r="BW574">
        <v>293</v>
      </c>
      <c r="BX574">
        <f>BW574/7</f>
        <v>41.857142857142854</v>
      </c>
      <c r="BY574">
        <f>0.77*BX574</f>
        <v>32.229999999999997</v>
      </c>
      <c r="BZ574">
        <f t="shared" si="8"/>
        <v>33.419999999999995</v>
      </c>
    </row>
    <row r="575" spans="1:78">
      <c r="A575" s="1">
        <v>45212.593996759257</v>
      </c>
      <c r="C575">
        <v>574</v>
      </c>
      <c r="D575" s="10">
        <v>30736</v>
      </c>
      <c r="E575">
        <v>39</v>
      </c>
      <c r="F575">
        <v>1</v>
      </c>
      <c r="G575">
        <v>1</v>
      </c>
      <c r="H575">
        <v>4</v>
      </c>
      <c r="I575" s="10">
        <v>43762</v>
      </c>
      <c r="J575">
        <v>1</v>
      </c>
      <c r="K575">
        <v>1</v>
      </c>
      <c r="L575">
        <v>2</v>
      </c>
      <c r="M575">
        <v>3190</v>
      </c>
      <c r="N575">
        <v>2</v>
      </c>
      <c r="O575" s="10">
        <v>43496</v>
      </c>
      <c r="P575">
        <v>0</v>
      </c>
      <c r="Q575">
        <v>38</v>
      </c>
      <c r="R575">
        <v>2</v>
      </c>
      <c r="S575">
        <v>110</v>
      </c>
      <c r="T575">
        <v>160</v>
      </c>
      <c r="U575">
        <v>107</v>
      </c>
      <c r="V575">
        <v>-3</v>
      </c>
      <c r="W575">
        <v>1</v>
      </c>
      <c r="X575">
        <v>42.968749999999993</v>
      </c>
      <c r="Y575">
        <v>41.796874999999993</v>
      </c>
      <c r="Z575">
        <v>-1.171875</v>
      </c>
      <c r="AA575">
        <v>4</v>
      </c>
      <c r="AB575">
        <v>4</v>
      </c>
      <c r="AC575" t="s">
        <v>173</v>
      </c>
      <c r="AD575">
        <v>1</v>
      </c>
      <c r="AE575">
        <v>0</v>
      </c>
      <c r="AG575">
        <v>5</v>
      </c>
      <c r="AH575">
        <v>1</v>
      </c>
      <c r="AI575">
        <v>1</v>
      </c>
      <c r="AJ575">
        <v>1</v>
      </c>
      <c r="AK575">
        <v>7</v>
      </c>
      <c r="AL575">
        <v>1</v>
      </c>
      <c r="AM575">
        <f>AJ575*AK575*AL575/7</f>
        <v>1</v>
      </c>
      <c r="AN575" t="s">
        <v>56</v>
      </c>
      <c r="AO575">
        <v>0</v>
      </c>
      <c r="AV575">
        <f>AU575+AM575</f>
        <v>1</v>
      </c>
      <c r="AX575">
        <v>0</v>
      </c>
      <c r="BE575">
        <f>AM575+AU575+BD575</f>
        <v>1</v>
      </c>
      <c r="BG575">
        <v>0</v>
      </c>
      <c r="BJ575" t="s">
        <v>49</v>
      </c>
      <c r="BK575">
        <v>5</v>
      </c>
      <c r="BL575">
        <v>1</v>
      </c>
      <c r="BM575">
        <v>1</v>
      </c>
      <c r="BN575" t="s">
        <v>55</v>
      </c>
      <c r="BO575">
        <v>2</v>
      </c>
      <c r="BP575">
        <v>134</v>
      </c>
      <c r="BQ575">
        <v>0.1</v>
      </c>
      <c r="BR575">
        <v>2</v>
      </c>
      <c r="BS575">
        <v>0.2</v>
      </c>
      <c r="BT575">
        <f>BS575+BD575+AU575+AM575</f>
        <v>1.2</v>
      </c>
      <c r="BU575">
        <v>1</v>
      </c>
      <c r="BV575">
        <v>1</v>
      </c>
      <c r="BW575">
        <v>146.5</v>
      </c>
      <c r="BX575">
        <f>BW575/7</f>
        <v>20.928571428571427</v>
      </c>
      <c r="BY575">
        <f>0.77*BX575</f>
        <v>16.114999999999998</v>
      </c>
      <c r="BZ575">
        <f t="shared" si="8"/>
        <v>17.314999999999998</v>
      </c>
    </row>
    <row r="576" spans="1:78">
      <c r="A576" s="1">
        <v>45212.596312152775</v>
      </c>
      <c r="C576">
        <v>575</v>
      </c>
      <c r="D576" s="10">
        <v>34879</v>
      </c>
      <c r="E576">
        <v>28</v>
      </c>
      <c r="F576">
        <v>1</v>
      </c>
      <c r="G576">
        <v>9</v>
      </c>
      <c r="H576">
        <v>4</v>
      </c>
      <c r="I576" s="10">
        <v>44658</v>
      </c>
      <c r="J576">
        <v>1</v>
      </c>
      <c r="K576">
        <v>1</v>
      </c>
      <c r="L576">
        <v>1</v>
      </c>
      <c r="M576">
        <v>3035</v>
      </c>
      <c r="N576">
        <v>2</v>
      </c>
      <c r="O576" s="10">
        <v>44392</v>
      </c>
      <c r="P576">
        <v>1</v>
      </c>
      <c r="Q576">
        <v>38</v>
      </c>
      <c r="R576">
        <v>2</v>
      </c>
      <c r="S576">
        <v>50</v>
      </c>
      <c r="T576">
        <v>153</v>
      </c>
      <c r="U576">
        <v>60</v>
      </c>
      <c r="V576">
        <v>10</v>
      </c>
      <c r="W576">
        <v>1</v>
      </c>
      <c r="X576">
        <v>21.35930624973301</v>
      </c>
      <c r="Y576">
        <v>25.631167499679609</v>
      </c>
      <c r="Z576">
        <v>4.2718612499465998</v>
      </c>
      <c r="AA576">
        <v>2</v>
      </c>
      <c r="AB576">
        <v>3</v>
      </c>
      <c r="AC576" t="s">
        <v>33</v>
      </c>
      <c r="AD576">
        <v>3</v>
      </c>
      <c r="AE576">
        <v>0</v>
      </c>
      <c r="AG576">
        <v>5</v>
      </c>
      <c r="AH576">
        <v>1</v>
      </c>
      <c r="AI576">
        <v>5</v>
      </c>
      <c r="AJ576">
        <v>5</v>
      </c>
      <c r="AK576">
        <v>7</v>
      </c>
      <c r="AL576">
        <v>1</v>
      </c>
      <c r="AM576">
        <f>AJ576*AK576*AL576/7</f>
        <v>5</v>
      </c>
      <c r="AN576" t="s">
        <v>27</v>
      </c>
      <c r="AO576">
        <v>0</v>
      </c>
      <c r="AV576">
        <f>AU576+AM576</f>
        <v>5</v>
      </c>
      <c r="AX576">
        <v>0</v>
      </c>
      <c r="BE576">
        <f>AM576+AU576+BD576</f>
        <v>5</v>
      </c>
      <c r="BG576">
        <v>0</v>
      </c>
      <c r="BJ576" t="s">
        <v>49</v>
      </c>
      <c r="BK576">
        <v>5</v>
      </c>
      <c r="BL576">
        <v>1</v>
      </c>
      <c r="BM576">
        <v>1</v>
      </c>
      <c r="BN576" t="s">
        <v>37</v>
      </c>
      <c r="BO576">
        <v>4</v>
      </c>
      <c r="BP576">
        <v>55</v>
      </c>
      <c r="BQ576">
        <v>0.05</v>
      </c>
      <c r="BR576">
        <v>1</v>
      </c>
      <c r="BS576">
        <v>0.05</v>
      </c>
      <c r="BT576">
        <f>BS576+BD576+AU576+AM576</f>
        <v>5.05</v>
      </c>
      <c r="BU576">
        <v>1</v>
      </c>
      <c r="BV576">
        <v>1</v>
      </c>
      <c r="BW576">
        <v>146.5</v>
      </c>
      <c r="BX576">
        <f>BW576/7</f>
        <v>20.928571428571427</v>
      </c>
      <c r="BY576">
        <f>0.77*BX576</f>
        <v>16.114999999999998</v>
      </c>
      <c r="BZ576">
        <f t="shared" si="8"/>
        <v>21.164999999999999</v>
      </c>
    </row>
    <row r="577" spans="1:78">
      <c r="A577" s="1">
        <v>45212.597406203698</v>
      </c>
      <c r="C577">
        <v>576</v>
      </c>
      <c r="D577" s="10">
        <v>35977</v>
      </c>
      <c r="E577">
        <v>25</v>
      </c>
      <c r="F577">
        <v>1</v>
      </c>
      <c r="G577">
        <v>11</v>
      </c>
      <c r="H577">
        <v>3</v>
      </c>
      <c r="I577" s="10">
        <v>43498</v>
      </c>
      <c r="J577">
        <v>1</v>
      </c>
      <c r="K577">
        <v>1</v>
      </c>
      <c r="L577">
        <v>2</v>
      </c>
      <c r="M577">
        <v>3850</v>
      </c>
      <c r="N577">
        <v>2</v>
      </c>
      <c r="O577" s="10">
        <v>43217</v>
      </c>
      <c r="P577">
        <v>0</v>
      </c>
      <c r="Q577">
        <v>40.142857142857146</v>
      </c>
      <c r="R577">
        <v>2</v>
      </c>
      <c r="S577">
        <v>76</v>
      </c>
      <c r="T577">
        <v>166</v>
      </c>
      <c r="U577">
        <v>89</v>
      </c>
      <c r="V577">
        <v>13</v>
      </c>
      <c r="W577">
        <v>3</v>
      </c>
      <c r="X577">
        <v>27.580200319349689</v>
      </c>
      <c r="Y577">
        <v>32.29786616344898</v>
      </c>
      <c r="Z577">
        <v>4.7176658440992902</v>
      </c>
      <c r="AA577">
        <v>3</v>
      </c>
      <c r="AB577">
        <v>4</v>
      </c>
      <c r="AC577" t="s">
        <v>33</v>
      </c>
      <c r="AD577">
        <v>3</v>
      </c>
      <c r="AE577">
        <v>0</v>
      </c>
      <c r="AG577">
        <v>5</v>
      </c>
      <c r="AH577">
        <v>1</v>
      </c>
      <c r="AI577">
        <v>2</v>
      </c>
      <c r="AJ577">
        <v>5</v>
      </c>
      <c r="AK577">
        <v>7</v>
      </c>
      <c r="AL577">
        <v>1</v>
      </c>
      <c r="AM577">
        <f>AJ577*AK577*AL577/7</f>
        <v>5</v>
      </c>
      <c r="AN577" t="s">
        <v>57</v>
      </c>
      <c r="AO577">
        <v>0</v>
      </c>
      <c r="AV577">
        <f>AU577+AM577</f>
        <v>5</v>
      </c>
      <c r="AW577" t="s">
        <v>404</v>
      </c>
      <c r="AX577">
        <v>0</v>
      </c>
      <c r="BE577">
        <f>AM577+AU577+BD577</f>
        <v>5</v>
      </c>
      <c r="BF577" t="s">
        <v>404</v>
      </c>
      <c r="BG577">
        <v>1</v>
      </c>
      <c r="BH577">
        <v>7</v>
      </c>
      <c r="BI577">
        <v>1</v>
      </c>
      <c r="BJ577" t="s">
        <v>49</v>
      </c>
      <c r="BK577">
        <v>5</v>
      </c>
      <c r="BL577">
        <v>3</v>
      </c>
      <c r="BM577">
        <v>1</v>
      </c>
      <c r="BN577" t="s">
        <v>59</v>
      </c>
      <c r="BO577">
        <v>3</v>
      </c>
      <c r="BP577">
        <v>112</v>
      </c>
      <c r="BQ577">
        <v>0.08</v>
      </c>
      <c r="BR577">
        <v>2</v>
      </c>
      <c r="BS577">
        <v>0.16</v>
      </c>
      <c r="BT577">
        <f>BS577+BD577+AU577+AM577</f>
        <v>5.16</v>
      </c>
      <c r="BU577">
        <v>1</v>
      </c>
      <c r="BV577">
        <v>2</v>
      </c>
      <c r="BW577">
        <v>293</v>
      </c>
      <c r="BX577">
        <f>BW577/7</f>
        <v>41.857142857142854</v>
      </c>
      <c r="BY577">
        <f>0.77*BX577</f>
        <v>32.229999999999997</v>
      </c>
      <c r="BZ577">
        <f t="shared" si="8"/>
        <v>37.39</v>
      </c>
    </row>
    <row r="578" spans="1:78">
      <c r="A578" s="1">
        <v>45212.602635925927</v>
      </c>
      <c r="C578">
        <v>577</v>
      </c>
      <c r="D578" s="10">
        <v>33424</v>
      </c>
      <c r="E578">
        <v>32</v>
      </c>
      <c r="F578">
        <v>1</v>
      </c>
      <c r="G578">
        <v>1</v>
      </c>
      <c r="H578">
        <v>5</v>
      </c>
      <c r="I578" s="10">
        <v>43727</v>
      </c>
      <c r="J578">
        <v>2</v>
      </c>
      <c r="K578">
        <v>0</v>
      </c>
      <c r="L578">
        <v>2</v>
      </c>
      <c r="M578">
        <v>3550</v>
      </c>
      <c r="N578">
        <v>2</v>
      </c>
      <c r="O578" s="10">
        <v>43461</v>
      </c>
      <c r="P578">
        <v>0</v>
      </c>
      <c r="Q578">
        <v>38</v>
      </c>
      <c r="R578">
        <v>2</v>
      </c>
      <c r="S578">
        <v>76</v>
      </c>
      <c r="T578">
        <v>168</v>
      </c>
      <c r="U578">
        <v>81.599999999999994</v>
      </c>
      <c r="V578">
        <v>5.5999999999999943</v>
      </c>
      <c r="W578">
        <v>1</v>
      </c>
      <c r="X578">
        <v>26.927437641723358</v>
      </c>
      <c r="Y578">
        <v>28.911564625850342</v>
      </c>
      <c r="Z578">
        <v>1.9841269841269842</v>
      </c>
      <c r="AA578">
        <v>3</v>
      </c>
      <c r="AB578">
        <v>3</v>
      </c>
      <c r="AC578" t="s">
        <v>44</v>
      </c>
      <c r="AD578">
        <v>1</v>
      </c>
      <c r="AE578">
        <v>0</v>
      </c>
      <c r="AG578">
        <v>5</v>
      </c>
      <c r="AH578">
        <v>1</v>
      </c>
      <c r="AI578">
        <v>4</v>
      </c>
      <c r="AJ578">
        <v>1</v>
      </c>
      <c r="AK578">
        <v>7</v>
      </c>
      <c r="AL578">
        <v>1</v>
      </c>
      <c r="AM578">
        <f>AJ578*AK578*AL578/7</f>
        <v>1</v>
      </c>
      <c r="AN578" t="s">
        <v>43</v>
      </c>
      <c r="AO578">
        <v>0</v>
      </c>
      <c r="AV578">
        <f>AU578+AM578</f>
        <v>1</v>
      </c>
      <c r="AW578" t="s">
        <v>58</v>
      </c>
      <c r="AX578">
        <v>1</v>
      </c>
      <c r="AY578" t="s">
        <v>58</v>
      </c>
      <c r="AZ578">
        <v>1</v>
      </c>
      <c r="BA578">
        <v>0.8</v>
      </c>
      <c r="BB578">
        <v>7</v>
      </c>
      <c r="BC578">
        <v>1</v>
      </c>
      <c r="BD578">
        <f>BA578*BB578*1/7</f>
        <v>0.8</v>
      </c>
      <c r="BE578">
        <f>AM578+AU578+BD578</f>
        <v>1.8</v>
      </c>
      <c r="BF578" t="s">
        <v>58</v>
      </c>
      <c r="BG578">
        <v>0</v>
      </c>
      <c r="BH578">
        <v>7</v>
      </c>
      <c r="BI578">
        <v>1</v>
      </c>
      <c r="BJ578" t="s">
        <v>28</v>
      </c>
      <c r="BK578">
        <v>3</v>
      </c>
      <c r="BL578">
        <v>1</v>
      </c>
      <c r="BM578">
        <v>1</v>
      </c>
      <c r="BN578" t="s">
        <v>59</v>
      </c>
      <c r="BO578">
        <v>3</v>
      </c>
      <c r="BP578">
        <v>112</v>
      </c>
      <c r="BQ578">
        <v>0.08</v>
      </c>
      <c r="BR578">
        <v>2</v>
      </c>
      <c r="BS578">
        <v>0.16</v>
      </c>
      <c r="BT578">
        <f>BS578+BD578+AU578+AM578</f>
        <v>1.96</v>
      </c>
      <c r="BU578">
        <v>1</v>
      </c>
      <c r="BV578">
        <v>3</v>
      </c>
      <c r="BW578">
        <v>439.5</v>
      </c>
      <c r="BX578">
        <f>BW578/7</f>
        <v>62.785714285714285</v>
      </c>
      <c r="BY578">
        <f>0.77*BX578</f>
        <v>48.344999999999999</v>
      </c>
      <c r="BZ578">
        <f t="shared" si="8"/>
        <v>50.305</v>
      </c>
    </row>
    <row r="579" spans="1:78">
      <c r="A579" s="1">
        <v>45212.609312025466</v>
      </c>
      <c r="C579">
        <v>578</v>
      </c>
      <c r="D579" s="10">
        <v>32945</v>
      </c>
      <c r="E579">
        <v>33</v>
      </c>
      <c r="F579">
        <v>1</v>
      </c>
      <c r="G579">
        <v>10</v>
      </c>
      <c r="H579">
        <v>3</v>
      </c>
      <c r="I579" s="10">
        <v>44608</v>
      </c>
      <c r="J579">
        <v>2</v>
      </c>
      <c r="K579">
        <v>0</v>
      </c>
      <c r="L579">
        <v>1</v>
      </c>
      <c r="M579">
        <v>3100</v>
      </c>
      <c r="N579">
        <v>2</v>
      </c>
      <c r="O579" s="10">
        <v>44349</v>
      </c>
      <c r="P579">
        <v>1</v>
      </c>
      <c r="Q579">
        <v>37</v>
      </c>
      <c r="R579">
        <v>2</v>
      </c>
      <c r="S579">
        <v>75</v>
      </c>
      <c r="T579">
        <v>157</v>
      </c>
      <c r="U579">
        <v>90</v>
      </c>
      <c r="V579">
        <v>15</v>
      </c>
      <c r="W579">
        <v>3</v>
      </c>
      <c r="X579">
        <v>30.427197857925268</v>
      </c>
      <c r="Y579">
        <v>36.51263742951032</v>
      </c>
      <c r="Z579">
        <v>6.0854395715850522</v>
      </c>
      <c r="AA579">
        <v>4</v>
      </c>
      <c r="AB579">
        <v>4</v>
      </c>
      <c r="AC579" t="s">
        <v>173</v>
      </c>
      <c r="AD579">
        <v>1</v>
      </c>
      <c r="AE579">
        <v>0</v>
      </c>
      <c r="AG579">
        <v>5</v>
      </c>
      <c r="AH579">
        <v>1</v>
      </c>
      <c r="AI579">
        <v>5</v>
      </c>
      <c r="AJ579">
        <v>5</v>
      </c>
      <c r="AK579">
        <v>7</v>
      </c>
      <c r="AL579">
        <v>1</v>
      </c>
      <c r="AM579">
        <f>AJ579*AK579*AL579/7</f>
        <v>5</v>
      </c>
      <c r="AN579" t="s">
        <v>27</v>
      </c>
      <c r="AO579">
        <v>0</v>
      </c>
      <c r="AV579">
        <f>AU579+AM579</f>
        <v>5</v>
      </c>
      <c r="AX579">
        <v>0</v>
      </c>
      <c r="BE579">
        <f>AM579+AU579+BD579</f>
        <v>5</v>
      </c>
      <c r="BG579">
        <v>0</v>
      </c>
      <c r="BJ579" t="s">
        <v>28</v>
      </c>
      <c r="BK579">
        <v>3</v>
      </c>
      <c r="BL579">
        <v>1</v>
      </c>
      <c r="BM579">
        <v>1</v>
      </c>
      <c r="BN579" t="s">
        <v>30</v>
      </c>
      <c r="BO579">
        <v>1</v>
      </c>
      <c r="BP579">
        <v>168</v>
      </c>
      <c r="BQ579">
        <v>0.13</v>
      </c>
      <c r="BR579">
        <v>2</v>
      </c>
      <c r="BS579">
        <v>0.26</v>
      </c>
      <c r="BT579">
        <f>BS579+BD579+AU579+AM579</f>
        <v>5.26</v>
      </c>
      <c r="BU579">
        <v>1</v>
      </c>
      <c r="BV579">
        <v>3</v>
      </c>
      <c r="BW579">
        <v>439.5</v>
      </c>
      <c r="BX579">
        <f>BW579/7</f>
        <v>62.785714285714285</v>
      </c>
      <c r="BY579">
        <f>0.77*BX579</f>
        <v>48.344999999999999</v>
      </c>
      <c r="BZ579">
        <f t="shared" si="8"/>
        <v>53.604999999999997</v>
      </c>
    </row>
    <row r="580" spans="1:78">
      <c r="A580" s="1">
        <v>45212.614711400463</v>
      </c>
      <c r="B580" t="s">
        <v>867</v>
      </c>
      <c r="C580">
        <v>579</v>
      </c>
      <c r="D580" s="10">
        <v>29372</v>
      </c>
      <c r="E580">
        <v>43</v>
      </c>
      <c r="F580">
        <v>1</v>
      </c>
      <c r="G580">
        <v>12</v>
      </c>
      <c r="H580">
        <v>4</v>
      </c>
      <c r="I580" s="10">
        <v>44525</v>
      </c>
      <c r="J580">
        <v>3</v>
      </c>
      <c r="K580">
        <v>0</v>
      </c>
      <c r="L580">
        <v>1</v>
      </c>
      <c r="M580">
        <v>3450</v>
      </c>
      <c r="N580">
        <v>2</v>
      </c>
      <c r="O580" s="10">
        <v>44266</v>
      </c>
      <c r="P580">
        <v>1</v>
      </c>
      <c r="Q580">
        <v>37</v>
      </c>
      <c r="R580">
        <v>2</v>
      </c>
      <c r="S580">
        <v>80</v>
      </c>
      <c r="T580">
        <v>60</v>
      </c>
      <c r="U580" t="s">
        <v>655</v>
      </c>
      <c r="V580" t="e">
        <v>#VALUE!</v>
      </c>
      <c r="W580" t="s">
        <v>1015</v>
      </c>
      <c r="X580">
        <v>222.22222222222223</v>
      </c>
      <c r="Y580" t="s">
        <v>657</v>
      </c>
      <c r="Z580" t="e">
        <v>#VALUE!</v>
      </c>
      <c r="AA580">
        <v>4</v>
      </c>
      <c r="AB580" t="e">
        <v>#VALUE!</v>
      </c>
      <c r="AC580" t="s">
        <v>44</v>
      </c>
      <c r="AD580">
        <v>1</v>
      </c>
      <c r="AE580">
        <v>0</v>
      </c>
      <c r="AG580">
        <v>5</v>
      </c>
      <c r="AH580">
        <v>1</v>
      </c>
      <c r="AI580">
        <v>4</v>
      </c>
      <c r="AJ580">
        <v>1</v>
      </c>
      <c r="AK580">
        <v>7</v>
      </c>
      <c r="AL580">
        <v>1</v>
      </c>
      <c r="AM580">
        <f>AJ580*AK580*AL580/7</f>
        <v>1</v>
      </c>
      <c r="AN580" t="s">
        <v>43</v>
      </c>
      <c r="AO580">
        <v>0</v>
      </c>
      <c r="AV580">
        <f>AU580+AM580</f>
        <v>1</v>
      </c>
      <c r="AW580" t="s">
        <v>58</v>
      </c>
      <c r="AX580">
        <v>1</v>
      </c>
      <c r="AY580" t="s">
        <v>58</v>
      </c>
      <c r="AZ580">
        <v>1</v>
      </c>
      <c r="BA580">
        <v>0.8</v>
      </c>
      <c r="BB580">
        <v>7</v>
      </c>
      <c r="BC580">
        <v>1</v>
      </c>
      <c r="BD580">
        <f>BA580*BB580*1/7</f>
        <v>0.8</v>
      </c>
      <c r="BE580">
        <f>AM580+AU580+BD580</f>
        <v>1.8</v>
      </c>
      <c r="BF580" t="s">
        <v>58</v>
      </c>
      <c r="BG580">
        <v>0</v>
      </c>
      <c r="BH580">
        <v>7</v>
      </c>
      <c r="BI580">
        <v>1</v>
      </c>
      <c r="BJ580" t="s">
        <v>42</v>
      </c>
      <c r="BK580">
        <v>6</v>
      </c>
      <c r="BL580">
        <v>1</v>
      </c>
      <c r="BM580">
        <v>1</v>
      </c>
      <c r="BN580" t="s">
        <v>30</v>
      </c>
      <c r="BO580">
        <v>1</v>
      </c>
      <c r="BP580">
        <v>168</v>
      </c>
      <c r="BQ580">
        <v>0.13</v>
      </c>
      <c r="BR580">
        <v>2</v>
      </c>
      <c r="BS580">
        <v>0.26</v>
      </c>
      <c r="BT580">
        <f>BS580+BD580+AU580+AM580</f>
        <v>2.06</v>
      </c>
      <c r="BU580">
        <v>1</v>
      </c>
      <c r="BV580">
        <v>1</v>
      </c>
      <c r="BW580">
        <v>146.5</v>
      </c>
      <c r="BX580">
        <f>BW580/7</f>
        <v>20.928571428571427</v>
      </c>
      <c r="BY580">
        <f>0.77*BX580</f>
        <v>16.114999999999998</v>
      </c>
      <c r="BZ580">
        <f t="shared" ref="BZ580:BZ643" si="9">BS580+BD580+AU580+AM580+BY580</f>
        <v>18.174999999999997</v>
      </c>
    </row>
    <row r="581" spans="1:78">
      <c r="A581" s="1">
        <v>45212.617059212964</v>
      </c>
      <c r="C581">
        <v>580</v>
      </c>
      <c r="D581" s="10">
        <v>33315</v>
      </c>
      <c r="E581">
        <v>32</v>
      </c>
      <c r="F581">
        <v>1</v>
      </c>
      <c r="G581">
        <v>11</v>
      </c>
      <c r="H581">
        <v>4</v>
      </c>
      <c r="I581" s="10">
        <v>44532</v>
      </c>
      <c r="J581">
        <v>1</v>
      </c>
      <c r="K581">
        <v>1</v>
      </c>
      <c r="L581">
        <v>1</v>
      </c>
      <c r="M581">
        <v>3280</v>
      </c>
      <c r="N581">
        <v>2</v>
      </c>
      <c r="O581" s="10">
        <v>44259</v>
      </c>
      <c r="P581">
        <v>1</v>
      </c>
      <c r="Q581">
        <v>39</v>
      </c>
      <c r="R581">
        <v>2</v>
      </c>
      <c r="S581">
        <v>56</v>
      </c>
      <c r="T581">
        <v>155</v>
      </c>
      <c r="U581">
        <v>61</v>
      </c>
      <c r="V581">
        <v>5</v>
      </c>
      <c r="W581">
        <v>1</v>
      </c>
      <c r="X581">
        <v>23.309053069719038</v>
      </c>
      <c r="Y581">
        <v>25.390218522372525</v>
      </c>
      <c r="Z581">
        <v>2.0811654526534866</v>
      </c>
      <c r="AA581">
        <v>2</v>
      </c>
      <c r="AB581">
        <v>3</v>
      </c>
      <c r="AC581" t="s">
        <v>33</v>
      </c>
      <c r="AD581">
        <v>3</v>
      </c>
      <c r="AE581">
        <v>0</v>
      </c>
      <c r="AG581">
        <v>5</v>
      </c>
      <c r="AH581">
        <v>1</v>
      </c>
      <c r="AI581">
        <v>13</v>
      </c>
      <c r="AJ581">
        <v>1</v>
      </c>
      <c r="AK581">
        <v>7</v>
      </c>
      <c r="AL581">
        <v>1</v>
      </c>
      <c r="AM581">
        <f>AJ581*AK581*AL581/7</f>
        <v>1</v>
      </c>
      <c r="AN581" t="s">
        <v>79</v>
      </c>
      <c r="AO581">
        <v>0</v>
      </c>
      <c r="AV581">
        <f>AU581+AM581</f>
        <v>1</v>
      </c>
      <c r="AW581" t="s">
        <v>58</v>
      </c>
      <c r="AX581">
        <v>1</v>
      </c>
      <c r="AY581" t="s">
        <v>58</v>
      </c>
      <c r="AZ581">
        <v>1</v>
      </c>
      <c r="BA581">
        <v>0.8</v>
      </c>
      <c r="BB581">
        <v>7</v>
      </c>
      <c r="BC581">
        <v>1</v>
      </c>
      <c r="BD581">
        <f>BA581*BB581*1/7</f>
        <v>0.8</v>
      </c>
      <c r="BE581">
        <f>AM581+AU581+BD581</f>
        <v>1.8</v>
      </c>
      <c r="BF581" t="s">
        <v>58</v>
      </c>
      <c r="BG581">
        <v>0</v>
      </c>
      <c r="BH581">
        <v>7</v>
      </c>
      <c r="BI581">
        <v>1</v>
      </c>
      <c r="BJ581" t="s">
        <v>49</v>
      </c>
      <c r="BK581">
        <v>5</v>
      </c>
      <c r="BL581">
        <v>3</v>
      </c>
      <c r="BM581">
        <v>1</v>
      </c>
      <c r="BN581" t="s">
        <v>37</v>
      </c>
      <c r="BO581">
        <v>4</v>
      </c>
      <c r="BP581">
        <v>55</v>
      </c>
      <c r="BQ581">
        <v>0.05</v>
      </c>
      <c r="BR581">
        <v>1</v>
      </c>
      <c r="BS581">
        <v>0.05</v>
      </c>
      <c r="BT581">
        <f>BS581+BD581+AU581+AM581</f>
        <v>1.85</v>
      </c>
      <c r="BU581">
        <v>0</v>
      </c>
      <c r="BW581">
        <v>0</v>
      </c>
      <c r="BX581">
        <f>BW581/7</f>
        <v>0</v>
      </c>
      <c r="BY581">
        <f>0.77*BX581</f>
        <v>0</v>
      </c>
      <c r="BZ581">
        <f t="shared" si="9"/>
        <v>1.85</v>
      </c>
    </row>
    <row r="582" spans="1:78">
      <c r="A582" s="1">
        <v>45212.618354317128</v>
      </c>
      <c r="C582">
        <v>581</v>
      </c>
      <c r="D582" s="10">
        <v>32419</v>
      </c>
      <c r="E582">
        <v>35</v>
      </c>
      <c r="F582">
        <v>1</v>
      </c>
      <c r="G582">
        <v>10</v>
      </c>
      <c r="H582">
        <v>4</v>
      </c>
      <c r="I582" s="10">
        <v>44743</v>
      </c>
      <c r="J582">
        <v>3</v>
      </c>
      <c r="K582">
        <v>0</v>
      </c>
      <c r="L582">
        <v>1</v>
      </c>
      <c r="M582">
        <v>4100</v>
      </c>
      <c r="N582">
        <v>3</v>
      </c>
      <c r="O582" s="10">
        <v>44477</v>
      </c>
      <c r="P582">
        <v>1</v>
      </c>
      <c r="Q582">
        <v>38</v>
      </c>
      <c r="R582">
        <v>2</v>
      </c>
      <c r="S582">
        <v>80</v>
      </c>
      <c r="T582">
        <v>166</v>
      </c>
      <c r="U582">
        <v>96</v>
      </c>
      <c r="V582">
        <v>16</v>
      </c>
      <c r="W582">
        <v>3</v>
      </c>
      <c r="X582">
        <v>29.031789809841779</v>
      </c>
      <c r="Y582">
        <v>34.838147771810135</v>
      </c>
      <c r="Z582">
        <v>5.8063579619683559</v>
      </c>
      <c r="AA582">
        <v>3</v>
      </c>
      <c r="AB582">
        <v>4</v>
      </c>
      <c r="AC582" t="s">
        <v>44</v>
      </c>
      <c r="AD582">
        <v>1</v>
      </c>
      <c r="AE582">
        <v>0</v>
      </c>
      <c r="AG582">
        <v>5</v>
      </c>
      <c r="AH582">
        <v>1</v>
      </c>
      <c r="AI582">
        <v>5</v>
      </c>
      <c r="AJ582">
        <v>5</v>
      </c>
      <c r="AK582">
        <v>7</v>
      </c>
      <c r="AL582">
        <v>1</v>
      </c>
      <c r="AM582">
        <f>AJ582*AK582*AL582/7</f>
        <v>5</v>
      </c>
      <c r="AN582" t="s">
        <v>27</v>
      </c>
      <c r="AO582">
        <v>0</v>
      </c>
      <c r="AV582">
        <f>AU582+AM582</f>
        <v>5</v>
      </c>
      <c r="AX582">
        <v>0</v>
      </c>
      <c r="BE582">
        <f>AM582+AU582+BD582</f>
        <v>5</v>
      </c>
      <c r="BG582">
        <v>0</v>
      </c>
      <c r="BJ582" t="s">
        <v>49</v>
      </c>
      <c r="BK582">
        <v>5</v>
      </c>
      <c r="BL582">
        <v>3</v>
      </c>
      <c r="BM582">
        <v>1</v>
      </c>
      <c r="BN582" t="s">
        <v>55</v>
      </c>
      <c r="BO582">
        <v>2</v>
      </c>
      <c r="BP582">
        <v>201</v>
      </c>
      <c r="BQ582">
        <v>0.1</v>
      </c>
      <c r="BR582">
        <v>3</v>
      </c>
      <c r="BS582">
        <v>0.30000000000000004</v>
      </c>
      <c r="BT582">
        <f>BS582+BD582+AU582+AM582</f>
        <v>5.3</v>
      </c>
      <c r="BU582">
        <v>1</v>
      </c>
      <c r="BV582">
        <v>3</v>
      </c>
      <c r="BW582">
        <v>439.5</v>
      </c>
      <c r="BX582">
        <f>BW582/7</f>
        <v>62.785714285714285</v>
      </c>
      <c r="BY582">
        <f>0.77*BX582</f>
        <v>48.344999999999999</v>
      </c>
      <c r="BZ582">
        <f t="shared" si="9"/>
        <v>53.644999999999996</v>
      </c>
    </row>
    <row r="583" spans="1:78">
      <c r="A583" s="1">
        <v>45212.645799027778</v>
      </c>
      <c r="C583">
        <v>582</v>
      </c>
      <c r="D583" s="10">
        <v>32794</v>
      </c>
      <c r="E583">
        <v>33</v>
      </c>
      <c r="F583">
        <v>1</v>
      </c>
      <c r="G583">
        <v>1</v>
      </c>
      <c r="H583">
        <v>5</v>
      </c>
      <c r="I583" s="10">
        <v>44850</v>
      </c>
      <c r="J583">
        <v>1</v>
      </c>
      <c r="K583">
        <v>1</v>
      </c>
      <c r="L583">
        <v>2</v>
      </c>
      <c r="M583">
        <v>3320</v>
      </c>
      <c r="N583">
        <v>2</v>
      </c>
      <c r="O583" s="10">
        <v>44591</v>
      </c>
      <c r="P583">
        <v>0</v>
      </c>
      <c r="Q583">
        <v>37</v>
      </c>
      <c r="R583">
        <v>2</v>
      </c>
      <c r="S583">
        <v>69</v>
      </c>
      <c r="T583">
        <v>171</v>
      </c>
      <c r="U583">
        <v>79</v>
      </c>
      <c r="V583">
        <v>10</v>
      </c>
      <c r="W583">
        <v>1</v>
      </c>
      <c r="X583">
        <v>23.59700420642249</v>
      </c>
      <c r="Y583">
        <v>27.016859888512709</v>
      </c>
      <c r="Z583">
        <v>3.4198556820902191</v>
      </c>
      <c r="AA583">
        <v>2</v>
      </c>
      <c r="AB583">
        <v>3</v>
      </c>
      <c r="AC583" t="s">
        <v>33</v>
      </c>
      <c r="AD583">
        <v>3</v>
      </c>
      <c r="AE583">
        <v>0</v>
      </c>
      <c r="AG583">
        <v>5</v>
      </c>
      <c r="AH583">
        <v>1</v>
      </c>
      <c r="AI583">
        <v>1</v>
      </c>
      <c r="AJ583">
        <v>1</v>
      </c>
      <c r="AK583">
        <v>6</v>
      </c>
      <c r="AL583">
        <v>1</v>
      </c>
      <c r="AM583">
        <f>AJ583*AK583*AL583/7</f>
        <v>0.8571428571428571</v>
      </c>
      <c r="AN583" t="s">
        <v>56</v>
      </c>
      <c r="AO583">
        <v>0</v>
      </c>
      <c r="AV583">
        <f>AU583+AM583</f>
        <v>0.8571428571428571</v>
      </c>
      <c r="AW583" t="s">
        <v>407</v>
      </c>
      <c r="AX583">
        <v>0</v>
      </c>
      <c r="BE583">
        <f>AM583+AU583+BD583</f>
        <v>0.8571428571428571</v>
      </c>
      <c r="BF583" t="s">
        <v>407</v>
      </c>
      <c r="BG583">
        <v>1</v>
      </c>
      <c r="BH583">
        <v>7</v>
      </c>
      <c r="BI583">
        <v>1</v>
      </c>
      <c r="BJ583" t="s">
        <v>49</v>
      </c>
      <c r="BK583">
        <v>5</v>
      </c>
      <c r="BL583">
        <v>1</v>
      </c>
      <c r="BM583">
        <v>1</v>
      </c>
      <c r="BN583" t="s">
        <v>30</v>
      </c>
      <c r="BO583">
        <v>1</v>
      </c>
      <c r="BP583">
        <v>84</v>
      </c>
      <c r="BQ583">
        <v>0.13</v>
      </c>
      <c r="BR583">
        <v>1</v>
      </c>
      <c r="BS583">
        <v>0.13</v>
      </c>
      <c r="BT583">
        <f>BS583+BD583+AU583+AM583</f>
        <v>0.9871428571428571</v>
      </c>
      <c r="BU583">
        <v>1</v>
      </c>
      <c r="BV583">
        <v>3</v>
      </c>
      <c r="BW583">
        <v>439.5</v>
      </c>
      <c r="BX583">
        <f>BW583/7</f>
        <v>62.785714285714285</v>
      </c>
      <c r="BY583">
        <f>0.77*BX583</f>
        <v>48.344999999999999</v>
      </c>
      <c r="BZ583">
        <f t="shared" si="9"/>
        <v>49.332142857142856</v>
      </c>
    </row>
    <row r="584" spans="1:78">
      <c r="A584" s="1">
        <v>45212.650839074078</v>
      </c>
      <c r="C584">
        <v>583</v>
      </c>
      <c r="D584" s="10">
        <v>31710</v>
      </c>
      <c r="E584">
        <v>36</v>
      </c>
      <c r="F584">
        <v>1</v>
      </c>
      <c r="G584">
        <v>10</v>
      </c>
      <c r="H584">
        <v>4</v>
      </c>
      <c r="I584" s="10">
        <v>43801</v>
      </c>
      <c r="J584">
        <v>2</v>
      </c>
      <c r="K584">
        <v>0</v>
      </c>
      <c r="L584">
        <v>1</v>
      </c>
      <c r="M584">
        <v>3980</v>
      </c>
      <c r="N584">
        <v>2</v>
      </c>
      <c r="O584" s="10">
        <v>43535</v>
      </c>
      <c r="P584">
        <v>0</v>
      </c>
      <c r="Q584">
        <v>38</v>
      </c>
      <c r="R584">
        <v>2</v>
      </c>
      <c r="S584">
        <v>60</v>
      </c>
      <c r="T584">
        <v>162</v>
      </c>
      <c r="U584">
        <v>77</v>
      </c>
      <c r="V584">
        <v>17</v>
      </c>
      <c r="W584">
        <v>3</v>
      </c>
      <c r="X584">
        <v>22.862368541380881</v>
      </c>
      <c r="Y584">
        <v>29.340039628105465</v>
      </c>
      <c r="Z584">
        <v>6.4776710867245839</v>
      </c>
      <c r="AA584">
        <v>2</v>
      </c>
      <c r="AB584">
        <v>3</v>
      </c>
      <c r="AC584" t="s">
        <v>33</v>
      </c>
      <c r="AD584">
        <v>3</v>
      </c>
      <c r="AE584">
        <v>0</v>
      </c>
      <c r="AG584">
        <v>5</v>
      </c>
      <c r="AH584">
        <v>1</v>
      </c>
      <c r="AI584">
        <v>13</v>
      </c>
      <c r="AJ584">
        <v>1</v>
      </c>
      <c r="AK584">
        <v>7</v>
      </c>
      <c r="AL584">
        <v>1</v>
      </c>
      <c r="AM584">
        <f>AJ584*AK584*AL584/7</f>
        <v>1</v>
      </c>
      <c r="AN584" t="s">
        <v>79</v>
      </c>
      <c r="AO584">
        <v>0</v>
      </c>
      <c r="AV584">
        <f>AU584+AM584</f>
        <v>1</v>
      </c>
      <c r="AW584" t="s">
        <v>128</v>
      </c>
      <c r="AX584">
        <v>1</v>
      </c>
      <c r="AY584" t="s">
        <v>128</v>
      </c>
      <c r="AZ584">
        <v>4</v>
      </c>
      <c r="BA584">
        <v>0.2</v>
      </c>
      <c r="BB584">
        <v>7</v>
      </c>
      <c r="BC584">
        <v>1</v>
      </c>
      <c r="BD584">
        <f>BA584*BB584*1/7</f>
        <v>0.2</v>
      </c>
      <c r="BE584">
        <f>AM584+AU584+BD584</f>
        <v>1.2</v>
      </c>
      <c r="BF584" t="s">
        <v>128</v>
      </c>
      <c r="BG584">
        <v>0</v>
      </c>
      <c r="BH584">
        <v>7</v>
      </c>
      <c r="BI584">
        <v>1</v>
      </c>
      <c r="BJ584" t="s">
        <v>49</v>
      </c>
      <c r="BK584">
        <v>5</v>
      </c>
      <c r="BL584">
        <v>1</v>
      </c>
      <c r="BM584">
        <v>1</v>
      </c>
      <c r="BN584" t="s">
        <v>37</v>
      </c>
      <c r="BO584">
        <v>4</v>
      </c>
      <c r="BP584">
        <v>110</v>
      </c>
      <c r="BQ584">
        <v>0.05</v>
      </c>
      <c r="BR584">
        <v>2</v>
      </c>
      <c r="BS584">
        <v>0.1</v>
      </c>
      <c r="BT584">
        <f>BS584+BD584+AU584+AM584</f>
        <v>1.3</v>
      </c>
      <c r="BU584">
        <v>1</v>
      </c>
      <c r="BV584">
        <v>1</v>
      </c>
      <c r="BW584">
        <v>146.5</v>
      </c>
      <c r="BX584">
        <f>BW584/7</f>
        <v>20.928571428571427</v>
      </c>
      <c r="BY584">
        <f>0.77*BX584</f>
        <v>16.114999999999998</v>
      </c>
      <c r="BZ584">
        <f t="shared" si="9"/>
        <v>17.414999999999999</v>
      </c>
    </row>
    <row r="585" spans="1:78">
      <c r="A585" s="1">
        <v>45212.654745347223</v>
      </c>
      <c r="C585">
        <v>584</v>
      </c>
      <c r="D585" s="10">
        <v>33372</v>
      </c>
      <c r="E585">
        <v>32</v>
      </c>
      <c r="F585">
        <v>1</v>
      </c>
      <c r="G585">
        <v>4</v>
      </c>
      <c r="H585">
        <v>5</v>
      </c>
      <c r="I585" s="10">
        <v>42915</v>
      </c>
      <c r="J585">
        <v>1</v>
      </c>
      <c r="K585">
        <v>1</v>
      </c>
      <c r="L585">
        <v>2</v>
      </c>
      <c r="M585">
        <v>2350</v>
      </c>
      <c r="N585">
        <v>1</v>
      </c>
      <c r="O585" s="10">
        <v>42656</v>
      </c>
      <c r="P585">
        <v>0</v>
      </c>
      <c r="Q585">
        <v>37</v>
      </c>
      <c r="R585">
        <v>2</v>
      </c>
      <c r="S585">
        <v>85</v>
      </c>
      <c r="T585">
        <v>160</v>
      </c>
      <c r="U585">
        <v>85</v>
      </c>
      <c r="V585">
        <v>0</v>
      </c>
      <c r="W585">
        <v>1</v>
      </c>
      <c r="X585">
        <v>33.203124999999993</v>
      </c>
      <c r="Y585">
        <v>33.203124999999993</v>
      </c>
      <c r="Z585">
        <v>0</v>
      </c>
      <c r="AA585">
        <v>4</v>
      </c>
      <c r="AB585">
        <v>4</v>
      </c>
      <c r="AC585" t="s">
        <v>25</v>
      </c>
      <c r="AD585">
        <v>1</v>
      </c>
      <c r="AE585">
        <v>0</v>
      </c>
      <c r="AG585">
        <v>5</v>
      </c>
      <c r="AH585">
        <v>1</v>
      </c>
      <c r="AI585">
        <v>2</v>
      </c>
      <c r="AJ585">
        <v>5</v>
      </c>
      <c r="AK585">
        <v>7</v>
      </c>
      <c r="AL585">
        <v>1</v>
      </c>
      <c r="AM585">
        <f>AJ585*AK585*AL585/7</f>
        <v>5</v>
      </c>
      <c r="AN585" t="s">
        <v>57</v>
      </c>
      <c r="AO585">
        <v>0</v>
      </c>
      <c r="AV585">
        <f>AU585+AM585</f>
        <v>5</v>
      </c>
      <c r="AX585">
        <v>0</v>
      </c>
      <c r="BE585">
        <f>AM585+AU585+BD585</f>
        <v>5</v>
      </c>
      <c r="BG585">
        <v>0</v>
      </c>
      <c r="BJ585" t="s">
        <v>42</v>
      </c>
      <c r="BK585">
        <v>6</v>
      </c>
      <c r="BL585">
        <v>1</v>
      </c>
      <c r="BM585">
        <v>1</v>
      </c>
      <c r="BN585" t="s">
        <v>30</v>
      </c>
      <c r="BO585">
        <v>1</v>
      </c>
      <c r="BP585">
        <v>168</v>
      </c>
      <c r="BQ585">
        <v>0.13</v>
      </c>
      <c r="BR585">
        <v>2</v>
      </c>
      <c r="BS585">
        <v>0.26</v>
      </c>
      <c r="BT585">
        <f>BS585+BD585+AU585+AM585</f>
        <v>5.26</v>
      </c>
      <c r="BU585">
        <v>1</v>
      </c>
      <c r="BV585">
        <v>0.5</v>
      </c>
      <c r="BW585">
        <v>73.25</v>
      </c>
      <c r="BX585">
        <f>BW585/7</f>
        <v>10.464285714285714</v>
      </c>
      <c r="BY585">
        <f>0.77*BX585</f>
        <v>8.0574999999999992</v>
      </c>
      <c r="BZ585">
        <f t="shared" si="9"/>
        <v>13.317499999999999</v>
      </c>
    </row>
    <row r="586" spans="1:78">
      <c r="A586" s="1">
        <v>45212.662548657405</v>
      </c>
      <c r="C586">
        <v>585</v>
      </c>
      <c r="D586" s="10">
        <v>33186</v>
      </c>
      <c r="E586">
        <v>32</v>
      </c>
      <c r="F586">
        <v>1</v>
      </c>
      <c r="G586">
        <v>1</v>
      </c>
      <c r="H586">
        <v>4</v>
      </c>
      <c r="I586" s="10">
        <v>44670</v>
      </c>
      <c r="J586">
        <v>1</v>
      </c>
      <c r="K586">
        <v>1</v>
      </c>
      <c r="L586">
        <v>1</v>
      </c>
      <c r="M586">
        <v>4150</v>
      </c>
      <c r="N586">
        <v>3</v>
      </c>
      <c r="O586" s="10">
        <v>44383</v>
      </c>
      <c r="P586">
        <v>1</v>
      </c>
      <c r="Q586">
        <v>41</v>
      </c>
      <c r="R586">
        <v>2</v>
      </c>
      <c r="S586">
        <v>54</v>
      </c>
      <c r="T586">
        <v>150</v>
      </c>
      <c r="U586">
        <v>65</v>
      </c>
      <c r="V586">
        <v>11</v>
      </c>
      <c r="W586">
        <v>1</v>
      </c>
      <c r="X586">
        <v>24</v>
      </c>
      <c r="Y586">
        <v>28.888888888888889</v>
      </c>
      <c r="Z586">
        <v>4.8888888888888893</v>
      </c>
      <c r="AA586">
        <v>2</v>
      </c>
      <c r="AB586">
        <v>3</v>
      </c>
      <c r="AC586" t="s">
        <v>33</v>
      </c>
      <c r="AD586">
        <v>3</v>
      </c>
      <c r="AE586">
        <v>0</v>
      </c>
      <c r="AG586">
        <v>5</v>
      </c>
      <c r="AH586">
        <v>1</v>
      </c>
      <c r="AI586">
        <v>4</v>
      </c>
      <c r="AJ586">
        <v>1</v>
      </c>
      <c r="AK586">
        <v>7</v>
      </c>
      <c r="AL586">
        <v>1</v>
      </c>
      <c r="AM586">
        <f>AJ586*AK586*AL586/7</f>
        <v>1</v>
      </c>
      <c r="AN586" t="s">
        <v>43</v>
      </c>
      <c r="AO586">
        <v>0</v>
      </c>
      <c r="AV586">
        <f>AU586+AM586</f>
        <v>1</v>
      </c>
      <c r="AX586">
        <v>0</v>
      </c>
      <c r="BE586">
        <f>AM586+AU586+BD586</f>
        <v>1</v>
      </c>
      <c r="BG586">
        <v>0</v>
      </c>
      <c r="BJ586" t="s">
        <v>42</v>
      </c>
      <c r="BK586">
        <v>6</v>
      </c>
      <c r="BL586">
        <v>1</v>
      </c>
      <c r="BM586">
        <v>1</v>
      </c>
      <c r="BN586" t="s">
        <v>30</v>
      </c>
      <c r="BO586">
        <v>1</v>
      </c>
      <c r="BP586">
        <v>168</v>
      </c>
      <c r="BQ586">
        <v>0.13</v>
      </c>
      <c r="BR586">
        <v>2</v>
      </c>
      <c r="BS586">
        <v>0.26</v>
      </c>
      <c r="BT586">
        <f>BS586+BD586+AU586+AM586</f>
        <v>1.26</v>
      </c>
      <c r="BU586">
        <v>1</v>
      </c>
      <c r="BV586">
        <v>2</v>
      </c>
      <c r="BW586">
        <v>293</v>
      </c>
      <c r="BX586">
        <f>BW586/7</f>
        <v>41.857142857142854</v>
      </c>
      <c r="BY586">
        <f>0.77*BX586</f>
        <v>32.229999999999997</v>
      </c>
      <c r="BZ586">
        <f t="shared" si="9"/>
        <v>33.489999999999995</v>
      </c>
    </row>
    <row r="587" spans="1:78">
      <c r="A587" s="1">
        <v>45212.663080092592</v>
      </c>
      <c r="C587">
        <v>586</v>
      </c>
      <c r="D587" s="10">
        <v>34330</v>
      </c>
      <c r="E587">
        <v>29</v>
      </c>
      <c r="F587">
        <v>1</v>
      </c>
      <c r="G587">
        <v>2</v>
      </c>
      <c r="H587">
        <v>4</v>
      </c>
      <c r="I587" s="10">
        <v>44469</v>
      </c>
      <c r="J587">
        <v>1</v>
      </c>
      <c r="K587">
        <v>1</v>
      </c>
      <c r="L587">
        <v>2</v>
      </c>
      <c r="M587">
        <v>3395</v>
      </c>
      <c r="N587">
        <v>2</v>
      </c>
      <c r="O587" s="10">
        <v>44182</v>
      </c>
      <c r="P587">
        <v>1</v>
      </c>
      <c r="Q587">
        <v>41</v>
      </c>
      <c r="R587">
        <v>2</v>
      </c>
      <c r="S587">
        <v>50.2</v>
      </c>
      <c r="T587">
        <v>159</v>
      </c>
      <c r="U587">
        <v>67</v>
      </c>
      <c r="V587">
        <v>16.799999999999997</v>
      </c>
      <c r="W587">
        <v>3</v>
      </c>
      <c r="X587">
        <v>19.856809461651043</v>
      </c>
      <c r="Y587">
        <v>26.502116213757365</v>
      </c>
      <c r="Z587">
        <v>6.6453067521063218</v>
      </c>
      <c r="AA587">
        <v>2</v>
      </c>
      <c r="AB587">
        <v>3</v>
      </c>
      <c r="AC587" t="s">
        <v>33</v>
      </c>
      <c r="AD587">
        <v>3</v>
      </c>
      <c r="AE587">
        <v>0</v>
      </c>
      <c r="AG587">
        <v>5</v>
      </c>
      <c r="AH587">
        <v>1</v>
      </c>
      <c r="AI587">
        <v>5</v>
      </c>
      <c r="AJ587">
        <v>5</v>
      </c>
      <c r="AK587">
        <v>7</v>
      </c>
      <c r="AL587">
        <v>1</v>
      </c>
      <c r="AM587">
        <f>AJ587*AK587*AL587/7</f>
        <v>5</v>
      </c>
      <c r="AN587" t="s">
        <v>27</v>
      </c>
      <c r="AO587">
        <v>0</v>
      </c>
      <c r="AV587">
        <f>AU587+AM587</f>
        <v>5</v>
      </c>
      <c r="AX587">
        <v>0</v>
      </c>
      <c r="BE587">
        <f>AM587+AU587+BD587</f>
        <v>5</v>
      </c>
      <c r="BG587">
        <v>0</v>
      </c>
      <c r="BJ587" t="s">
        <v>49</v>
      </c>
      <c r="BK587">
        <v>5</v>
      </c>
      <c r="BL587">
        <v>1</v>
      </c>
      <c r="BM587">
        <v>1</v>
      </c>
      <c r="BN587" t="s">
        <v>55</v>
      </c>
      <c r="BO587">
        <v>2</v>
      </c>
      <c r="BP587">
        <v>134</v>
      </c>
      <c r="BQ587">
        <v>0.1</v>
      </c>
      <c r="BR587">
        <v>2</v>
      </c>
      <c r="BS587">
        <v>0.2</v>
      </c>
      <c r="BT587">
        <f>BS587+BD587+AU587+AM587</f>
        <v>5.2</v>
      </c>
      <c r="BU587">
        <v>1</v>
      </c>
      <c r="BV587">
        <v>2</v>
      </c>
      <c r="BW587">
        <v>293</v>
      </c>
      <c r="BX587">
        <f>BW587/7</f>
        <v>41.857142857142854</v>
      </c>
      <c r="BY587">
        <f>0.77*BX587</f>
        <v>32.229999999999997</v>
      </c>
      <c r="BZ587">
        <f t="shared" si="9"/>
        <v>37.43</v>
      </c>
    </row>
    <row r="588" spans="1:78">
      <c r="A588" s="1">
        <v>45212.667099560189</v>
      </c>
      <c r="C588">
        <v>587</v>
      </c>
      <c r="D588" s="10">
        <v>35838</v>
      </c>
      <c r="E588">
        <v>25</v>
      </c>
      <c r="F588">
        <v>1</v>
      </c>
      <c r="G588">
        <v>1</v>
      </c>
      <c r="H588">
        <v>4</v>
      </c>
      <c r="I588" s="10">
        <v>45113</v>
      </c>
      <c r="J588">
        <v>1</v>
      </c>
      <c r="K588">
        <v>1</v>
      </c>
      <c r="L588">
        <v>2</v>
      </c>
      <c r="M588">
        <v>2920</v>
      </c>
      <c r="N588">
        <v>2</v>
      </c>
      <c r="O588" s="10">
        <v>44847</v>
      </c>
      <c r="P588">
        <v>0</v>
      </c>
      <c r="Q588">
        <v>38</v>
      </c>
      <c r="R588">
        <v>2</v>
      </c>
      <c r="S588">
        <v>42</v>
      </c>
      <c r="T588">
        <v>160</v>
      </c>
      <c r="U588">
        <v>60</v>
      </c>
      <c r="V588">
        <v>18</v>
      </c>
      <c r="W588">
        <v>2</v>
      </c>
      <c r="X588">
        <v>16.406249999999996</v>
      </c>
      <c r="Y588">
        <v>23.437499999999996</v>
      </c>
      <c r="Z588">
        <v>7.03125</v>
      </c>
      <c r="AA588">
        <v>1</v>
      </c>
      <c r="AB588">
        <v>2</v>
      </c>
      <c r="AC588" t="s">
        <v>123</v>
      </c>
      <c r="AD588">
        <v>2</v>
      </c>
      <c r="AE588">
        <v>0</v>
      </c>
      <c r="AG588">
        <v>5</v>
      </c>
      <c r="AH588">
        <v>1</v>
      </c>
      <c r="AI588">
        <v>13</v>
      </c>
      <c r="AJ588">
        <v>1</v>
      </c>
      <c r="AK588">
        <v>7</v>
      </c>
      <c r="AL588">
        <v>1</v>
      </c>
      <c r="AM588">
        <f>AJ588*AK588*AL588/7</f>
        <v>1</v>
      </c>
      <c r="AN588" t="s">
        <v>79</v>
      </c>
      <c r="AO588">
        <v>0</v>
      </c>
      <c r="AV588">
        <f>AU588+AM588</f>
        <v>1</v>
      </c>
      <c r="AX588">
        <v>0</v>
      </c>
      <c r="BE588">
        <f>AM588+AU588+BD588</f>
        <v>1</v>
      </c>
      <c r="BG588">
        <v>0</v>
      </c>
      <c r="BJ588" t="s">
        <v>49</v>
      </c>
      <c r="BK588">
        <v>5</v>
      </c>
      <c r="BL588">
        <v>1</v>
      </c>
      <c r="BM588">
        <v>1</v>
      </c>
      <c r="BN588" t="s">
        <v>30</v>
      </c>
      <c r="BO588">
        <v>1</v>
      </c>
      <c r="BP588">
        <v>168</v>
      </c>
      <c r="BQ588">
        <v>0.13</v>
      </c>
      <c r="BR588">
        <v>2</v>
      </c>
      <c r="BS588">
        <v>0.26</v>
      </c>
      <c r="BT588">
        <f>BS588+BD588+AU588+AM588</f>
        <v>1.26</v>
      </c>
      <c r="BU588">
        <v>1</v>
      </c>
      <c r="BV588">
        <v>5</v>
      </c>
      <c r="BW588">
        <v>732.5</v>
      </c>
      <c r="BX588">
        <f>BW588/7</f>
        <v>104.64285714285714</v>
      </c>
      <c r="BY588">
        <f>0.77*BX588</f>
        <v>80.575000000000003</v>
      </c>
      <c r="BZ588">
        <f t="shared" si="9"/>
        <v>81.835000000000008</v>
      </c>
    </row>
    <row r="589" spans="1:78">
      <c r="A589" s="1">
        <v>45212.674702488424</v>
      </c>
      <c r="C589">
        <v>588</v>
      </c>
      <c r="D589" s="10">
        <v>30286</v>
      </c>
      <c r="E589">
        <v>40</v>
      </c>
      <c r="F589">
        <v>1</v>
      </c>
      <c r="G589">
        <v>11</v>
      </c>
      <c r="H589">
        <v>5</v>
      </c>
      <c r="I589" s="10">
        <v>44053</v>
      </c>
      <c r="J589">
        <v>1</v>
      </c>
      <c r="K589">
        <v>1</v>
      </c>
      <c r="L589">
        <v>1</v>
      </c>
      <c r="M589">
        <v>3195</v>
      </c>
      <c r="N589">
        <v>2</v>
      </c>
      <c r="O589" s="10">
        <v>43780</v>
      </c>
      <c r="P589">
        <v>0</v>
      </c>
      <c r="Q589">
        <v>39</v>
      </c>
      <c r="R589">
        <v>2</v>
      </c>
      <c r="S589">
        <v>70</v>
      </c>
      <c r="T589">
        <v>149</v>
      </c>
      <c r="U589">
        <v>80</v>
      </c>
      <c r="V589">
        <v>10</v>
      </c>
      <c r="W589">
        <v>2</v>
      </c>
      <c r="X589">
        <v>31.530111256249718</v>
      </c>
      <c r="Y589">
        <v>36.034412864285393</v>
      </c>
      <c r="Z589">
        <v>4.504301608035675</v>
      </c>
      <c r="AA589">
        <v>4</v>
      </c>
      <c r="AB589">
        <v>4</v>
      </c>
      <c r="AC589" t="s">
        <v>33</v>
      </c>
      <c r="AD589">
        <v>3</v>
      </c>
      <c r="AE589">
        <v>0</v>
      </c>
      <c r="AG589">
        <v>5</v>
      </c>
      <c r="AH589">
        <v>1</v>
      </c>
      <c r="AI589">
        <v>5</v>
      </c>
      <c r="AJ589">
        <v>5</v>
      </c>
      <c r="AK589">
        <v>7</v>
      </c>
      <c r="AL589">
        <v>1</v>
      </c>
      <c r="AM589">
        <f>AJ589*AK589*AL589/7</f>
        <v>5</v>
      </c>
      <c r="AN589" t="s">
        <v>27</v>
      </c>
      <c r="AO589">
        <v>0</v>
      </c>
      <c r="AV589">
        <f>AU589+AM589</f>
        <v>5</v>
      </c>
      <c r="AX589">
        <v>0</v>
      </c>
      <c r="BE589">
        <f>AM589+AU589+BD589</f>
        <v>5</v>
      </c>
      <c r="BG589">
        <v>0</v>
      </c>
      <c r="BJ589" t="s">
        <v>36</v>
      </c>
      <c r="BK589">
        <v>4</v>
      </c>
      <c r="BL589">
        <v>1</v>
      </c>
      <c r="BM589">
        <v>1</v>
      </c>
      <c r="BN589" t="s">
        <v>55</v>
      </c>
      <c r="BO589">
        <v>2</v>
      </c>
      <c r="BP589">
        <v>134</v>
      </c>
      <c r="BQ589">
        <v>0.1</v>
      </c>
      <c r="BR589">
        <v>2</v>
      </c>
      <c r="BS589">
        <v>0.2</v>
      </c>
      <c r="BT589">
        <f>BS589+BD589+AU589+AM589</f>
        <v>5.2</v>
      </c>
      <c r="BU589">
        <v>1</v>
      </c>
      <c r="BV589">
        <v>1</v>
      </c>
      <c r="BW589">
        <v>146.5</v>
      </c>
      <c r="BX589">
        <f>BW589/7</f>
        <v>20.928571428571427</v>
      </c>
      <c r="BY589">
        <f>0.77*BX589</f>
        <v>16.114999999999998</v>
      </c>
      <c r="BZ589">
        <f t="shared" si="9"/>
        <v>21.314999999999998</v>
      </c>
    </row>
    <row r="590" spans="1:78">
      <c r="A590" s="1">
        <v>45212.702666689816</v>
      </c>
      <c r="C590">
        <v>589</v>
      </c>
      <c r="D590" s="10">
        <v>31264</v>
      </c>
      <c r="E590">
        <v>38</v>
      </c>
      <c r="F590">
        <v>1</v>
      </c>
      <c r="G590">
        <v>1</v>
      </c>
      <c r="H590">
        <v>4</v>
      </c>
      <c r="I590" s="10">
        <v>44733</v>
      </c>
      <c r="J590">
        <v>1</v>
      </c>
      <c r="K590">
        <v>1</v>
      </c>
      <c r="L590">
        <v>1</v>
      </c>
      <c r="M590">
        <v>3580</v>
      </c>
      <c r="N590">
        <v>2</v>
      </c>
      <c r="O590" s="10">
        <v>44460</v>
      </c>
      <c r="P590">
        <v>1</v>
      </c>
      <c r="Q590">
        <v>39</v>
      </c>
      <c r="R590">
        <v>2</v>
      </c>
      <c r="S590">
        <v>70</v>
      </c>
      <c r="T590">
        <v>150</v>
      </c>
      <c r="U590">
        <v>79</v>
      </c>
      <c r="V590">
        <v>9</v>
      </c>
      <c r="W590">
        <v>2</v>
      </c>
      <c r="X590">
        <v>31.111111111111111</v>
      </c>
      <c r="Y590">
        <v>35.111111111111114</v>
      </c>
      <c r="Z590">
        <v>4.0000000000000036</v>
      </c>
      <c r="AA590">
        <v>4</v>
      </c>
      <c r="AB590">
        <v>4</v>
      </c>
      <c r="AC590" t="s">
        <v>33</v>
      </c>
      <c r="AD590">
        <v>3</v>
      </c>
      <c r="AE590">
        <v>0</v>
      </c>
      <c r="AG590">
        <v>5</v>
      </c>
      <c r="AH590">
        <v>1</v>
      </c>
      <c r="AI590">
        <v>2</v>
      </c>
      <c r="AJ590">
        <v>5</v>
      </c>
      <c r="AK590">
        <v>7</v>
      </c>
      <c r="AL590">
        <v>1</v>
      </c>
      <c r="AM590">
        <f>AJ590*AK590*AL590/7</f>
        <v>5</v>
      </c>
      <c r="AN590" t="s">
        <v>57</v>
      </c>
      <c r="AO590">
        <v>0</v>
      </c>
      <c r="AV590">
        <f>AU590+AM590</f>
        <v>5</v>
      </c>
      <c r="AW590" t="s">
        <v>58</v>
      </c>
      <c r="AX590">
        <v>1</v>
      </c>
      <c r="AY590" t="s">
        <v>58</v>
      </c>
      <c r="AZ590">
        <v>1</v>
      </c>
      <c r="BA590">
        <v>0.8</v>
      </c>
      <c r="BB590">
        <v>7</v>
      </c>
      <c r="BC590">
        <v>1</v>
      </c>
      <c r="BD590">
        <f>BA590*BB590*1/7</f>
        <v>0.8</v>
      </c>
      <c r="BE590">
        <f>AM590+AU590+BD590</f>
        <v>5.8</v>
      </c>
      <c r="BF590" t="s">
        <v>58</v>
      </c>
      <c r="BG590">
        <v>0</v>
      </c>
      <c r="BH590">
        <v>7</v>
      </c>
      <c r="BI590">
        <v>1</v>
      </c>
      <c r="BJ590" t="s">
        <v>36</v>
      </c>
      <c r="BK590">
        <v>4</v>
      </c>
      <c r="BL590">
        <v>1</v>
      </c>
      <c r="BM590">
        <v>1</v>
      </c>
      <c r="BN590" t="s">
        <v>30</v>
      </c>
      <c r="BO590">
        <v>1</v>
      </c>
      <c r="BP590">
        <v>84</v>
      </c>
      <c r="BQ590">
        <v>0.13</v>
      </c>
      <c r="BR590">
        <v>1</v>
      </c>
      <c r="BS590">
        <v>0.13</v>
      </c>
      <c r="BT590">
        <f>BS590+BD590+AU590+AM590</f>
        <v>5.93</v>
      </c>
      <c r="BU590">
        <v>1</v>
      </c>
      <c r="BV590">
        <v>1</v>
      </c>
      <c r="BW590">
        <v>146.5</v>
      </c>
      <c r="BX590">
        <f>BW590/7</f>
        <v>20.928571428571427</v>
      </c>
      <c r="BY590">
        <f>0.77*BX590</f>
        <v>16.114999999999998</v>
      </c>
      <c r="BZ590">
        <f t="shared" si="9"/>
        <v>22.044999999999998</v>
      </c>
    </row>
    <row r="591" spans="1:78">
      <c r="A591" s="1">
        <v>45212.709279664356</v>
      </c>
      <c r="C591">
        <v>590</v>
      </c>
      <c r="D591" s="10">
        <v>35798</v>
      </c>
      <c r="E591">
        <v>25</v>
      </c>
      <c r="F591">
        <v>1</v>
      </c>
      <c r="G591">
        <v>2</v>
      </c>
      <c r="H591">
        <v>3</v>
      </c>
      <c r="I591" s="10">
        <v>44194</v>
      </c>
      <c r="J591">
        <v>1</v>
      </c>
      <c r="K591">
        <v>1</v>
      </c>
      <c r="L591">
        <v>1</v>
      </c>
      <c r="M591">
        <v>2570</v>
      </c>
      <c r="N591">
        <v>2</v>
      </c>
      <c r="O591" s="10">
        <v>43956</v>
      </c>
      <c r="P591">
        <v>1</v>
      </c>
      <c r="Q591">
        <v>34</v>
      </c>
      <c r="R591">
        <v>3</v>
      </c>
      <c r="S591">
        <v>82</v>
      </c>
      <c r="T591">
        <v>159</v>
      </c>
      <c r="U591">
        <v>96</v>
      </c>
      <c r="V591">
        <v>14</v>
      </c>
      <c r="W591">
        <v>3</v>
      </c>
      <c r="X591">
        <v>32.435425813852298</v>
      </c>
      <c r="Y591">
        <v>37.973181440607569</v>
      </c>
      <c r="Z591">
        <v>5.5377556267552706</v>
      </c>
      <c r="AA591">
        <v>4</v>
      </c>
      <c r="AB591">
        <v>4</v>
      </c>
      <c r="AC591" t="s">
        <v>44</v>
      </c>
      <c r="AD591">
        <v>1</v>
      </c>
      <c r="AE591">
        <v>0</v>
      </c>
      <c r="AG591">
        <v>5</v>
      </c>
      <c r="AH591">
        <v>1</v>
      </c>
      <c r="AI591">
        <v>13</v>
      </c>
      <c r="AJ591">
        <v>1</v>
      </c>
      <c r="AK591">
        <v>7</v>
      </c>
      <c r="AL591">
        <v>1</v>
      </c>
      <c r="AM591">
        <f>AJ591*AK591*AL591/7</f>
        <v>1</v>
      </c>
      <c r="AN591" t="s">
        <v>79</v>
      </c>
      <c r="AO591">
        <v>0</v>
      </c>
      <c r="AV591">
        <f>AU591+AM591</f>
        <v>1</v>
      </c>
      <c r="AW591" t="s">
        <v>408</v>
      </c>
      <c r="AX591">
        <v>0</v>
      </c>
      <c r="BE591">
        <f>AM591+AU591+BD591</f>
        <v>1</v>
      </c>
      <c r="BF591" t="s">
        <v>408</v>
      </c>
      <c r="BG591">
        <v>1</v>
      </c>
      <c r="BH591">
        <v>7</v>
      </c>
      <c r="BI591">
        <v>1</v>
      </c>
      <c r="BJ591" t="s">
        <v>49</v>
      </c>
      <c r="BK591">
        <v>5</v>
      </c>
      <c r="BL591">
        <v>1</v>
      </c>
      <c r="BM591">
        <v>1</v>
      </c>
      <c r="BN591" t="s">
        <v>30</v>
      </c>
      <c r="BO591">
        <v>1</v>
      </c>
      <c r="BP591">
        <v>84</v>
      </c>
      <c r="BQ591">
        <v>0.13</v>
      </c>
      <c r="BR591">
        <v>1</v>
      </c>
      <c r="BS591">
        <v>0.13</v>
      </c>
      <c r="BT591">
        <f>BS591+BD591+AU591+AM591</f>
        <v>1.1299999999999999</v>
      </c>
      <c r="BU591">
        <v>1</v>
      </c>
      <c r="BV591">
        <v>2</v>
      </c>
      <c r="BW591">
        <v>293</v>
      </c>
      <c r="BX591">
        <f>BW591/7</f>
        <v>41.857142857142854</v>
      </c>
      <c r="BY591">
        <f>0.77*BX591</f>
        <v>32.229999999999997</v>
      </c>
      <c r="BZ591">
        <f t="shared" si="9"/>
        <v>33.36</v>
      </c>
    </row>
    <row r="592" spans="1:78">
      <c r="A592" s="1">
        <v>45212.721774652775</v>
      </c>
      <c r="C592">
        <v>591</v>
      </c>
      <c r="D592" s="10">
        <v>33172</v>
      </c>
      <c r="E592">
        <v>32</v>
      </c>
      <c r="F592">
        <v>1</v>
      </c>
      <c r="G592">
        <v>1</v>
      </c>
      <c r="H592">
        <v>2</v>
      </c>
      <c r="I592" s="10">
        <v>42772</v>
      </c>
      <c r="J592">
        <v>2</v>
      </c>
      <c r="K592">
        <v>0</v>
      </c>
      <c r="L592">
        <v>1</v>
      </c>
      <c r="M592">
        <v>3350</v>
      </c>
      <c r="N592">
        <v>2</v>
      </c>
      <c r="O592" s="10">
        <v>42489</v>
      </c>
      <c r="P592">
        <v>0</v>
      </c>
      <c r="Q592">
        <v>40.428571428571431</v>
      </c>
      <c r="R592">
        <v>2</v>
      </c>
      <c r="S592">
        <v>68</v>
      </c>
      <c r="T592">
        <v>169</v>
      </c>
      <c r="U592">
        <v>80</v>
      </c>
      <c r="V592">
        <v>12</v>
      </c>
      <c r="W592">
        <v>2</v>
      </c>
      <c r="X592">
        <v>23.808690171912751</v>
      </c>
      <c r="Y592">
        <v>28.010223731662059</v>
      </c>
      <c r="Z592">
        <v>4.2015335597493078</v>
      </c>
      <c r="AA592">
        <v>2</v>
      </c>
      <c r="AB592">
        <v>3</v>
      </c>
      <c r="AC592" t="s">
        <v>33</v>
      </c>
      <c r="AD592">
        <v>3</v>
      </c>
      <c r="AE592">
        <v>0</v>
      </c>
      <c r="AG592">
        <v>5</v>
      </c>
      <c r="AH592">
        <v>1</v>
      </c>
      <c r="AI592">
        <v>13</v>
      </c>
      <c r="AJ592">
        <v>1</v>
      </c>
      <c r="AK592">
        <v>7</v>
      </c>
      <c r="AL592">
        <v>1</v>
      </c>
      <c r="AM592">
        <f>AJ592*AK592*AL592/7</f>
        <v>1</v>
      </c>
      <c r="AN592" t="s">
        <v>79</v>
      </c>
      <c r="AO592">
        <v>0</v>
      </c>
      <c r="AV592">
        <f>AU592+AM592</f>
        <v>1</v>
      </c>
      <c r="AX592">
        <v>0</v>
      </c>
      <c r="BE592">
        <f>AM592+AU592+BD592</f>
        <v>1</v>
      </c>
      <c r="BG592">
        <v>0</v>
      </c>
      <c r="BJ592" t="s">
        <v>42</v>
      </c>
      <c r="BK592">
        <v>6</v>
      </c>
      <c r="BL592">
        <v>4</v>
      </c>
      <c r="BM592">
        <v>1</v>
      </c>
      <c r="BN592" t="s">
        <v>30</v>
      </c>
      <c r="BO592">
        <v>1</v>
      </c>
      <c r="BP592">
        <v>84</v>
      </c>
      <c r="BQ592">
        <v>0.13</v>
      </c>
      <c r="BR592">
        <v>1</v>
      </c>
      <c r="BS592">
        <v>0.13</v>
      </c>
      <c r="BT592">
        <f>BS592+BD592+AU592+AM592</f>
        <v>1.1299999999999999</v>
      </c>
      <c r="BU592">
        <v>1</v>
      </c>
      <c r="BV592">
        <v>1</v>
      </c>
      <c r="BW592">
        <v>146.5</v>
      </c>
      <c r="BX592">
        <f>BW592/7</f>
        <v>20.928571428571427</v>
      </c>
      <c r="BY592">
        <f>0.77*BX592</f>
        <v>16.114999999999998</v>
      </c>
      <c r="BZ592">
        <f t="shared" si="9"/>
        <v>17.244999999999997</v>
      </c>
    </row>
    <row r="593" spans="1:78">
      <c r="A593" s="1">
        <v>45212.722448020839</v>
      </c>
      <c r="C593">
        <v>592</v>
      </c>
      <c r="D593" s="10">
        <v>33959</v>
      </c>
      <c r="E593">
        <v>30</v>
      </c>
      <c r="F593">
        <v>1</v>
      </c>
      <c r="G593">
        <v>9</v>
      </c>
      <c r="H593">
        <v>4</v>
      </c>
      <c r="I593" s="10">
        <v>44384</v>
      </c>
      <c r="J593">
        <v>1</v>
      </c>
      <c r="K593">
        <v>1</v>
      </c>
      <c r="L593">
        <v>2</v>
      </c>
      <c r="M593">
        <v>2890</v>
      </c>
      <c r="N593">
        <v>2</v>
      </c>
      <c r="O593" s="10">
        <v>44139</v>
      </c>
      <c r="P593">
        <v>1</v>
      </c>
      <c r="Q593">
        <v>35</v>
      </c>
      <c r="R593">
        <v>3</v>
      </c>
      <c r="S593">
        <v>68</v>
      </c>
      <c r="T593">
        <v>154</v>
      </c>
      <c r="U593">
        <v>76</v>
      </c>
      <c r="V593">
        <v>8</v>
      </c>
      <c r="W593">
        <v>2</v>
      </c>
      <c r="X593">
        <v>28.67262607522348</v>
      </c>
      <c r="Y593">
        <v>32.045876201720361</v>
      </c>
      <c r="Z593">
        <v>3.3732501264968811</v>
      </c>
      <c r="AA593">
        <v>3</v>
      </c>
      <c r="AB593">
        <v>4</v>
      </c>
      <c r="AC593" t="s">
        <v>25</v>
      </c>
      <c r="AD593">
        <v>1</v>
      </c>
      <c r="AE593">
        <v>0</v>
      </c>
      <c r="AG593">
        <v>5</v>
      </c>
      <c r="AH593">
        <v>1</v>
      </c>
      <c r="AI593">
        <v>4</v>
      </c>
      <c r="AJ593">
        <v>1</v>
      </c>
      <c r="AK593">
        <v>7</v>
      </c>
      <c r="AL593">
        <v>1</v>
      </c>
      <c r="AM593">
        <f>AJ593*AK593*AL593/7</f>
        <v>1</v>
      </c>
      <c r="AN593" t="s">
        <v>43</v>
      </c>
      <c r="AO593">
        <v>0</v>
      </c>
      <c r="AV593">
        <f>AU593+AM593</f>
        <v>1</v>
      </c>
      <c r="AX593">
        <v>0</v>
      </c>
      <c r="BE593">
        <f>AM593+AU593+BD593</f>
        <v>1</v>
      </c>
      <c r="BG593">
        <v>0</v>
      </c>
      <c r="BJ593" t="s">
        <v>49</v>
      </c>
      <c r="BK593">
        <v>5</v>
      </c>
      <c r="BL593">
        <v>1</v>
      </c>
      <c r="BM593">
        <v>1</v>
      </c>
      <c r="BN593" t="s">
        <v>55</v>
      </c>
      <c r="BO593">
        <v>2</v>
      </c>
      <c r="BP593">
        <v>134</v>
      </c>
      <c r="BQ593">
        <v>0.1</v>
      </c>
      <c r="BR593">
        <v>2</v>
      </c>
      <c r="BS593">
        <v>0.2</v>
      </c>
      <c r="BT593">
        <f>BS593+BD593+AU593+AM593</f>
        <v>1.2</v>
      </c>
      <c r="BU593">
        <v>1</v>
      </c>
      <c r="BV593">
        <v>1</v>
      </c>
      <c r="BW593">
        <v>146.5</v>
      </c>
      <c r="BX593">
        <f>BW593/7</f>
        <v>20.928571428571427</v>
      </c>
      <c r="BY593">
        <f>0.77*BX593</f>
        <v>16.114999999999998</v>
      </c>
      <c r="BZ593">
        <f t="shared" si="9"/>
        <v>17.314999999999998</v>
      </c>
    </row>
    <row r="594" spans="1:78">
      <c r="A594" s="1">
        <v>45212.729160636576</v>
      </c>
      <c r="C594">
        <v>593</v>
      </c>
      <c r="D594" s="10">
        <v>30313</v>
      </c>
      <c r="E594">
        <v>40</v>
      </c>
      <c r="F594">
        <v>1</v>
      </c>
      <c r="G594">
        <v>13</v>
      </c>
      <c r="H594">
        <v>5</v>
      </c>
      <c r="I594" s="10">
        <v>44489</v>
      </c>
      <c r="J594">
        <v>2</v>
      </c>
      <c r="K594">
        <v>0</v>
      </c>
      <c r="L594">
        <v>2</v>
      </c>
      <c r="M594">
        <v>2850</v>
      </c>
      <c r="N594">
        <v>2</v>
      </c>
      <c r="O594" s="10">
        <v>44251</v>
      </c>
      <c r="P594">
        <v>1</v>
      </c>
      <c r="Q594">
        <v>34</v>
      </c>
      <c r="R594">
        <v>3</v>
      </c>
      <c r="S594">
        <v>58</v>
      </c>
      <c r="T594">
        <v>152</v>
      </c>
      <c r="U594">
        <v>66</v>
      </c>
      <c r="V594">
        <v>8</v>
      </c>
      <c r="W594">
        <v>2</v>
      </c>
      <c r="X594">
        <v>25.103878116343491</v>
      </c>
      <c r="Y594">
        <v>28.566481994459835</v>
      </c>
      <c r="Z594">
        <v>3.4626038781163437</v>
      </c>
      <c r="AA594">
        <v>3</v>
      </c>
      <c r="AB594">
        <v>3</v>
      </c>
      <c r="AC594" t="s">
        <v>33</v>
      </c>
      <c r="AD594">
        <v>3</v>
      </c>
      <c r="AE594">
        <v>0</v>
      </c>
      <c r="AG594">
        <v>5</v>
      </c>
      <c r="AH594">
        <v>0</v>
      </c>
      <c r="AI594">
        <v>0</v>
      </c>
      <c r="AN594" t="s">
        <v>41</v>
      </c>
      <c r="AO594">
        <v>0</v>
      </c>
      <c r="AX594">
        <v>1</v>
      </c>
      <c r="AY594" t="s">
        <v>882</v>
      </c>
      <c r="AZ594">
        <v>1</v>
      </c>
      <c r="BA594">
        <v>0.8</v>
      </c>
      <c r="BB594">
        <v>7</v>
      </c>
      <c r="BC594">
        <v>1</v>
      </c>
      <c r="BD594">
        <f>BA594*BB594*1/7</f>
        <v>0.8</v>
      </c>
      <c r="BE594">
        <f>AM594+AU594+BD594</f>
        <v>0.8</v>
      </c>
      <c r="BF594" t="s">
        <v>882</v>
      </c>
      <c r="BG594">
        <v>0</v>
      </c>
      <c r="BH594">
        <v>7</v>
      </c>
      <c r="BI594">
        <v>1</v>
      </c>
      <c r="BJ594" t="s">
        <v>49</v>
      </c>
      <c r="BK594">
        <v>5</v>
      </c>
      <c r="BL594">
        <v>1</v>
      </c>
      <c r="BM594">
        <v>1</v>
      </c>
      <c r="BN594" t="s">
        <v>30</v>
      </c>
      <c r="BO594">
        <v>1</v>
      </c>
      <c r="BP594">
        <v>168</v>
      </c>
      <c r="BQ594">
        <v>0.13</v>
      </c>
      <c r="BR594">
        <v>2</v>
      </c>
      <c r="BS594">
        <v>0.26</v>
      </c>
      <c r="BT594">
        <f>BS594+BD594+AU594+AM594</f>
        <v>1.06</v>
      </c>
      <c r="BU594">
        <v>1</v>
      </c>
      <c r="BV594">
        <v>1</v>
      </c>
      <c r="BW594">
        <v>146.5</v>
      </c>
      <c r="BX594">
        <f>BW594/7</f>
        <v>20.928571428571427</v>
      </c>
      <c r="BY594">
        <f>0.77*BX594</f>
        <v>16.114999999999998</v>
      </c>
      <c r="BZ594">
        <f t="shared" si="9"/>
        <v>17.174999999999997</v>
      </c>
    </row>
    <row r="595" spans="1:78">
      <c r="A595" s="1">
        <v>45212.748620509257</v>
      </c>
      <c r="C595">
        <v>594</v>
      </c>
      <c r="D595" s="10">
        <v>31494</v>
      </c>
      <c r="E595">
        <v>37</v>
      </c>
      <c r="F595">
        <v>1</v>
      </c>
      <c r="G595">
        <v>10</v>
      </c>
      <c r="H595">
        <v>4</v>
      </c>
      <c r="I595" s="10">
        <v>44277</v>
      </c>
      <c r="J595">
        <v>2</v>
      </c>
      <c r="K595">
        <v>0</v>
      </c>
      <c r="L595">
        <v>1</v>
      </c>
      <c r="M595">
        <v>3405</v>
      </c>
      <c r="N595">
        <v>2</v>
      </c>
      <c r="O595" s="10">
        <v>44011</v>
      </c>
      <c r="P595">
        <v>1</v>
      </c>
      <c r="Q595">
        <v>38</v>
      </c>
      <c r="R595">
        <v>2</v>
      </c>
      <c r="S595">
        <v>80</v>
      </c>
      <c r="T595">
        <v>158</v>
      </c>
      <c r="U595">
        <v>90</v>
      </c>
      <c r="V595">
        <v>10</v>
      </c>
      <c r="W595">
        <v>2</v>
      </c>
      <c r="X595">
        <v>32.046146450889275</v>
      </c>
      <c r="Y595">
        <v>36.051914757250437</v>
      </c>
      <c r="Z595">
        <v>4.005768306361162</v>
      </c>
      <c r="AA595">
        <v>4</v>
      </c>
      <c r="AB595">
        <v>4</v>
      </c>
      <c r="AC595" t="s">
        <v>33</v>
      </c>
      <c r="AD595">
        <v>3</v>
      </c>
      <c r="AE595">
        <v>0</v>
      </c>
      <c r="AG595">
        <v>5</v>
      </c>
      <c r="AH595">
        <v>1</v>
      </c>
      <c r="AI595">
        <v>5</v>
      </c>
      <c r="AJ595">
        <v>5</v>
      </c>
      <c r="AK595">
        <v>7</v>
      </c>
      <c r="AL595">
        <v>1</v>
      </c>
      <c r="AM595">
        <f>AJ595*AK595*AL595/7</f>
        <v>5</v>
      </c>
      <c r="AN595" t="s">
        <v>27</v>
      </c>
      <c r="AO595">
        <v>0</v>
      </c>
      <c r="AV595">
        <f>AU595+AM595</f>
        <v>5</v>
      </c>
      <c r="AW595" t="s">
        <v>97</v>
      </c>
      <c r="AX595">
        <v>1</v>
      </c>
      <c r="AY595" t="s">
        <v>97</v>
      </c>
      <c r="AZ595">
        <v>11</v>
      </c>
      <c r="BA595">
        <v>0.2</v>
      </c>
      <c r="BB595">
        <v>7</v>
      </c>
      <c r="BC595">
        <v>1</v>
      </c>
      <c r="BD595">
        <f>BA595*BB595*1/7</f>
        <v>0.2</v>
      </c>
      <c r="BE595">
        <f>AM595+AU595+BD595</f>
        <v>5.2</v>
      </c>
      <c r="BF595" t="s">
        <v>97</v>
      </c>
      <c r="BG595">
        <v>0</v>
      </c>
      <c r="BH595">
        <v>7</v>
      </c>
      <c r="BI595">
        <v>1</v>
      </c>
      <c r="BJ595" t="s">
        <v>49</v>
      </c>
      <c r="BK595">
        <v>5</v>
      </c>
      <c r="BL595">
        <v>3</v>
      </c>
      <c r="BM595">
        <v>1</v>
      </c>
      <c r="BN595" t="s">
        <v>30</v>
      </c>
      <c r="BO595">
        <v>1</v>
      </c>
      <c r="BP595">
        <v>168</v>
      </c>
      <c r="BQ595">
        <v>0.13</v>
      </c>
      <c r="BR595">
        <v>2</v>
      </c>
      <c r="BS595">
        <v>0.26</v>
      </c>
      <c r="BT595">
        <f>BS595+BD595+AU595+AM595</f>
        <v>5.46</v>
      </c>
      <c r="BU595">
        <v>1</v>
      </c>
      <c r="BV595">
        <v>3</v>
      </c>
      <c r="BW595">
        <v>439.5</v>
      </c>
      <c r="BX595">
        <f>BW595/7</f>
        <v>62.785714285714285</v>
      </c>
      <c r="BY595">
        <f>0.77*BX595</f>
        <v>48.344999999999999</v>
      </c>
      <c r="BZ595">
        <f t="shared" si="9"/>
        <v>53.805</v>
      </c>
    </row>
    <row r="596" spans="1:78">
      <c r="A596" s="1">
        <v>45212.750988969907</v>
      </c>
      <c r="C596">
        <v>595</v>
      </c>
      <c r="D596" s="10">
        <v>34284</v>
      </c>
      <c r="E596">
        <v>29</v>
      </c>
      <c r="F596">
        <v>1</v>
      </c>
      <c r="G596">
        <v>4</v>
      </c>
      <c r="H596">
        <v>3</v>
      </c>
      <c r="I596" s="10">
        <v>44304</v>
      </c>
      <c r="J596">
        <v>1</v>
      </c>
      <c r="K596">
        <v>1</v>
      </c>
      <c r="L596">
        <v>2</v>
      </c>
      <c r="M596">
        <v>3440</v>
      </c>
      <c r="N596">
        <v>2</v>
      </c>
      <c r="O596" s="10">
        <v>44024</v>
      </c>
      <c r="P596">
        <v>1</v>
      </c>
      <c r="Q596">
        <v>40</v>
      </c>
      <c r="R596">
        <v>2</v>
      </c>
      <c r="S596">
        <v>73</v>
      </c>
      <c r="T596">
        <v>165</v>
      </c>
      <c r="U596">
        <v>79</v>
      </c>
      <c r="V596">
        <v>6</v>
      </c>
      <c r="W596">
        <v>1</v>
      </c>
      <c r="X596">
        <v>26.813590449954088</v>
      </c>
      <c r="Y596">
        <v>29.017447199265384</v>
      </c>
      <c r="Z596">
        <v>2.2038567493112957</v>
      </c>
      <c r="AA596">
        <v>3</v>
      </c>
      <c r="AB596">
        <v>3</v>
      </c>
      <c r="AC596" t="s">
        <v>106</v>
      </c>
      <c r="AD596">
        <v>2</v>
      </c>
      <c r="AE596">
        <v>0</v>
      </c>
      <c r="AG596">
        <v>5</v>
      </c>
      <c r="AH596">
        <v>0</v>
      </c>
      <c r="AI596">
        <v>0</v>
      </c>
      <c r="AN596" t="s">
        <v>71</v>
      </c>
      <c r="AO596">
        <v>0</v>
      </c>
      <c r="AW596" t="s">
        <v>71</v>
      </c>
      <c r="AX596">
        <v>1</v>
      </c>
      <c r="AY596" t="s">
        <v>71</v>
      </c>
      <c r="AZ596">
        <v>5</v>
      </c>
      <c r="BA596">
        <v>0.4</v>
      </c>
      <c r="BB596">
        <v>7</v>
      </c>
      <c r="BC596">
        <v>1</v>
      </c>
      <c r="BD596">
        <f>BA596*BB596*1/7</f>
        <v>0.4</v>
      </c>
      <c r="BE596">
        <f>AM596+AU596+BD596</f>
        <v>0.4</v>
      </c>
      <c r="BF596" t="s">
        <v>71</v>
      </c>
      <c r="BG596">
        <v>0</v>
      </c>
      <c r="BH596">
        <v>7</v>
      </c>
      <c r="BI596">
        <v>1</v>
      </c>
      <c r="BJ596" t="s">
        <v>42</v>
      </c>
      <c r="BK596">
        <v>6</v>
      </c>
      <c r="BL596">
        <v>1</v>
      </c>
      <c r="BM596">
        <v>1</v>
      </c>
      <c r="BN596" t="s">
        <v>55</v>
      </c>
      <c r="BO596">
        <v>2</v>
      </c>
      <c r="BP596">
        <v>134</v>
      </c>
      <c r="BQ596">
        <v>0.1</v>
      </c>
      <c r="BR596">
        <v>2</v>
      </c>
      <c r="BS596">
        <v>0.2</v>
      </c>
      <c r="BT596">
        <f>BS596+BD596+AU596+AM596</f>
        <v>0.60000000000000009</v>
      </c>
      <c r="BU596">
        <v>1</v>
      </c>
      <c r="BV596">
        <v>1</v>
      </c>
      <c r="BW596">
        <v>146.5</v>
      </c>
      <c r="BX596">
        <f>BW596/7</f>
        <v>20.928571428571427</v>
      </c>
      <c r="BY596">
        <f>0.77*BX596</f>
        <v>16.114999999999998</v>
      </c>
      <c r="BZ596">
        <f t="shared" si="9"/>
        <v>16.715</v>
      </c>
    </row>
    <row r="597" spans="1:78">
      <c r="A597" s="1">
        <v>45212.75324366898</v>
      </c>
      <c r="B597" t="s">
        <v>865</v>
      </c>
      <c r="C597">
        <v>596</v>
      </c>
      <c r="D597" s="10">
        <v>28894</v>
      </c>
      <c r="E597">
        <v>44</v>
      </c>
      <c r="F597">
        <v>1</v>
      </c>
      <c r="G597">
        <v>12</v>
      </c>
      <c r="H597">
        <v>4</v>
      </c>
      <c r="I597" s="10">
        <v>43535</v>
      </c>
      <c r="J597">
        <v>1</v>
      </c>
      <c r="K597">
        <v>1</v>
      </c>
      <c r="L597">
        <v>2</v>
      </c>
      <c r="M597">
        <v>3565</v>
      </c>
      <c r="N597">
        <v>2</v>
      </c>
      <c r="O597" s="10">
        <v>43269</v>
      </c>
      <c r="P597">
        <v>0</v>
      </c>
      <c r="Q597">
        <v>38</v>
      </c>
      <c r="R597">
        <v>2</v>
      </c>
      <c r="S597">
        <v>68</v>
      </c>
      <c r="T597">
        <v>154</v>
      </c>
      <c r="U597">
        <v>80</v>
      </c>
      <c r="V597">
        <v>12</v>
      </c>
      <c r="W597">
        <v>3</v>
      </c>
      <c r="X597">
        <v>28.67262607522348</v>
      </c>
      <c r="Y597">
        <v>33.732501264968796</v>
      </c>
      <c r="Z597">
        <v>5.0598751897453162</v>
      </c>
      <c r="AA597">
        <v>3</v>
      </c>
      <c r="AB597">
        <v>4</v>
      </c>
      <c r="AC597" t="s">
        <v>33</v>
      </c>
      <c r="AD597">
        <v>3</v>
      </c>
      <c r="AE597">
        <v>0</v>
      </c>
      <c r="AG597">
        <v>5</v>
      </c>
      <c r="AH597">
        <v>1</v>
      </c>
      <c r="AI597">
        <v>5</v>
      </c>
      <c r="AJ597">
        <v>5</v>
      </c>
      <c r="AK597">
        <v>7</v>
      </c>
      <c r="AL597">
        <v>1</v>
      </c>
      <c r="AM597">
        <f>AJ597*AK597*AL597/7</f>
        <v>5</v>
      </c>
      <c r="AN597" t="s">
        <v>27</v>
      </c>
      <c r="AO597">
        <v>0</v>
      </c>
      <c r="AV597">
        <f>AU597+AM597</f>
        <v>5</v>
      </c>
      <c r="AW597" t="s">
        <v>689</v>
      </c>
      <c r="AX597">
        <v>0</v>
      </c>
      <c r="AY597" t="s">
        <v>116</v>
      </c>
      <c r="BE597">
        <f>AM597+AU597+BD597</f>
        <v>5</v>
      </c>
      <c r="BF597" t="s">
        <v>116</v>
      </c>
      <c r="BG597">
        <v>1</v>
      </c>
      <c r="BH597">
        <v>7</v>
      </c>
      <c r="BI597">
        <v>1</v>
      </c>
      <c r="BJ597" t="s">
        <v>36</v>
      </c>
      <c r="BK597">
        <v>4</v>
      </c>
      <c r="BL597">
        <v>1</v>
      </c>
      <c r="BM597">
        <v>1</v>
      </c>
      <c r="BN597" t="s">
        <v>30</v>
      </c>
      <c r="BO597">
        <v>1</v>
      </c>
      <c r="BP597">
        <v>168</v>
      </c>
      <c r="BQ597">
        <v>0.13</v>
      </c>
      <c r="BR597">
        <v>2</v>
      </c>
      <c r="BS597">
        <v>0.26</v>
      </c>
      <c r="BT597">
        <f>BS597+BD597+AU597+AM597</f>
        <v>5.26</v>
      </c>
      <c r="BU597">
        <v>1</v>
      </c>
      <c r="BV597">
        <v>1</v>
      </c>
      <c r="BW597">
        <v>146.5</v>
      </c>
      <c r="BX597">
        <f>BW597/7</f>
        <v>20.928571428571427</v>
      </c>
      <c r="BY597">
        <f>0.77*BX597</f>
        <v>16.114999999999998</v>
      </c>
      <c r="BZ597">
        <f t="shared" si="9"/>
        <v>21.375</v>
      </c>
    </row>
    <row r="598" spans="1:78">
      <c r="A598" s="1">
        <v>45212.762168761576</v>
      </c>
      <c r="C598">
        <v>597</v>
      </c>
      <c r="D598" s="10">
        <v>32539</v>
      </c>
      <c r="E598">
        <v>34</v>
      </c>
      <c r="F598">
        <v>1</v>
      </c>
      <c r="G598">
        <v>10</v>
      </c>
      <c r="H598">
        <v>4</v>
      </c>
      <c r="I598" s="10">
        <v>44861</v>
      </c>
      <c r="J598">
        <v>2</v>
      </c>
      <c r="K598">
        <v>0</v>
      </c>
      <c r="L598">
        <v>2</v>
      </c>
      <c r="M598">
        <v>3470</v>
      </c>
      <c r="N598">
        <v>2</v>
      </c>
      <c r="O598" s="10">
        <v>44595</v>
      </c>
      <c r="P598">
        <v>0</v>
      </c>
      <c r="Q598">
        <v>38</v>
      </c>
      <c r="R598">
        <v>2</v>
      </c>
      <c r="S598">
        <v>55</v>
      </c>
      <c r="T598">
        <v>155</v>
      </c>
      <c r="U598">
        <v>66</v>
      </c>
      <c r="V598">
        <v>11</v>
      </c>
      <c r="W598">
        <v>1</v>
      </c>
      <c r="X598">
        <v>22.892819979188342</v>
      </c>
      <c r="Y598">
        <v>27.471383975026011</v>
      </c>
      <c r="Z598">
        <v>4.5785639958376692</v>
      </c>
      <c r="AA598">
        <v>2</v>
      </c>
      <c r="AB598">
        <v>3</v>
      </c>
      <c r="AC598" t="s">
        <v>33</v>
      </c>
      <c r="AD598">
        <v>3</v>
      </c>
      <c r="AE598">
        <v>0</v>
      </c>
      <c r="AG598">
        <v>5</v>
      </c>
      <c r="AH598">
        <v>1</v>
      </c>
      <c r="AI598">
        <v>4</v>
      </c>
      <c r="AJ598">
        <v>1</v>
      </c>
      <c r="AK598">
        <v>7</v>
      </c>
      <c r="AL598">
        <v>1</v>
      </c>
      <c r="AM598">
        <f>AJ598*AK598*AL598/7</f>
        <v>1</v>
      </c>
      <c r="AN598" t="s">
        <v>43</v>
      </c>
      <c r="AO598">
        <v>0</v>
      </c>
      <c r="AV598">
        <f>AU598+AM598</f>
        <v>1</v>
      </c>
      <c r="AW598" t="s">
        <v>409</v>
      </c>
      <c r="AX598">
        <v>1</v>
      </c>
      <c r="AY598" t="s">
        <v>409</v>
      </c>
      <c r="AZ598">
        <v>13</v>
      </c>
      <c r="BA598">
        <v>0.1</v>
      </c>
      <c r="BB598">
        <v>7</v>
      </c>
      <c r="BC598">
        <v>1</v>
      </c>
      <c r="BD598">
        <f>BA598*BB598*1/7</f>
        <v>0.1</v>
      </c>
      <c r="BE598">
        <f>AM598+AU598+BD598</f>
        <v>1.1000000000000001</v>
      </c>
      <c r="BF598" t="s">
        <v>409</v>
      </c>
      <c r="BG598">
        <v>0</v>
      </c>
      <c r="BH598">
        <v>7</v>
      </c>
      <c r="BI598">
        <v>1</v>
      </c>
      <c r="BJ598" t="s">
        <v>49</v>
      </c>
      <c r="BK598">
        <v>5</v>
      </c>
      <c r="BL598">
        <v>1</v>
      </c>
      <c r="BM598">
        <v>1</v>
      </c>
      <c r="BN598" t="s">
        <v>55</v>
      </c>
      <c r="BO598">
        <v>2</v>
      </c>
      <c r="BP598">
        <v>134</v>
      </c>
      <c r="BQ598">
        <v>0.1</v>
      </c>
      <c r="BR598">
        <v>2</v>
      </c>
      <c r="BS598">
        <v>0.2</v>
      </c>
      <c r="BT598">
        <f>BS598+BD598+AU598+AM598</f>
        <v>1.3</v>
      </c>
      <c r="BU598">
        <v>1</v>
      </c>
      <c r="BV598">
        <v>1</v>
      </c>
      <c r="BW598">
        <v>146.5</v>
      </c>
      <c r="BX598">
        <f>BW598/7</f>
        <v>20.928571428571427</v>
      </c>
      <c r="BY598">
        <f>0.77*BX598</f>
        <v>16.114999999999998</v>
      </c>
      <c r="BZ598">
        <f t="shared" si="9"/>
        <v>17.414999999999999</v>
      </c>
    </row>
    <row r="599" spans="1:78">
      <c r="A599" s="1">
        <v>45212.773088831018</v>
      </c>
      <c r="B599" t="s">
        <v>867</v>
      </c>
      <c r="C599">
        <v>598</v>
      </c>
      <c r="D599" s="10">
        <v>33161</v>
      </c>
      <c r="E599">
        <v>32</v>
      </c>
      <c r="F599">
        <v>1</v>
      </c>
      <c r="G599">
        <v>1</v>
      </c>
      <c r="H599">
        <v>4</v>
      </c>
      <c r="I599" s="10">
        <v>43122</v>
      </c>
      <c r="J599">
        <v>1</v>
      </c>
      <c r="K599">
        <v>1</v>
      </c>
      <c r="L599">
        <v>1</v>
      </c>
      <c r="M599">
        <v>3135</v>
      </c>
      <c r="N599">
        <v>2</v>
      </c>
      <c r="O599" s="10">
        <v>42849</v>
      </c>
      <c r="P599">
        <v>0</v>
      </c>
      <c r="Q599">
        <v>39</v>
      </c>
      <c r="R599">
        <v>2</v>
      </c>
      <c r="S599" t="s">
        <v>316</v>
      </c>
      <c r="T599">
        <v>163</v>
      </c>
      <c r="U599" t="s">
        <v>316</v>
      </c>
      <c r="V599" t="e">
        <v>#VALUE!</v>
      </c>
      <c r="W599" t="s">
        <v>1015</v>
      </c>
      <c r="X599" t="s">
        <v>657</v>
      </c>
      <c r="Y599" t="s">
        <v>657</v>
      </c>
      <c r="Z599" t="e">
        <v>#VALUE!</v>
      </c>
      <c r="AA599" t="e">
        <v>#VALUE!</v>
      </c>
      <c r="AB599" t="e">
        <v>#VALUE!</v>
      </c>
      <c r="AC599" t="s">
        <v>33</v>
      </c>
      <c r="AD599">
        <v>3</v>
      </c>
      <c r="AE599">
        <v>0</v>
      </c>
      <c r="AG599">
        <v>5</v>
      </c>
      <c r="AH599">
        <v>1</v>
      </c>
      <c r="AI599">
        <v>6</v>
      </c>
      <c r="AJ599">
        <v>1</v>
      </c>
      <c r="AK599">
        <v>7</v>
      </c>
      <c r="AL599">
        <v>1</v>
      </c>
      <c r="AM599">
        <f>AJ599*AK599*AL599/7</f>
        <v>1</v>
      </c>
      <c r="AN599" t="s">
        <v>373</v>
      </c>
      <c r="AO599">
        <v>0</v>
      </c>
      <c r="AV599">
        <f>AU599+AM599</f>
        <v>1</v>
      </c>
      <c r="AW599" t="s">
        <v>803</v>
      </c>
      <c r="AX599">
        <v>0</v>
      </c>
      <c r="BE599">
        <f>AM599+AU599+BD599</f>
        <v>1</v>
      </c>
      <c r="BF599" t="s">
        <v>803</v>
      </c>
      <c r="BG599">
        <v>1</v>
      </c>
      <c r="BH599">
        <v>7</v>
      </c>
      <c r="BI599">
        <v>1</v>
      </c>
      <c r="BJ599" t="s">
        <v>49</v>
      </c>
      <c r="BK599">
        <v>5</v>
      </c>
      <c r="BL599">
        <v>1</v>
      </c>
      <c r="BM599">
        <v>1</v>
      </c>
      <c r="BN599" t="s">
        <v>55</v>
      </c>
      <c r="BO599">
        <v>2</v>
      </c>
      <c r="BP599">
        <v>134</v>
      </c>
      <c r="BQ599">
        <v>0.1</v>
      </c>
      <c r="BR599">
        <v>2</v>
      </c>
      <c r="BS599">
        <v>0.2</v>
      </c>
      <c r="BT599">
        <f>BS599+BD599+AU599+AM599</f>
        <v>1.2</v>
      </c>
      <c r="BU599">
        <v>1</v>
      </c>
      <c r="BV599">
        <v>3</v>
      </c>
      <c r="BW599">
        <v>439.5</v>
      </c>
      <c r="BX599">
        <f>BW599/7</f>
        <v>62.785714285714285</v>
      </c>
      <c r="BY599">
        <f>0.77*BX599</f>
        <v>48.344999999999999</v>
      </c>
      <c r="BZ599">
        <f t="shared" si="9"/>
        <v>49.545000000000002</v>
      </c>
    </row>
    <row r="600" spans="1:78">
      <c r="A600" s="1">
        <v>45212.775519745366</v>
      </c>
      <c r="C600">
        <v>599</v>
      </c>
      <c r="D600" s="10">
        <v>34586</v>
      </c>
      <c r="E600">
        <v>28</v>
      </c>
      <c r="F600">
        <v>1</v>
      </c>
      <c r="G600">
        <v>12</v>
      </c>
      <c r="H600">
        <v>4</v>
      </c>
      <c r="I600" s="10">
        <v>44621</v>
      </c>
      <c r="J600">
        <v>1</v>
      </c>
      <c r="K600">
        <v>1</v>
      </c>
      <c r="L600">
        <v>1</v>
      </c>
      <c r="M600">
        <v>2750</v>
      </c>
      <c r="N600">
        <v>2</v>
      </c>
      <c r="O600" s="10">
        <v>44374</v>
      </c>
      <c r="P600">
        <v>1</v>
      </c>
      <c r="Q600">
        <v>35.285714285714285</v>
      </c>
      <c r="R600">
        <v>3</v>
      </c>
      <c r="S600">
        <v>63</v>
      </c>
      <c r="T600">
        <v>162</v>
      </c>
      <c r="U600">
        <v>73</v>
      </c>
      <c r="V600">
        <v>10</v>
      </c>
      <c r="W600">
        <v>1</v>
      </c>
      <c r="X600">
        <v>24.005486968449926</v>
      </c>
      <c r="Y600">
        <v>27.815881725346742</v>
      </c>
      <c r="Z600">
        <v>3.8103947568968159</v>
      </c>
      <c r="AA600">
        <v>2</v>
      </c>
      <c r="AB600">
        <v>3</v>
      </c>
      <c r="AC600" t="s">
        <v>33</v>
      </c>
      <c r="AD600">
        <v>3</v>
      </c>
      <c r="AE600">
        <v>0</v>
      </c>
      <c r="AG600">
        <v>5</v>
      </c>
      <c r="AH600">
        <v>1</v>
      </c>
      <c r="AI600">
        <v>5</v>
      </c>
      <c r="AJ600">
        <v>5</v>
      </c>
      <c r="AK600">
        <v>7</v>
      </c>
      <c r="AL600">
        <v>1</v>
      </c>
      <c r="AM600">
        <f>AJ600*AK600*AL600/7</f>
        <v>5</v>
      </c>
      <c r="AN600" t="s">
        <v>27</v>
      </c>
      <c r="AO600">
        <v>0</v>
      </c>
      <c r="AV600">
        <f>AU600+AM600</f>
        <v>5</v>
      </c>
      <c r="AW600" t="s">
        <v>410</v>
      </c>
      <c r="AX600">
        <v>0</v>
      </c>
      <c r="BE600">
        <f>AM600+AU600+BD600</f>
        <v>5</v>
      </c>
      <c r="BF600" t="s">
        <v>410</v>
      </c>
      <c r="BG600">
        <v>1</v>
      </c>
      <c r="BH600">
        <v>7</v>
      </c>
      <c r="BI600">
        <v>1</v>
      </c>
      <c r="BJ600" t="s">
        <v>28</v>
      </c>
      <c r="BK600">
        <v>3</v>
      </c>
      <c r="BL600">
        <v>3</v>
      </c>
      <c r="BM600">
        <v>1</v>
      </c>
      <c r="BN600" t="s">
        <v>30</v>
      </c>
      <c r="BO600">
        <v>1</v>
      </c>
      <c r="BP600">
        <v>84</v>
      </c>
      <c r="BQ600">
        <v>0.13</v>
      </c>
      <c r="BR600">
        <v>1</v>
      </c>
      <c r="BS600">
        <v>0.13</v>
      </c>
      <c r="BT600">
        <f>BS600+BD600+AU600+AM600</f>
        <v>5.13</v>
      </c>
      <c r="BU600">
        <v>1</v>
      </c>
      <c r="BV600">
        <v>0.5</v>
      </c>
      <c r="BW600">
        <v>73.25</v>
      </c>
      <c r="BX600">
        <f>BW600/7</f>
        <v>10.464285714285714</v>
      </c>
      <c r="BY600">
        <f>0.77*BX600</f>
        <v>8.0574999999999992</v>
      </c>
      <c r="BZ600">
        <f t="shared" si="9"/>
        <v>13.1875</v>
      </c>
    </row>
    <row r="601" spans="1:78">
      <c r="A601" s="1">
        <v>45212.787411967598</v>
      </c>
      <c r="C601">
        <v>600</v>
      </c>
      <c r="D601" s="10">
        <v>31387</v>
      </c>
      <c r="E601">
        <v>37</v>
      </c>
      <c r="F601">
        <v>1</v>
      </c>
      <c r="G601">
        <v>5</v>
      </c>
      <c r="H601">
        <v>5</v>
      </c>
      <c r="I601" s="10">
        <v>43901</v>
      </c>
      <c r="J601">
        <v>1</v>
      </c>
      <c r="K601">
        <v>1</v>
      </c>
      <c r="L601">
        <v>1</v>
      </c>
      <c r="M601">
        <v>2979</v>
      </c>
      <c r="N601">
        <v>2</v>
      </c>
      <c r="O601" s="10">
        <v>43629</v>
      </c>
      <c r="P601">
        <v>0</v>
      </c>
      <c r="Q601">
        <v>38.857142857142854</v>
      </c>
      <c r="R601">
        <v>2</v>
      </c>
      <c r="S601">
        <v>72</v>
      </c>
      <c r="T601">
        <v>165</v>
      </c>
      <c r="U601">
        <v>82</v>
      </c>
      <c r="V601">
        <v>10</v>
      </c>
      <c r="W601">
        <v>2</v>
      </c>
      <c r="X601">
        <v>26.446280991735541</v>
      </c>
      <c r="Y601">
        <v>30.119375573921033</v>
      </c>
      <c r="Z601">
        <v>3.6730945821854917</v>
      </c>
      <c r="AA601">
        <v>3</v>
      </c>
      <c r="AB601">
        <v>4</v>
      </c>
      <c r="AC601" t="s">
        <v>33</v>
      </c>
      <c r="AD601">
        <v>3</v>
      </c>
      <c r="AE601">
        <v>1</v>
      </c>
      <c r="AF601" t="s">
        <v>412</v>
      </c>
      <c r="AG601">
        <v>1</v>
      </c>
      <c r="AH601">
        <v>1</v>
      </c>
      <c r="AI601">
        <v>13</v>
      </c>
      <c r="AJ601">
        <v>1</v>
      </c>
      <c r="AK601">
        <v>7</v>
      </c>
      <c r="AL601">
        <v>1</v>
      </c>
      <c r="AM601">
        <f>AJ601*AK601*AL601/7</f>
        <v>1</v>
      </c>
      <c r="AN601" t="s">
        <v>79</v>
      </c>
      <c r="AO601">
        <v>0</v>
      </c>
      <c r="AV601">
        <f>AU601+AM601</f>
        <v>1</v>
      </c>
      <c r="AW601" t="s">
        <v>245</v>
      </c>
      <c r="AX601">
        <v>0</v>
      </c>
      <c r="BE601">
        <f>AM601+AU601+BD601</f>
        <v>1</v>
      </c>
      <c r="BF601" t="s">
        <v>245</v>
      </c>
      <c r="BG601">
        <v>1</v>
      </c>
      <c r="BH601">
        <v>1</v>
      </c>
      <c r="BI601">
        <v>1</v>
      </c>
      <c r="BJ601" t="s">
        <v>28</v>
      </c>
      <c r="BK601">
        <v>3</v>
      </c>
      <c r="BL601">
        <v>1</v>
      </c>
      <c r="BM601">
        <v>1</v>
      </c>
      <c r="BN601" t="s">
        <v>30</v>
      </c>
      <c r="BO601">
        <v>1</v>
      </c>
      <c r="BP601">
        <v>168</v>
      </c>
      <c r="BQ601">
        <v>0.13</v>
      </c>
      <c r="BR601">
        <v>2</v>
      </c>
      <c r="BS601">
        <v>0.26</v>
      </c>
      <c r="BT601">
        <f>BS601+BD601+AU601+AM601</f>
        <v>1.26</v>
      </c>
      <c r="BU601">
        <v>1</v>
      </c>
      <c r="BV601">
        <v>1</v>
      </c>
      <c r="BW601">
        <v>146.5</v>
      </c>
      <c r="BX601">
        <f>BW601/7</f>
        <v>20.928571428571427</v>
      </c>
      <c r="BY601">
        <f>0.77*BX601</f>
        <v>16.114999999999998</v>
      </c>
      <c r="BZ601">
        <f t="shared" si="9"/>
        <v>17.375</v>
      </c>
    </row>
    <row r="602" spans="1:78">
      <c r="A602" s="1">
        <v>45212.817766168984</v>
      </c>
      <c r="C602">
        <v>601</v>
      </c>
      <c r="D602" s="10">
        <v>33708</v>
      </c>
      <c r="E602">
        <v>31</v>
      </c>
      <c r="F602">
        <v>1</v>
      </c>
      <c r="G602">
        <v>14</v>
      </c>
      <c r="H602">
        <v>4</v>
      </c>
      <c r="I602" s="10">
        <v>43807</v>
      </c>
      <c r="J602">
        <v>1</v>
      </c>
      <c r="K602">
        <v>1</v>
      </c>
      <c r="L602">
        <v>1</v>
      </c>
      <c r="M602">
        <v>2560</v>
      </c>
      <c r="N602">
        <v>2</v>
      </c>
      <c r="O602" s="10">
        <v>43569</v>
      </c>
      <c r="P602">
        <v>0</v>
      </c>
      <c r="Q602">
        <v>34</v>
      </c>
      <c r="R602">
        <v>3</v>
      </c>
      <c r="S602">
        <v>48</v>
      </c>
      <c r="T602">
        <v>156</v>
      </c>
      <c r="U602">
        <v>64</v>
      </c>
      <c r="V602">
        <v>16</v>
      </c>
      <c r="W602">
        <v>2</v>
      </c>
      <c r="X602">
        <v>19.723865877712029</v>
      </c>
      <c r="Y602">
        <v>26.298487836949374</v>
      </c>
      <c r="Z602">
        <v>6.5746219592373443</v>
      </c>
      <c r="AA602">
        <v>2</v>
      </c>
      <c r="AB602">
        <v>3</v>
      </c>
      <c r="AC602" t="s">
        <v>33</v>
      </c>
      <c r="AD602">
        <v>3</v>
      </c>
      <c r="AE602">
        <v>0</v>
      </c>
      <c r="AG602">
        <v>5</v>
      </c>
      <c r="AH602">
        <v>1</v>
      </c>
      <c r="AI602">
        <v>13</v>
      </c>
      <c r="AJ602">
        <v>1</v>
      </c>
      <c r="AK602">
        <v>7</v>
      </c>
      <c r="AL602">
        <v>1</v>
      </c>
      <c r="AM602">
        <f>AJ602*AK602*AL602/7</f>
        <v>1</v>
      </c>
      <c r="AN602" t="s">
        <v>79</v>
      </c>
      <c r="AO602">
        <v>0</v>
      </c>
      <c r="AV602">
        <f>AU602+AM602</f>
        <v>1</v>
      </c>
      <c r="AX602">
        <v>0</v>
      </c>
      <c r="BE602">
        <f>AM602+AU602+BD602</f>
        <v>1</v>
      </c>
      <c r="BG602">
        <v>0</v>
      </c>
      <c r="BJ602" t="s">
        <v>28</v>
      </c>
      <c r="BK602">
        <v>3</v>
      </c>
      <c r="BL602">
        <v>1</v>
      </c>
      <c r="BM602">
        <v>1</v>
      </c>
      <c r="BN602" t="s">
        <v>30</v>
      </c>
      <c r="BO602">
        <v>1</v>
      </c>
      <c r="BP602">
        <v>168</v>
      </c>
      <c r="BQ602">
        <v>0.13</v>
      </c>
      <c r="BR602">
        <v>2</v>
      </c>
      <c r="BS602">
        <v>0.26</v>
      </c>
      <c r="BT602">
        <f>BS602+BD602+AU602+AM602</f>
        <v>1.26</v>
      </c>
      <c r="BU602">
        <v>1</v>
      </c>
      <c r="BV602">
        <v>4</v>
      </c>
      <c r="BW602">
        <v>586</v>
      </c>
      <c r="BX602">
        <f>BW602/7</f>
        <v>83.714285714285708</v>
      </c>
      <c r="BY602">
        <f>0.77*BX602</f>
        <v>64.459999999999994</v>
      </c>
      <c r="BZ602">
        <f t="shared" si="9"/>
        <v>65.72</v>
      </c>
    </row>
    <row r="603" spans="1:78">
      <c r="A603" s="1">
        <v>45212.826452013891</v>
      </c>
      <c r="C603">
        <v>602</v>
      </c>
      <c r="D603" s="10">
        <v>32129</v>
      </c>
      <c r="E603">
        <v>35</v>
      </c>
      <c r="F603">
        <v>1</v>
      </c>
      <c r="G603">
        <v>9</v>
      </c>
      <c r="H603">
        <v>2</v>
      </c>
      <c r="I603" s="10">
        <v>44834</v>
      </c>
      <c r="J603">
        <v>3</v>
      </c>
      <c r="K603">
        <v>0</v>
      </c>
      <c r="L603">
        <v>2</v>
      </c>
      <c r="M603">
        <v>3380</v>
      </c>
      <c r="N603">
        <v>2</v>
      </c>
      <c r="O603" s="10">
        <v>44568</v>
      </c>
      <c r="P603">
        <v>0</v>
      </c>
      <c r="Q603">
        <v>38</v>
      </c>
      <c r="R603">
        <v>2</v>
      </c>
      <c r="S603">
        <v>68</v>
      </c>
      <c r="T603">
        <v>154</v>
      </c>
      <c r="U603">
        <v>75</v>
      </c>
      <c r="V603">
        <v>7</v>
      </c>
      <c r="W603">
        <v>2</v>
      </c>
      <c r="X603">
        <v>28.67262607522348</v>
      </c>
      <c r="Y603">
        <v>31.624219935908247</v>
      </c>
      <c r="Z603">
        <v>2.9515938606847669</v>
      </c>
      <c r="AA603">
        <v>3</v>
      </c>
      <c r="AB603">
        <v>4</v>
      </c>
      <c r="AC603" t="s">
        <v>33</v>
      </c>
      <c r="AD603">
        <v>3</v>
      </c>
      <c r="AE603">
        <v>0</v>
      </c>
      <c r="AG603">
        <v>5</v>
      </c>
      <c r="AH603">
        <v>1</v>
      </c>
      <c r="AI603">
        <v>2</v>
      </c>
      <c r="AJ603">
        <v>5</v>
      </c>
      <c r="AK603">
        <v>7</v>
      </c>
      <c r="AL603">
        <v>1</v>
      </c>
      <c r="AM603">
        <f>AJ603*AK603*AL603/7</f>
        <v>5</v>
      </c>
      <c r="AN603" t="s">
        <v>57</v>
      </c>
      <c r="AO603">
        <v>0</v>
      </c>
      <c r="AV603">
        <f>AU603+AM603</f>
        <v>5</v>
      </c>
      <c r="AX603">
        <v>0</v>
      </c>
      <c r="BE603">
        <f>AM603+AU603+BD603</f>
        <v>5</v>
      </c>
      <c r="BG603">
        <v>0</v>
      </c>
      <c r="BJ603" t="s">
        <v>49</v>
      </c>
      <c r="BK603">
        <v>5</v>
      </c>
      <c r="BL603">
        <v>1</v>
      </c>
      <c r="BM603">
        <v>1</v>
      </c>
      <c r="BN603" t="s">
        <v>30</v>
      </c>
      <c r="BO603">
        <v>1</v>
      </c>
      <c r="BP603">
        <v>84</v>
      </c>
      <c r="BQ603">
        <v>0.13</v>
      </c>
      <c r="BR603">
        <v>1</v>
      </c>
      <c r="BS603">
        <v>0.13</v>
      </c>
      <c r="BT603">
        <f>BS603+BD603+AU603+AM603</f>
        <v>5.13</v>
      </c>
      <c r="BU603">
        <v>1</v>
      </c>
      <c r="BV603">
        <v>1</v>
      </c>
      <c r="BW603">
        <v>146.5</v>
      </c>
      <c r="BX603">
        <f>BW603/7</f>
        <v>20.928571428571427</v>
      </c>
      <c r="BY603">
        <f>0.77*BX603</f>
        <v>16.114999999999998</v>
      </c>
      <c r="BZ603">
        <f t="shared" si="9"/>
        <v>21.244999999999997</v>
      </c>
    </row>
    <row r="604" spans="1:78">
      <c r="A604" s="1">
        <v>45212.830445115746</v>
      </c>
      <c r="C604">
        <v>603</v>
      </c>
      <c r="D604" s="10">
        <v>31631</v>
      </c>
      <c r="E604">
        <v>37</v>
      </c>
      <c r="F604">
        <v>1</v>
      </c>
      <c r="G604">
        <v>1</v>
      </c>
      <c r="H604">
        <v>4</v>
      </c>
      <c r="I604" s="10">
        <v>43188</v>
      </c>
      <c r="J604">
        <v>1</v>
      </c>
      <c r="K604">
        <v>1</v>
      </c>
      <c r="L604">
        <v>2</v>
      </c>
      <c r="M604">
        <v>3310</v>
      </c>
      <c r="N604">
        <v>2</v>
      </c>
      <c r="O604" s="10">
        <v>42922</v>
      </c>
      <c r="P604">
        <v>0</v>
      </c>
      <c r="Q604">
        <v>38</v>
      </c>
      <c r="R604">
        <v>2</v>
      </c>
      <c r="S604">
        <v>72</v>
      </c>
      <c r="T604">
        <v>163</v>
      </c>
      <c r="U604">
        <v>92</v>
      </c>
      <c r="V604">
        <v>20</v>
      </c>
      <c r="W604">
        <v>3</v>
      </c>
      <c r="X604">
        <v>27.099251006812452</v>
      </c>
      <c r="Y604">
        <v>34.626820730927022</v>
      </c>
      <c r="Z604">
        <v>7.5275697241145707</v>
      </c>
      <c r="AA604">
        <v>3</v>
      </c>
      <c r="AB604">
        <v>4</v>
      </c>
      <c r="AC604" t="s">
        <v>33</v>
      </c>
      <c r="AD604">
        <v>3</v>
      </c>
      <c r="AE604">
        <v>0</v>
      </c>
      <c r="AG604">
        <v>5</v>
      </c>
      <c r="AH604">
        <v>1</v>
      </c>
      <c r="AI604">
        <v>5</v>
      </c>
      <c r="AJ604">
        <v>5</v>
      </c>
      <c r="AK604">
        <v>7</v>
      </c>
      <c r="AL604">
        <v>1</v>
      </c>
      <c r="AM604">
        <f>AJ604*AK604*AL604/7</f>
        <v>5</v>
      </c>
      <c r="AN604" t="s">
        <v>27</v>
      </c>
      <c r="AO604">
        <v>0</v>
      </c>
      <c r="AV604">
        <f>AU604+AM604</f>
        <v>5</v>
      </c>
      <c r="AX604">
        <v>0</v>
      </c>
      <c r="BE604">
        <f>AM604+AU604+BD604</f>
        <v>5</v>
      </c>
      <c r="BG604">
        <v>0</v>
      </c>
      <c r="BJ604" t="s">
        <v>42</v>
      </c>
      <c r="BK604">
        <v>6</v>
      </c>
      <c r="BL604">
        <v>1</v>
      </c>
      <c r="BM604">
        <v>1</v>
      </c>
      <c r="BN604" t="s">
        <v>30</v>
      </c>
      <c r="BO604">
        <v>1</v>
      </c>
      <c r="BP604">
        <v>168</v>
      </c>
      <c r="BQ604">
        <v>0.13</v>
      </c>
      <c r="BR604">
        <v>2</v>
      </c>
      <c r="BS604">
        <v>0.26</v>
      </c>
      <c r="BT604">
        <f>BS604+BD604+AU604+AM604</f>
        <v>5.26</v>
      </c>
      <c r="BU604">
        <v>1</v>
      </c>
      <c r="BV604">
        <v>1</v>
      </c>
      <c r="BW604">
        <v>146.5</v>
      </c>
      <c r="BX604">
        <f>BW604/7</f>
        <v>20.928571428571427</v>
      </c>
      <c r="BY604">
        <f>0.77*BX604</f>
        <v>16.114999999999998</v>
      </c>
      <c r="BZ604">
        <f t="shared" si="9"/>
        <v>21.375</v>
      </c>
    </row>
    <row r="605" spans="1:78">
      <c r="A605" s="1">
        <v>45212.830752037036</v>
      </c>
      <c r="C605">
        <v>604</v>
      </c>
      <c r="D605" s="10">
        <v>45212</v>
      </c>
      <c r="E605">
        <v>32</v>
      </c>
      <c r="F605">
        <v>1</v>
      </c>
      <c r="G605">
        <v>2</v>
      </c>
      <c r="H605">
        <v>4</v>
      </c>
      <c r="I605" s="10">
        <v>44888</v>
      </c>
      <c r="J605">
        <v>2</v>
      </c>
      <c r="K605">
        <v>0</v>
      </c>
      <c r="L605">
        <v>2</v>
      </c>
      <c r="M605">
        <v>3400</v>
      </c>
      <c r="N605">
        <v>2</v>
      </c>
      <c r="O605" s="10">
        <v>44615</v>
      </c>
      <c r="P605">
        <v>0</v>
      </c>
      <c r="Q605">
        <v>39</v>
      </c>
      <c r="R605">
        <v>2</v>
      </c>
      <c r="S605">
        <v>92</v>
      </c>
      <c r="T605">
        <v>165</v>
      </c>
      <c r="U605">
        <v>95</v>
      </c>
      <c r="V605">
        <v>3</v>
      </c>
      <c r="W605">
        <v>1</v>
      </c>
      <c r="X605">
        <v>33.792470156106525</v>
      </c>
      <c r="Y605">
        <v>34.894398530762174</v>
      </c>
      <c r="Z605">
        <v>1.1019283746556496</v>
      </c>
      <c r="AA605">
        <v>4</v>
      </c>
      <c r="AB605">
        <v>4</v>
      </c>
      <c r="AC605" t="s">
        <v>33</v>
      </c>
      <c r="AD605">
        <v>3</v>
      </c>
      <c r="AE605">
        <v>0</v>
      </c>
      <c r="AG605">
        <v>5</v>
      </c>
      <c r="AH605">
        <v>1</v>
      </c>
      <c r="AI605">
        <v>5</v>
      </c>
      <c r="AJ605">
        <v>5</v>
      </c>
      <c r="AK605">
        <v>7</v>
      </c>
      <c r="AL605">
        <v>1</v>
      </c>
      <c r="AM605">
        <f>AJ605*AK605*AL605/7</f>
        <v>5</v>
      </c>
      <c r="AN605" t="s">
        <v>27</v>
      </c>
      <c r="AO605">
        <v>0</v>
      </c>
      <c r="AV605">
        <f>AU605+AM605</f>
        <v>5</v>
      </c>
      <c r="AW605" t="s">
        <v>413</v>
      </c>
      <c r="AX605">
        <v>1</v>
      </c>
      <c r="AY605" t="s">
        <v>413</v>
      </c>
      <c r="AZ605">
        <v>8</v>
      </c>
      <c r="BA605">
        <v>0.4</v>
      </c>
      <c r="BB605">
        <v>7</v>
      </c>
      <c r="BC605">
        <v>1</v>
      </c>
      <c r="BD605">
        <f>BA605*BB605*1/7</f>
        <v>0.4</v>
      </c>
      <c r="BE605">
        <f>AM605+AU605+BD605</f>
        <v>5.4</v>
      </c>
      <c r="BF605" t="s">
        <v>413</v>
      </c>
      <c r="BG605">
        <v>0</v>
      </c>
      <c r="BH605">
        <v>7</v>
      </c>
      <c r="BI605">
        <v>1</v>
      </c>
      <c r="BJ605" t="s">
        <v>49</v>
      </c>
      <c r="BK605">
        <v>5</v>
      </c>
      <c r="BL605">
        <v>1</v>
      </c>
      <c r="BM605">
        <v>1</v>
      </c>
      <c r="BN605" t="s">
        <v>55</v>
      </c>
      <c r="BO605">
        <v>2</v>
      </c>
      <c r="BP605">
        <v>67</v>
      </c>
      <c r="BQ605">
        <v>0.1</v>
      </c>
      <c r="BR605">
        <v>1</v>
      </c>
      <c r="BS605">
        <v>0.1</v>
      </c>
      <c r="BT605">
        <f>BS605+BD605+AU605+AM605</f>
        <v>5.5</v>
      </c>
      <c r="BU605">
        <v>1</v>
      </c>
      <c r="BV605">
        <v>1</v>
      </c>
      <c r="BW605">
        <v>146.5</v>
      </c>
      <c r="BX605">
        <f>BW605/7</f>
        <v>20.928571428571427</v>
      </c>
      <c r="BY605">
        <f>0.77*BX605</f>
        <v>16.114999999999998</v>
      </c>
      <c r="BZ605">
        <f t="shared" si="9"/>
        <v>21.614999999999998</v>
      </c>
    </row>
    <row r="606" spans="1:78">
      <c r="A606" s="1">
        <v>45212.835315173608</v>
      </c>
      <c r="B606" s="9" t="s">
        <v>866</v>
      </c>
      <c r="C606">
        <v>605</v>
      </c>
      <c r="D606" s="10">
        <v>31311</v>
      </c>
      <c r="E606">
        <v>38</v>
      </c>
      <c r="F606">
        <v>1</v>
      </c>
      <c r="G606">
        <v>1</v>
      </c>
      <c r="H606">
        <v>4</v>
      </c>
      <c r="I606" s="10">
        <v>43381</v>
      </c>
      <c r="J606">
        <v>2</v>
      </c>
      <c r="K606">
        <v>0</v>
      </c>
      <c r="L606">
        <v>2</v>
      </c>
      <c r="M606">
        <v>3070</v>
      </c>
      <c r="N606">
        <v>2</v>
      </c>
      <c r="O606" s="10">
        <v>43136</v>
      </c>
      <c r="P606">
        <v>0</v>
      </c>
      <c r="Q606">
        <v>35</v>
      </c>
      <c r="R606">
        <v>3</v>
      </c>
      <c r="S606">
        <v>80</v>
      </c>
      <c r="T606">
        <v>156</v>
      </c>
      <c r="U606">
        <v>70</v>
      </c>
      <c r="V606">
        <v>-10</v>
      </c>
      <c r="W606">
        <v>1</v>
      </c>
      <c r="X606">
        <v>32.873109796186718</v>
      </c>
      <c r="Y606">
        <v>28.763971071663377</v>
      </c>
      <c r="Z606">
        <v>-4.1091387245233406</v>
      </c>
      <c r="AA606">
        <v>4</v>
      </c>
      <c r="AB606">
        <v>3</v>
      </c>
      <c r="AC606" t="s">
        <v>44</v>
      </c>
      <c r="AD606">
        <v>1</v>
      </c>
      <c r="AE606">
        <v>0</v>
      </c>
      <c r="AG606">
        <v>5</v>
      </c>
      <c r="AH606">
        <v>1</v>
      </c>
      <c r="AI606" t="s">
        <v>258</v>
      </c>
      <c r="AJ606" t="s">
        <v>258</v>
      </c>
      <c r="AK606">
        <v>7</v>
      </c>
      <c r="AL606">
        <v>1</v>
      </c>
      <c r="AM606" t="s">
        <v>258</v>
      </c>
      <c r="AN606" t="s">
        <v>632</v>
      </c>
      <c r="AO606">
        <v>0</v>
      </c>
      <c r="AW606" t="s">
        <v>316</v>
      </c>
      <c r="AX606">
        <v>1</v>
      </c>
      <c r="AY606" t="s">
        <v>316</v>
      </c>
      <c r="AZ606">
        <v>16</v>
      </c>
      <c r="BA606" t="s">
        <v>258</v>
      </c>
      <c r="BB606">
        <v>7</v>
      </c>
      <c r="BC606">
        <v>1</v>
      </c>
      <c r="BE606" t="s">
        <v>258</v>
      </c>
      <c r="BF606" t="s">
        <v>316</v>
      </c>
      <c r="BG606" t="s">
        <v>258</v>
      </c>
      <c r="BH606">
        <v>7</v>
      </c>
      <c r="BI606">
        <v>1</v>
      </c>
      <c r="BJ606" t="s">
        <v>49</v>
      </c>
      <c r="BK606">
        <v>5</v>
      </c>
      <c r="BL606">
        <v>1</v>
      </c>
      <c r="BM606">
        <v>1</v>
      </c>
      <c r="BN606" t="s">
        <v>55</v>
      </c>
      <c r="BO606">
        <v>2</v>
      </c>
      <c r="BP606">
        <v>134</v>
      </c>
      <c r="BQ606">
        <v>0.1</v>
      </c>
      <c r="BR606">
        <v>2</v>
      </c>
      <c r="BS606">
        <v>0.2</v>
      </c>
      <c r="BT606" t="e">
        <f>BS606+BD606+AU606+AM606</f>
        <v>#VALUE!</v>
      </c>
      <c r="BU606">
        <v>1</v>
      </c>
      <c r="BV606">
        <v>1</v>
      </c>
      <c r="BW606">
        <v>146.5</v>
      </c>
      <c r="BX606">
        <f>BW606/7</f>
        <v>20.928571428571427</v>
      </c>
      <c r="BY606">
        <f>0.77*BX606</f>
        <v>16.114999999999998</v>
      </c>
      <c r="BZ606" t="e">
        <f t="shared" si="9"/>
        <v>#VALUE!</v>
      </c>
    </row>
    <row r="607" spans="1:78">
      <c r="A607" s="1">
        <v>45212.838968703705</v>
      </c>
      <c r="C607">
        <v>606</v>
      </c>
      <c r="D607" s="10">
        <v>31937</v>
      </c>
      <c r="E607">
        <v>36</v>
      </c>
      <c r="F607">
        <v>1</v>
      </c>
      <c r="G607">
        <v>7</v>
      </c>
      <c r="H607">
        <v>4</v>
      </c>
      <c r="I607" s="10">
        <v>43724</v>
      </c>
      <c r="J607">
        <v>1</v>
      </c>
      <c r="K607">
        <v>1</v>
      </c>
      <c r="L607">
        <v>2</v>
      </c>
      <c r="M607">
        <v>3960</v>
      </c>
      <c r="N607">
        <v>2</v>
      </c>
      <c r="O607" s="10">
        <v>43451</v>
      </c>
      <c r="P607">
        <v>0</v>
      </c>
      <c r="Q607">
        <v>39</v>
      </c>
      <c r="R607">
        <v>2</v>
      </c>
      <c r="S607">
        <v>90</v>
      </c>
      <c r="T607">
        <v>157</v>
      </c>
      <c r="U607">
        <v>98</v>
      </c>
      <c r="V607">
        <v>8</v>
      </c>
      <c r="W607">
        <v>2</v>
      </c>
      <c r="X607">
        <v>36.51263742951032</v>
      </c>
      <c r="Y607">
        <v>39.758205201022349</v>
      </c>
      <c r="Z607">
        <v>3.2455677715120288</v>
      </c>
      <c r="AA607">
        <v>4</v>
      </c>
      <c r="AB607">
        <v>4</v>
      </c>
      <c r="AC607" t="s">
        <v>33</v>
      </c>
      <c r="AD607">
        <v>3</v>
      </c>
      <c r="AE607">
        <v>0</v>
      </c>
      <c r="AG607">
        <v>5</v>
      </c>
      <c r="AH607">
        <v>1</v>
      </c>
      <c r="AI607">
        <v>4</v>
      </c>
      <c r="AJ607">
        <v>1</v>
      </c>
      <c r="AK607">
        <v>7</v>
      </c>
      <c r="AL607">
        <v>1</v>
      </c>
      <c r="AM607">
        <f>AJ607*AK607*AL607/7</f>
        <v>1</v>
      </c>
      <c r="AN607" t="s">
        <v>43</v>
      </c>
      <c r="AO607">
        <v>0</v>
      </c>
      <c r="AV607">
        <f>AU607+AM607</f>
        <v>1</v>
      </c>
      <c r="AW607" t="s">
        <v>128</v>
      </c>
      <c r="AX607">
        <v>1</v>
      </c>
      <c r="AY607" t="s">
        <v>128</v>
      </c>
      <c r="AZ607">
        <v>4</v>
      </c>
      <c r="BA607">
        <v>0.2</v>
      </c>
      <c r="BB607">
        <v>7</v>
      </c>
      <c r="BC607">
        <v>1</v>
      </c>
      <c r="BD607">
        <f>BA607*BB607*1/7</f>
        <v>0.2</v>
      </c>
      <c r="BE607">
        <f>AM607+AU607+BD607</f>
        <v>1.2</v>
      </c>
      <c r="BF607" t="s">
        <v>128</v>
      </c>
      <c r="BG607">
        <v>0</v>
      </c>
      <c r="BH607">
        <v>7</v>
      </c>
      <c r="BI607">
        <v>1</v>
      </c>
      <c r="BJ607" t="s">
        <v>42</v>
      </c>
      <c r="BK607">
        <v>6</v>
      </c>
      <c r="BL607">
        <v>3</v>
      </c>
      <c r="BM607">
        <v>1</v>
      </c>
      <c r="BN607" t="s">
        <v>30</v>
      </c>
      <c r="BO607">
        <v>1</v>
      </c>
      <c r="BP607">
        <v>168</v>
      </c>
      <c r="BQ607">
        <v>0.13</v>
      </c>
      <c r="BR607">
        <v>2</v>
      </c>
      <c r="BS607">
        <v>0.26</v>
      </c>
      <c r="BT607">
        <f>BS607+BD607+AU607+AM607</f>
        <v>1.46</v>
      </c>
      <c r="BU607">
        <v>1</v>
      </c>
      <c r="BV607">
        <v>1</v>
      </c>
      <c r="BW607">
        <v>146.5</v>
      </c>
      <c r="BX607">
        <f>BW607/7</f>
        <v>20.928571428571427</v>
      </c>
      <c r="BY607">
        <f>0.77*BX607</f>
        <v>16.114999999999998</v>
      </c>
      <c r="BZ607">
        <f t="shared" si="9"/>
        <v>17.574999999999999</v>
      </c>
    </row>
    <row r="608" spans="1:78">
      <c r="A608" s="1">
        <v>45212.844316168979</v>
      </c>
      <c r="C608">
        <v>607</v>
      </c>
      <c r="D608" s="10">
        <v>31082</v>
      </c>
      <c r="E608">
        <v>38</v>
      </c>
      <c r="F608">
        <v>1</v>
      </c>
      <c r="G608">
        <v>9</v>
      </c>
      <c r="H608">
        <v>4</v>
      </c>
      <c r="I608" s="10">
        <v>44828</v>
      </c>
      <c r="J608">
        <v>1</v>
      </c>
      <c r="K608">
        <v>1</v>
      </c>
      <c r="L608">
        <v>2</v>
      </c>
      <c r="M608">
        <v>2890</v>
      </c>
      <c r="N608">
        <v>2</v>
      </c>
      <c r="O608" s="10">
        <v>44562</v>
      </c>
      <c r="P608">
        <v>0</v>
      </c>
      <c r="Q608">
        <v>38</v>
      </c>
      <c r="R608">
        <v>2</v>
      </c>
      <c r="S608">
        <v>66</v>
      </c>
      <c r="T608">
        <v>158</v>
      </c>
      <c r="U608">
        <v>73</v>
      </c>
      <c r="V608">
        <v>7</v>
      </c>
      <c r="W608">
        <v>2</v>
      </c>
      <c r="X608">
        <v>26.438070821983651</v>
      </c>
      <c r="Y608">
        <v>29.242108636436463</v>
      </c>
      <c r="Z608">
        <v>2.804037814452812</v>
      </c>
      <c r="AA608">
        <v>3</v>
      </c>
      <c r="AB608">
        <v>3</v>
      </c>
      <c r="AC608" t="s">
        <v>33</v>
      </c>
      <c r="AD608">
        <v>3</v>
      </c>
      <c r="AE608">
        <v>0</v>
      </c>
      <c r="AG608">
        <v>5</v>
      </c>
      <c r="AH608">
        <v>1</v>
      </c>
      <c r="AI608">
        <v>5</v>
      </c>
      <c r="AJ608">
        <v>5</v>
      </c>
      <c r="AK608">
        <v>7</v>
      </c>
      <c r="AL608">
        <v>1</v>
      </c>
      <c r="AM608">
        <f>AJ608*AK608*AL608/7</f>
        <v>5</v>
      </c>
      <c r="AN608" t="s">
        <v>27</v>
      </c>
      <c r="AO608">
        <v>0</v>
      </c>
      <c r="AV608">
        <f>AU608+AM608</f>
        <v>5</v>
      </c>
      <c r="AW608" t="s">
        <v>415</v>
      </c>
      <c r="AX608">
        <v>1</v>
      </c>
      <c r="AY608" t="s">
        <v>415</v>
      </c>
      <c r="AZ608">
        <v>5</v>
      </c>
      <c r="BA608">
        <v>0.4</v>
      </c>
      <c r="BB608">
        <v>7</v>
      </c>
      <c r="BC608">
        <v>1</v>
      </c>
      <c r="BD608">
        <f>BA608*BB608*1/7</f>
        <v>0.4</v>
      </c>
      <c r="BE608">
        <f>AM608+AU608+BD608</f>
        <v>5.4</v>
      </c>
      <c r="BF608" t="s">
        <v>415</v>
      </c>
      <c r="BG608">
        <v>0</v>
      </c>
      <c r="BH608">
        <v>7</v>
      </c>
      <c r="BI608">
        <v>1</v>
      </c>
      <c r="BJ608" t="s">
        <v>228</v>
      </c>
      <c r="BK608">
        <v>4</v>
      </c>
      <c r="BL608">
        <v>3</v>
      </c>
      <c r="BM608">
        <v>1</v>
      </c>
      <c r="BN608" t="s">
        <v>417</v>
      </c>
      <c r="BO608">
        <v>13</v>
      </c>
      <c r="BP608">
        <v>45</v>
      </c>
      <c r="BQ608">
        <v>0.05</v>
      </c>
      <c r="BR608">
        <v>1</v>
      </c>
      <c r="BS608">
        <v>0.05</v>
      </c>
      <c r="BT608">
        <f>BS608+BD608+AU608+AM608</f>
        <v>5.45</v>
      </c>
      <c r="BU608">
        <v>1</v>
      </c>
      <c r="BV608">
        <v>2</v>
      </c>
      <c r="BW608">
        <v>293</v>
      </c>
      <c r="BX608">
        <f>BW608/7</f>
        <v>41.857142857142854</v>
      </c>
      <c r="BY608">
        <f>0.77*BX608</f>
        <v>32.229999999999997</v>
      </c>
      <c r="BZ608">
        <f t="shared" si="9"/>
        <v>37.68</v>
      </c>
    </row>
    <row r="609" spans="1:78">
      <c r="A609" s="1">
        <v>45212.84575143519</v>
      </c>
      <c r="C609">
        <v>608</v>
      </c>
      <c r="D609" s="10">
        <v>30881</v>
      </c>
      <c r="E609">
        <v>39</v>
      </c>
      <c r="F609">
        <v>1</v>
      </c>
      <c r="G609">
        <v>10</v>
      </c>
      <c r="H609">
        <v>5</v>
      </c>
      <c r="I609" s="10">
        <v>44832</v>
      </c>
      <c r="J609">
        <v>2</v>
      </c>
      <c r="K609">
        <v>0</v>
      </c>
      <c r="L609">
        <v>1</v>
      </c>
      <c r="M609">
        <v>3250</v>
      </c>
      <c r="N609">
        <v>2</v>
      </c>
      <c r="O609" s="10">
        <v>44580</v>
      </c>
      <c r="P609">
        <v>0</v>
      </c>
      <c r="Q609">
        <v>36</v>
      </c>
      <c r="R609">
        <v>3</v>
      </c>
      <c r="S609">
        <v>72</v>
      </c>
      <c r="T609">
        <v>164</v>
      </c>
      <c r="U609">
        <v>82</v>
      </c>
      <c r="V609">
        <v>10</v>
      </c>
      <c r="W609">
        <v>2</v>
      </c>
      <c r="X609">
        <v>26.769779892920884</v>
      </c>
      <c r="Y609">
        <v>30.487804878048784</v>
      </c>
      <c r="Z609">
        <v>3.7180249851279008</v>
      </c>
      <c r="AA609">
        <v>3</v>
      </c>
      <c r="AB609">
        <v>4</v>
      </c>
      <c r="AC609" t="s">
        <v>173</v>
      </c>
      <c r="AD609">
        <v>1</v>
      </c>
      <c r="AE609">
        <v>0</v>
      </c>
      <c r="AG609">
        <v>5</v>
      </c>
      <c r="AH609">
        <v>1</v>
      </c>
      <c r="AI609">
        <v>5</v>
      </c>
      <c r="AJ609">
        <v>5</v>
      </c>
      <c r="AK609">
        <v>7</v>
      </c>
      <c r="AL609">
        <v>1</v>
      </c>
      <c r="AM609">
        <f>AJ609*AK609*AL609/7</f>
        <v>5</v>
      </c>
      <c r="AN609" t="s">
        <v>27</v>
      </c>
      <c r="AO609">
        <v>0</v>
      </c>
      <c r="AV609">
        <f>AU609+AM609</f>
        <v>5</v>
      </c>
      <c r="AX609">
        <v>0</v>
      </c>
      <c r="BE609">
        <f>AM609+AU609+BD609</f>
        <v>5</v>
      </c>
      <c r="BG609">
        <v>0</v>
      </c>
      <c r="BJ609" t="s">
        <v>49</v>
      </c>
      <c r="BK609">
        <v>5</v>
      </c>
      <c r="BL609">
        <v>1</v>
      </c>
      <c r="BM609">
        <v>1</v>
      </c>
      <c r="BN609" t="s">
        <v>37</v>
      </c>
      <c r="BO609">
        <v>4</v>
      </c>
      <c r="BP609">
        <v>55</v>
      </c>
      <c r="BQ609">
        <v>0.05</v>
      </c>
      <c r="BR609">
        <v>1</v>
      </c>
      <c r="BS609">
        <v>0.05</v>
      </c>
      <c r="BT609">
        <f>BS609+BD609+AU609+AM609</f>
        <v>5.05</v>
      </c>
      <c r="BU609">
        <v>1</v>
      </c>
      <c r="BV609">
        <v>2</v>
      </c>
      <c r="BW609">
        <v>293</v>
      </c>
      <c r="BX609">
        <f>BW609/7</f>
        <v>41.857142857142854</v>
      </c>
      <c r="BY609">
        <f>0.77*BX609</f>
        <v>32.229999999999997</v>
      </c>
      <c r="BZ609">
        <f t="shared" si="9"/>
        <v>37.279999999999994</v>
      </c>
    </row>
    <row r="610" spans="1:78">
      <c r="A610" s="1">
        <v>45212.849754907409</v>
      </c>
      <c r="B610" s="9" t="s">
        <v>866</v>
      </c>
      <c r="C610">
        <v>609</v>
      </c>
      <c r="D610" s="10">
        <v>30857</v>
      </c>
      <c r="E610">
        <v>39</v>
      </c>
      <c r="F610">
        <v>1</v>
      </c>
      <c r="G610">
        <v>10</v>
      </c>
      <c r="H610">
        <v>5</v>
      </c>
      <c r="I610" s="10">
        <v>44872</v>
      </c>
      <c r="J610">
        <v>2</v>
      </c>
      <c r="K610">
        <v>0</v>
      </c>
      <c r="L610">
        <v>1</v>
      </c>
      <c r="M610">
        <v>3950</v>
      </c>
      <c r="N610">
        <v>2</v>
      </c>
      <c r="O610" s="10">
        <v>44591</v>
      </c>
      <c r="P610">
        <v>0</v>
      </c>
      <c r="Q610">
        <v>40.142857142857146</v>
      </c>
      <c r="R610">
        <v>2</v>
      </c>
      <c r="S610">
        <v>74</v>
      </c>
      <c r="T610">
        <v>160</v>
      </c>
      <c r="U610">
        <v>80</v>
      </c>
      <c r="V610">
        <v>6</v>
      </c>
      <c r="W610">
        <v>1</v>
      </c>
      <c r="X610">
        <v>28.906249999999993</v>
      </c>
      <c r="Y610">
        <v>31.249999999999993</v>
      </c>
      <c r="Z610">
        <v>2.34375</v>
      </c>
      <c r="AA610">
        <v>3</v>
      </c>
      <c r="AB610">
        <v>4</v>
      </c>
      <c r="AC610" t="s">
        <v>123</v>
      </c>
      <c r="AD610">
        <v>2</v>
      </c>
      <c r="AE610">
        <v>0</v>
      </c>
      <c r="AG610">
        <v>5</v>
      </c>
      <c r="AH610">
        <v>1</v>
      </c>
      <c r="AI610" t="s">
        <v>258</v>
      </c>
      <c r="AJ610" t="s">
        <v>258</v>
      </c>
      <c r="AK610">
        <v>7</v>
      </c>
      <c r="AL610">
        <v>1</v>
      </c>
      <c r="AM610" t="s">
        <v>258</v>
      </c>
      <c r="AN610" t="s">
        <v>508</v>
      </c>
      <c r="AO610">
        <v>0</v>
      </c>
      <c r="AX610">
        <v>0</v>
      </c>
      <c r="BE610" t="s">
        <v>258</v>
      </c>
      <c r="BG610">
        <v>0</v>
      </c>
      <c r="BJ610" t="s">
        <v>28</v>
      </c>
      <c r="BK610">
        <v>3</v>
      </c>
      <c r="BL610">
        <v>3</v>
      </c>
      <c r="BM610">
        <v>1</v>
      </c>
      <c r="BN610" t="s">
        <v>37</v>
      </c>
      <c r="BO610">
        <v>4</v>
      </c>
      <c r="BP610">
        <v>110</v>
      </c>
      <c r="BQ610">
        <v>0.05</v>
      </c>
      <c r="BR610">
        <v>2</v>
      </c>
      <c r="BS610">
        <v>0.1</v>
      </c>
      <c r="BT610" t="e">
        <f>BS610+BD610+AU610+AM610</f>
        <v>#VALUE!</v>
      </c>
      <c r="BU610">
        <v>1</v>
      </c>
      <c r="BV610">
        <v>1</v>
      </c>
      <c r="BW610">
        <v>146.5</v>
      </c>
      <c r="BX610">
        <f>BW610/7</f>
        <v>20.928571428571427</v>
      </c>
      <c r="BY610">
        <f>0.77*BX610</f>
        <v>16.114999999999998</v>
      </c>
      <c r="BZ610" t="e">
        <f t="shared" si="9"/>
        <v>#VALUE!</v>
      </c>
    </row>
    <row r="611" spans="1:78">
      <c r="A611" s="1">
        <v>45212.850089120373</v>
      </c>
      <c r="C611">
        <v>610</v>
      </c>
      <c r="D611" s="10">
        <v>31404</v>
      </c>
      <c r="E611">
        <v>37</v>
      </c>
      <c r="F611">
        <v>1</v>
      </c>
      <c r="G611">
        <v>12</v>
      </c>
      <c r="H611">
        <v>4</v>
      </c>
      <c r="I611" s="10">
        <v>44698</v>
      </c>
      <c r="J611">
        <v>4</v>
      </c>
      <c r="K611">
        <v>0</v>
      </c>
      <c r="L611">
        <v>2</v>
      </c>
      <c r="M611">
        <v>3640</v>
      </c>
      <c r="N611">
        <v>2</v>
      </c>
      <c r="O611" s="10">
        <v>44432</v>
      </c>
      <c r="P611">
        <v>1</v>
      </c>
      <c r="Q611">
        <v>38</v>
      </c>
      <c r="R611">
        <v>2</v>
      </c>
      <c r="S611">
        <v>78</v>
      </c>
      <c r="T611">
        <v>168</v>
      </c>
      <c r="U611">
        <v>81</v>
      </c>
      <c r="V611">
        <v>3</v>
      </c>
      <c r="W611">
        <v>1</v>
      </c>
      <c r="X611">
        <v>27.636054421768712</v>
      </c>
      <c r="Y611">
        <v>28.698979591836739</v>
      </c>
      <c r="Z611">
        <v>1.0629251700680271</v>
      </c>
      <c r="AA611">
        <v>3</v>
      </c>
      <c r="AB611">
        <v>3</v>
      </c>
      <c r="AC611" t="s">
        <v>44</v>
      </c>
      <c r="AD611">
        <v>1</v>
      </c>
      <c r="AE611">
        <v>0</v>
      </c>
      <c r="AG611">
        <v>5</v>
      </c>
      <c r="AH611">
        <v>1</v>
      </c>
      <c r="AI611">
        <v>1</v>
      </c>
      <c r="AJ611">
        <v>1</v>
      </c>
      <c r="AK611">
        <v>7</v>
      </c>
      <c r="AL611">
        <v>1</v>
      </c>
      <c r="AM611">
        <f>AJ611*AK611*AL611/7</f>
        <v>1</v>
      </c>
      <c r="AN611" t="s">
        <v>56</v>
      </c>
      <c r="AO611">
        <v>0</v>
      </c>
      <c r="AV611">
        <f>AU611+AM611</f>
        <v>1</v>
      </c>
      <c r="AW611" t="s">
        <v>245</v>
      </c>
      <c r="AX611">
        <v>0</v>
      </c>
      <c r="BE611">
        <f>AM611+AU611+BD611</f>
        <v>1</v>
      </c>
      <c r="BF611" t="s">
        <v>245</v>
      </c>
      <c r="BG611">
        <v>1</v>
      </c>
      <c r="BH611">
        <v>7</v>
      </c>
      <c r="BI611">
        <v>1</v>
      </c>
      <c r="BJ611" t="s">
        <v>114</v>
      </c>
      <c r="BK611">
        <v>6</v>
      </c>
      <c r="BL611">
        <v>1</v>
      </c>
      <c r="BM611">
        <v>1</v>
      </c>
      <c r="BN611" t="s">
        <v>30</v>
      </c>
      <c r="BO611">
        <v>1</v>
      </c>
      <c r="BP611">
        <v>84</v>
      </c>
      <c r="BQ611">
        <v>0.13</v>
      </c>
      <c r="BR611">
        <v>1</v>
      </c>
      <c r="BS611">
        <v>0.13</v>
      </c>
      <c r="BT611">
        <f>BS611+BD611+AU611+AM611</f>
        <v>1.1299999999999999</v>
      </c>
      <c r="BU611">
        <v>1</v>
      </c>
      <c r="BV611">
        <v>2</v>
      </c>
      <c r="BW611">
        <v>293</v>
      </c>
      <c r="BX611">
        <f>BW611/7</f>
        <v>41.857142857142854</v>
      </c>
      <c r="BY611">
        <f>0.77*BX611</f>
        <v>32.229999999999997</v>
      </c>
      <c r="BZ611">
        <f t="shared" si="9"/>
        <v>33.36</v>
      </c>
    </row>
    <row r="612" spans="1:78">
      <c r="A612" s="1">
        <v>45212.851396192127</v>
      </c>
      <c r="C612">
        <v>611</v>
      </c>
      <c r="D612" s="10">
        <v>31692</v>
      </c>
      <c r="E612">
        <v>37</v>
      </c>
      <c r="F612">
        <v>1</v>
      </c>
      <c r="G612">
        <v>1</v>
      </c>
      <c r="H612">
        <v>5</v>
      </c>
      <c r="I612" s="10">
        <v>44468</v>
      </c>
      <c r="J612">
        <v>1</v>
      </c>
      <c r="K612">
        <v>1</v>
      </c>
      <c r="L612">
        <v>1</v>
      </c>
      <c r="M612">
        <v>2950</v>
      </c>
      <c r="N612">
        <v>2</v>
      </c>
      <c r="O612" s="10">
        <v>44205</v>
      </c>
      <c r="P612">
        <v>1</v>
      </c>
      <c r="Q612">
        <v>37.571428571428569</v>
      </c>
      <c r="R612">
        <v>2</v>
      </c>
      <c r="S612">
        <v>57</v>
      </c>
      <c r="T612">
        <v>161</v>
      </c>
      <c r="U612">
        <v>69</v>
      </c>
      <c r="V612">
        <v>12</v>
      </c>
      <c r="W612">
        <v>2</v>
      </c>
      <c r="X612">
        <v>21.989892365263682</v>
      </c>
      <c r="Y612">
        <v>26.619343389529721</v>
      </c>
      <c r="Z612">
        <v>4.6294510242660394</v>
      </c>
      <c r="AA612">
        <v>2</v>
      </c>
      <c r="AB612">
        <v>3</v>
      </c>
      <c r="AC612" t="s">
        <v>50</v>
      </c>
      <c r="AD612">
        <v>2</v>
      </c>
      <c r="AE612">
        <v>0</v>
      </c>
      <c r="AG612">
        <v>5</v>
      </c>
      <c r="AH612">
        <v>1</v>
      </c>
      <c r="AI612">
        <v>2</v>
      </c>
      <c r="AJ612">
        <v>5</v>
      </c>
      <c r="AK612">
        <v>7</v>
      </c>
      <c r="AL612">
        <v>1</v>
      </c>
      <c r="AM612">
        <f>AJ612*AK612*AL612/7</f>
        <v>5</v>
      </c>
      <c r="AN612" t="s">
        <v>57</v>
      </c>
      <c r="AO612">
        <v>0</v>
      </c>
      <c r="AV612">
        <f>AU612+AM612</f>
        <v>5</v>
      </c>
      <c r="AW612" t="s">
        <v>61</v>
      </c>
      <c r="AX612">
        <v>1</v>
      </c>
      <c r="AY612" t="s">
        <v>61</v>
      </c>
      <c r="AZ612">
        <v>2</v>
      </c>
      <c r="BA612">
        <v>0.27</v>
      </c>
      <c r="BB612">
        <v>7</v>
      </c>
      <c r="BC612">
        <v>1</v>
      </c>
      <c r="BD612">
        <f>BA612*BB612*1/7</f>
        <v>0.27</v>
      </c>
      <c r="BE612">
        <f>AM612+AU612+BD612</f>
        <v>5.27</v>
      </c>
      <c r="BF612" t="s">
        <v>61</v>
      </c>
      <c r="BG612">
        <v>0</v>
      </c>
      <c r="BH612">
        <v>7</v>
      </c>
      <c r="BI612">
        <v>1</v>
      </c>
      <c r="BJ612" t="s">
        <v>28</v>
      </c>
      <c r="BK612">
        <v>3</v>
      </c>
      <c r="BL612">
        <v>3</v>
      </c>
      <c r="BM612">
        <v>1</v>
      </c>
      <c r="BN612" t="s">
        <v>37</v>
      </c>
      <c r="BO612">
        <v>4</v>
      </c>
      <c r="BP612">
        <v>55</v>
      </c>
      <c r="BQ612">
        <v>0.05</v>
      </c>
      <c r="BR612">
        <v>1</v>
      </c>
      <c r="BS612">
        <v>0.05</v>
      </c>
      <c r="BT612">
        <f>BS612+BD612+AU612+AM612</f>
        <v>5.32</v>
      </c>
      <c r="BU612">
        <v>1</v>
      </c>
      <c r="BV612">
        <v>2</v>
      </c>
      <c r="BW612">
        <v>293</v>
      </c>
      <c r="BX612">
        <f>BW612/7</f>
        <v>41.857142857142854</v>
      </c>
      <c r="BY612">
        <f>0.77*BX612</f>
        <v>32.229999999999997</v>
      </c>
      <c r="BZ612">
        <f t="shared" si="9"/>
        <v>37.549999999999997</v>
      </c>
    </row>
    <row r="613" spans="1:78">
      <c r="A613" s="1">
        <v>45212.855804560182</v>
      </c>
      <c r="B613" s="9" t="s">
        <v>866</v>
      </c>
      <c r="C613">
        <v>612</v>
      </c>
      <c r="D613" s="10">
        <v>30423</v>
      </c>
      <c r="E613">
        <v>40</v>
      </c>
      <c r="F613">
        <v>1</v>
      </c>
      <c r="G613">
        <v>8</v>
      </c>
      <c r="H613">
        <v>5</v>
      </c>
      <c r="I613" s="10">
        <v>44730</v>
      </c>
      <c r="J613">
        <v>3</v>
      </c>
      <c r="K613">
        <v>0</v>
      </c>
      <c r="L613">
        <v>1</v>
      </c>
      <c r="M613">
        <v>4050</v>
      </c>
      <c r="N613">
        <v>3</v>
      </c>
      <c r="O613" s="10">
        <v>44464</v>
      </c>
      <c r="P613">
        <v>1</v>
      </c>
      <c r="Q613">
        <v>38</v>
      </c>
      <c r="R613">
        <v>2</v>
      </c>
      <c r="S613">
        <v>80</v>
      </c>
      <c r="T613">
        <v>167</v>
      </c>
      <c r="U613">
        <v>102</v>
      </c>
      <c r="V613">
        <v>22</v>
      </c>
      <c r="W613">
        <v>3</v>
      </c>
      <c r="X613">
        <v>28.685144680698485</v>
      </c>
      <c r="Y613">
        <v>36.573559467890568</v>
      </c>
      <c r="Z613">
        <v>7.8884147871920831</v>
      </c>
      <c r="AA613">
        <v>3</v>
      </c>
      <c r="AB613">
        <v>4</v>
      </c>
      <c r="AC613" t="s">
        <v>33</v>
      </c>
      <c r="AD613">
        <v>3</v>
      </c>
      <c r="AE613">
        <v>0</v>
      </c>
      <c r="AG613">
        <v>5</v>
      </c>
      <c r="AH613">
        <v>0</v>
      </c>
      <c r="AI613">
        <v>0</v>
      </c>
      <c r="AN613" t="s">
        <v>472</v>
      </c>
      <c r="AO613">
        <v>0</v>
      </c>
      <c r="AW613" t="s">
        <v>58</v>
      </c>
      <c r="AX613">
        <v>1</v>
      </c>
      <c r="AY613" t="s">
        <v>58</v>
      </c>
      <c r="AZ613">
        <v>1</v>
      </c>
      <c r="BA613">
        <v>0.8</v>
      </c>
      <c r="BB613">
        <v>7</v>
      </c>
      <c r="BC613">
        <v>1</v>
      </c>
      <c r="BD613">
        <f>BA613*BB613*1/7</f>
        <v>0.8</v>
      </c>
      <c r="BE613">
        <f>AM613+AU613+BD613</f>
        <v>0.8</v>
      </c>
      <c r="BF613" t="s">
        <v>898</v>
      </c>
      <c r="BG613">
        <v>1</v>
      </c>
      <c r="BH613">
        <v>7</v>
      </c>
      <c r="BI613">
        <v>1</v>
      </c>
      <c r="BJ613" t="s">
        <v>42</v>
      </c>
      <c r="BK613">
        <v>6</v>
      </c>
      <c r="BL613">
        <v>1</v>
      </c>
      <c r="BM613">
        <v>1</v>
      </c>
      <c r="BN613" t="s">
        <v>55</v>
      </c>
      <c r="BO613">
        <v>2</v>
      </c>
      <c r="BP613">
        <v>134</v>
      </c>
      <c r="BQ613">
        <v>0.1</v>
      </c>
      <c r="BR613">
        <v>2</v>
      </c>
      <c r="BS613">
        <v>0.2</v>
      </c>
      <c r="BT613">
        <f>BS613+BD613+AU613+AM613</f>
        <v>1</v>
      </c>
      <c r="BU613">
        <v>1</v>
      </c>
      <c r="BV613">
        <v>0.5</v>
      </c>
      <c r="BW613">
        <v>73.25</v>
      </c>
      <c r="BX613">
        <f>BW613/7</f>
        <v>10.464285714285714</v>
      </c>
      <c r="BY613">
        <f>0.77*BX613</f>
        <v>8.0574999999999992</v>
      </c>
      <c r="BZ613">
        <f t="shared" si="9"/>
        <v>9.0574999999999992</v>
      </c>
    </row>
    <row r="614" spans="1:78">
      <c r="A614" s="1">
        <v>45212.856353124997</v>
      </c>
      <c r="C614">
        <v>613</v>
      </c>
      <c r="D614" s="10">
        <v>33633</v>
      </c>
      <c r="E614">
        <v>31</v>
      </c>
      <c r="F614">
        <v>1</v>
      </c>
      <c r="G614">
        <v>1</v>
      </c>
      <c r="H614">
        <v>4</v>
      </c>
      <c r="I614" s="10">
        <v>44852</v>
      </c>
      <c r="J614">
        <v>1</v>
      </c>
      <c r="K614">
        <v>1</v>
      </c>
      <c r="L614">
        <v>1</v>
      </c>
      <c r="M614">
        <v>4185</v>
      </c>
      <c r="N614">
        <v>3</v>
      </c>
      <c r="O614" s="10">
        <v>44574</v>
      </c>
      <c r="P614">
        <v>0</v>
      </c>
      <c r="Q614">
        <v>39.714285714285715</v>
      </c>
      <c r="R614">
        <v>2</v>
      </c>
      <c r="S614">
        <v>69</v>
      </c>
      <c r="T614">
        <v>165</v>
      </c>
      <c r="U614">
        <v>68</v>
      </c>
      <c r="V614">
        <v>-1</v>
      </c>
      <c r="W614">
        <v>1</v>
      </c>
      <c r="X614">
        <v>25.344352617079892</v>
      </c>
      <c r="Y614">
        <v>24.977043158861342</v>
      </c>
      <c r="Z614">
        <v>-0.36730945821854988</v>
      </c>
      <c r="AA614">
        <v>3</v>
      </c>
      <c r="AB614">
        <v>2</v>
      </c>
      <c r="AC614" t="s">
        <v>33</v>
      </c>
      <c r="AD614">
        <v>3</v>
      </c>
      <c r="AE614">
        <v>0</v>
      </c>
      <c r="AG614">
        <v>5</v>
      </c>
      <c r="AH614">
        <v>1</v>
      </c>
      <c r="AI614">
        <v>2</v>
      </c>
      <c r="AJ614">
        <v>5</v>
      </c>
      <c r="AK614">
        <v>7</v>
      </c>
      <c r="AL614">
        <v>1</v>
      </c>
      <c r="AM614">
        <f>AJ614*AK614*AL614/7</f>
        <v>5</v>
      </c>
      <c r="AN614" t="s">
        <v>57</v>
      </c>
      <c r="AO614">
        <v>0</v>
      </c>
      <c r="AV614">
        <f>AU614+AM614</f>
        <v>5</v>
      </c>
      <c r="AW614" t="s">
        <v>71</v>
      </c>
      <c r="AX614">
        <v>1</v>
      </c>
      <c r="AY614" t="s">
        <v>71</v>
      </c>
      <c r="AZ614">
        <v>5</v>
      </c>
      <c r="BA614">
        <v>0.4</v>
      </c>
      <c r="BB614">
        <v>7</v>
      </c>
      <c r="BC614">
        <v>1</v>
      </c>
      <c r="BD614">
        <f>BA614*BB614*1/7</f>
        <v>0.4</v>
      </c>
      <c r="BE614">
        <f>AM614+AU614+BD614</f>
        <v>5.4</v>
      </c>
      <c r="BF614" t="s">
        <v>71</v>
      </c>
      <c r="BG614">
        <v>0</v>
      </c>
      <c r="BH614">
        <v>7</v>
      </c>
      <c r="BI614">
        <v>1</v>
      </c>
      <c r="BJ614" t="s">
        <v>28</v>
      </c>
      <c r="BK614">
        <v>3</v>
      </c>
      <c r="BL614">
        <v>1</v>
      </c>
      <c r="BM614">
        <v>1</v>
      </c>
      <c r="BN614" t="s">
        <v>30</v>
      </c>
      <c r="BO614">
        <v>1</v>
      </c>
      <c r="BP614">
        <v>168</v>
      </c>
      <c r="BQ614">
        <v>0.13</v>
      </c>
      <c r="BR614">
        <v>2</v>
      </c>
      <c r="BS614">
        <v>0.26</v>
      </c>
      <c r="BT614">
        <f>BS614+BD614+AU614+AM614</f>
        <v>5.66</v>
      </c>
      <c r="BU614">
        <v>1</v>
      </c>
      <c r="BV614">
        <v>1</v>
      </c>
      <c r="BW614">
        <v>146.5</v>
      </c>
      <c r="BX614">
        <f>BW614/7</f>
        <v>20.928571428571427</v>
      </c>
      <c r="BY614">
        <f>0.77*BX614</f>
        <v>16.114999999999998</v>
      </c>
      <c r="BZ614">
        <f t="shared" si="9"/>
        <v>21.774999999999999</v>
      </c>
    </row>
    <row r="615" spans="1:78">
      <c r="A615" s="1">
        <v>45212.866990694441</v>
      </c>
      <c r="C615">
        <v>614</v>
      </c>
      <c r="D615" s="10">
        <v>31495</v>
      </c>
      <c r="E615">
        <v>37</v>
      </c>
      <c r="F615">
        <v>1</v>
      </c>
      <c r="G615">
        <v>1</v>
      </c>
      <c r="H615">
        <v>4</v>
      </c>
      <c r="I615" s="10">
        <v>43494</v>
      </c>
      <c r="J615">
        <v>1</v>
      </c>
      <c r="K615">
        <v>1</v>
      </c>
      <c r="L615">
        <v>2</v>
      </c>
      <c r="M615">
        <v>3750</v>
      </c>
      <c r="N615">
        <v>2</v>
      </c>
      <c r="O615" s="10">
        <v>43221</v>
      </c>
      <c r="P615">
        <v>0</v>
      </c>
      <c r="Q615">
        <v>39</v>
      </c>
      <c r="R615">
        <v>2</v>
      </c>
      <c r="S615">
        <v>80</v>
      </c>
      <c r="T615">
        <v>163</v>
      </c>
      <c r="U615">
        <v>87</v>
      </c>
      <c r="V615">
        <v>7</v>
      </c>
      <c r="W615">
        <v>2</v>
      </c>
      <c r="X615">
        <v>30.110278896458279</v>
      </c>
      <c r="Y615">
        <v>32.744928299898383</v>
      </c>
      <c r="Z615">
        <v>2.634649403440104</v>
      </c>
      <c r="AA615">
        <v>4</v>
      </c>
      <c r="AB615">
        <v>4</v>
      </c>
      <c r="AC615" t="s">
        <v>33</v>
      </c>
      <c r="AD615">
        <v>3</v>
      </c>
      <c r="AE615">
        <v>0</v>
      </c>
      <c r="AG615">
        <v>5</v>
      </c>
      <c r="AH615">
        <v>1</v>
      </c>
      <c r="AI615">
        <v>13</v>
      </c>
      <c r="AJ615">
        <v>1</v>
      </c>
      <c r="AK615">
        <v>7</v>
      </c>
      <c r="AL615">
        <v>1</v>
      </c>
      <c r="AM615">
        <f>AJ615*AK615*AL615/7</f>
        <v>1</v>
      </c>
      <c r="AN615" t="s">
        <v>79</v>
      </c>
      <c r="AO615">
        <v>0</v>
      </c>
      <c r="AV615">
        <f>AU615+AM615</f>
        <v>1</v>
      </c>
      <c r="AW615" t="s">
        <v>418</v>
      </c>
      <c r="AX615">
        <v>0</v>
      </c>
      <c r="BE615">
        <f>AM615+AU615+BD615</f>
        <v>1</v>
      </c>
      <c r="BF615" t="s">
        <v>418</v>
      </c>
      <c r="BG615">
        <v>1</v>
      </c>
      <c r="BH615">
        <v>7</v>
      </c>
      <c r="BI615">
        <v>1</v>
      </c>
      <c r="BJ615" t="s">
        <v>42</v>
      </c>
      <c r="BK615">
        <v>6</v>
      </c>
      <c r="BL615">
        <v>1</v>
      </c>
      <c r="BM615">
        <v>1</v>
      </c>
      <c r="BN615" t="s">
        <v>30</v>
      </c>
      <c r="BO615">
        <v>1</v>
      </c>
      <c r="BP615">
        <v>168</v>
      </c>
      <c r="BQ615">
        <v>0.13</v>
      </c>
      <c r="BR615">
        <v>2</v>
      </c>
      <c r="BS615">
        <v>0.26</v>
      </c>
      <c r="BT615">
        <f>BS615+BD615+AU615+AM615</f>
        <v>1.26</v>
      </c>
      <c r="BU615">
        <v>1</v>
      </c>
      <c r="BV615">
        <v>3</v>
      </c>
      <c r="BW615">
        <v>439.5</v>
      </c>
      <c r="BX615">
        <f>BW615/7</f>
        <v>62.785714285714285</v>
      </c>
      <c r="BY615">
        <f>0.77*BX615</f>
        <v>48.344999999999999</v>
      </c>
      <c r="BZ615">
        <f t="shared" si="9"/>
        <v>49.604999999999997</v>
      </c>
    </row>
    <row r="616" spans="1:78">
      <c r="A616" s="1">
        <v>45212.870306122684</v>
      </c>
      <c r="C616">
        <v>615</v>
      </c>
      <c r="D616" s="10">
        <v>29748</v>
      </c>
      <c r="E616">
        <v>42</v>
      </c>
      <c r="F616">
        <v>1</v>
      </c>
      <c r="G616">
        <v>1</v>
      </c>
      <c r="H616">
        <v>5</v>
      </c>
      <c r="I616" s="10">
        <v>43807</v>
      </c>
      <c r="J616">
        <v>2</v>
      </c>
      <c r="K616">
        <v>0</v>
      </c>
      <c r="L616">
        <v>1</v>
      </c>
      <c r="M616">
        <v>3160</v>
      </c>
      <c r="N616">
        <v>2</v>
      </c>
      <c r="O616" s="10">
        <v>43528</v>
      </c>
      <c r="P616">
        <v>0</v>
      </c>
      <c r="Q616">
        <v>39.857142857142854</v>
      </c>
      <c r="R616">
        <v>2</v>
      </c>
      <c r="S616">
        <v>72</v>
      </c>
      <c r="T616">
        <v>160</v>
      </c>
      <c r="U616">
        <v>85</v>
      </c>
      <c r="V616">
        <v>13</v>
      </c>
      <c r="W616">
        <v>3</v>
      </c>
      <c r="X616">
        <v>28.124999999999993</v>
      </c>
      <c r="Y616">
        <v>33.203124999999993</v>
      </c>
      <c r="Z616">
        <v>5.078125</v>
      </c>
      <c r="AA616">
        <v>3</v>
      </c>
      <c r="AB616">
        <v>4</v>
      </c>
      <c r="AC616" t="s">
        <v>33</v>
      </c>
      <c r="AD616">
        <v>3</v>
      </c>
      <c r="AE616">
        <v>0</v>
      </c>
      <c r="AG616">
        <v>5</v>
      </c>
      <c r="AH616">
        <v>1</v>
      </c>
      <c r="AI616">
        <v>1</v>
      </c>
      <c r="AJ616">
        <v>1</v>
      </c>
      <c r="AK616">
        <v>7</v>
      </c>
      <c r="AL616">
        <v>1</v>
      </c>
      <c r="AM616">
        <f>AJ616*AK616*AL616/7</f>
        <v>1</v>
      </c>
      <c r="AN616" t="s">
        <v>56</v>
      </c>
      <c r="AO616">
        <v>0</v>
      </c>
      <c r="AV616">
        <f>AU616+AM616</f>
        <v>1</v>
      </c>
      <c r="AX616">
        <v>0</v>
      </c>
      <c r="BE616">
        <f>AM616+AU616+BD616</f>
        <v>1</v>
      </c>
      <c r="BG616">
        <v>0</v>
      </c>
      <c r="BJ616" t="s">
        <v>28</v>
      </c>
      <c r="BK616">
        <v>3</v>
      </c>
      <c r="BL616">
        <v>3</v>
      </c>
      <c r="BM616">
        <v>1</v>
      </c>
      <c r="BN616" t="s">
        <v>30</v>
      </c>
      <c r="BO616">
        <v>1</v>
      </c>
      <c r="BP616">
        <v>42</v>
      </c>
      <c r="BQ616">
        <v>0.13</v>
      </c>
      <c r="BR616">
        <v>0.5</v>
      </c>
      <c r="BS616">
        <v>6.5000000000000002E-2</v>
      </c>
      <c r="BT616">
        <f>BS616+BD616+AU616+AM616</f>
        <v>1.0649999999999999</v>
      </c>
      <c r="BU616">
        <v>1</v>
      </c>
      <c r="BV616">
        <v>0.5</v>
      </c>
      <c r="BW616">
        <v>73.25</v>
      </c>
      <c r="BX616">
        <f>BW616/7</f>
        <v>10.464285714285714</v>
      </c>
      <c r="BY616">
        <f>0.77*BX616</f>
        <v>8.0574999999999992</v>
      </c>
      <c r="BZ616">
        <f t="shared" si="9"/>
        <v>9.1224999999999987</v>
      </c>
    </row>
    <row r="617" spans="1:78">
      <c r="A617" s="1">
        <v>45212.880030335647</v>
      </c>
      <c r="C617">
        <v>616</v>
      </c>
      <c r="D617" s="10">
        <v>30971</v>
      </c>
      <c r="E617">
        <v>38</v>
      </c>
      <c r="F617">
        <v>1</v>
      </c>
      <c r="G617">
        <v>1</v>
      </c>
      <c r="H617">
        <v>4</v>
      </c>
      <c r="I617" s="10">
        <v>44826</v>
      </c>
      <c r="J617">
        <v>2</v>
      </c>
      <c r="K617">
        <v>0</v>
      </c>
      <c r="L617">
        <v>1</v>
      </c>
      <c r="M617">
        <v>3950</v>
      </c>
      <c r="N617">
        <v>2</v>
      </c>
      <c r="O617" s="10">
        <v>44553</v>
      </c>
      <c r="P617">
        <v>0</v>
      </c>
      <c r="Q617">
        <v>39</v>
      </c>
      <c r="R617">
        <v>2</v>
      </c>
      <c r="S617">
        <v>75</v>
      </c>
      <c r="T617">
        <v>165</v>
      </c>
      <c r="U617">
        <v>85</v>
      </c>
      <c r="V617">
        <v>10</v>
      </c>
      <c r="W617">
        <v>2</v>
      </c>
      <c r="X617">
        <v>27.548209366391188</v>
      </c>
      <c r="Y617">
        <v>31.221303948576679</v>
      </c>
      <c r="Z617">
        <v>3.6730945821854917</v>
      </c>
      <c r="AA617">
        <v>3</v>
      </c>
      <c r="AB617">
        <v>4</v>
      </c>
      <c r="AC617" t="s">
        <v>33</v>
      </c>
      <c r="AD617">
        <v>3</v>
      </c>
      <c r="AE617">
        <v>0</v>
      </c>
      <c r="AG617">
        <v>5</v>
      </c>
      <c r="AH617">
        <v>1</v>
      </c>
      <c r="AI617">
        <v>2</v>
      </c>
      <c r="AJ617">
        <v>5</v>
      </c>
      <c r="AK617">
        <v>7</v>
      </c>
      <c r="AL617">
        <v>1</v>
      </c>
      <c r="AM617">
        <f>AJ617*AK617*AL617/7</f>
        <v>5</v>
      </c>
      <c r="AN617" t="s">
        <v>57</v>
      </c>
      <c r="AO617">
        <v>0</v>
      </c>
      <c r="AV617">
        <f>AU617+AM617</f>
        <v>5</v>
      </c>
      <c r="AW617" t="s">
        <v>58</v>
      </c>
      <c r="AX617">
        <v>1</v>
      </c>
      <c r="AY617" t="s">
        <v>58</v>
      </c>
      <c r="AZ617">
        <v>1</v>
      </c>
      <c r="BA617">
        <v>0.8</v>
      </c>
      <c r="BB617">
        <v>7</v>
      </c>
      <c r="BC617">
        <v>1</v>
      </c>
      <c r="BD617">
        <f>BA617*BB617*1/7</f>
        <v>0.8</v>
      </c>
      <c r="BE617">
        <f>AM617+AU617+BD617</f>
        <v>5.8</v>
      </c>
      <c r="BF617" t="s">
        <v>58</v>
      </c>
      <c r="BG617">
        <v>0</v>
      </c>
      <c r="BH617">
        <v>7</v>
      </c>
      <c r="BI617">
        <v>1</v>
      </c>
      <c r="BJ617" t="s">
        <v>28</v>
      </c>
      <c r="BK617">
        <v>3</v>
      </c>
      <c r="BL617">
        <v>1</v>
      </c>
      <c r="BM617">
        <v>1</v>
      </c>
      <c r="BN617" t="s">
        <v>55</v>
      </c>
      <c r="BO617">
        <v>2</v>
      </c>
      <c r="BP617">
        <v>134</v>
      </c>
      <c r="BQ617">
        <v>0.1</v>
      </c>
      <c r="BR617">
        <v>2</v>
      </c>
      <c r="BS617">
        <v>0.2</v>
      </c>
      <c r="BT617">
        <f>BS617+BD617+AU617+AM617</f>
        <v>6</v>
      </c>
      <c r="BU617">
        <v>1</v>
      </c>
      <c r="BV617">
        <v>1</v>
      </c>
      <c r="BW617">
        <v>146.5</v>
      </c>
      <c r="BX617">
        <f>BW617/7</f>
        <v>20.928571428571427</v>
      </c>
      <c r="BY617">
        <f>0.77*BX617</f>
        <v>16.114999999999998</v>
      </c>
      <c r="BZ617">
        <f t="shared" si="9"/>
        <v>22.114999999999998</v>
      </c>
    </row>
    <row r="618" spans="1:78">
      <c r="A618" s="1">
        <v>45212.885429560185</v>
      </c>
      <c r="C618">
        <v>617</v>
      </c>
      <c r="D618" s="10">
        <v>30666</v>
      </c>
      <c r="E618">
        <v>39</v>
      </c>
      <c r="F618">
        <v>1</v>
      </c>
      <c r="G618">
        <v>12</v>
      </c>
      <c r="H618">
        <v>5</v>
      </c>
      <c r="I618" s="10">
        <v>42889</v>
      </c>
      <c r="J618">
        <v>1</v>
      </c>
      <c r="K618">
        <v>1</v>
      </c>
      <c r="L618">
        <v>2</v>
      </c>
      <c r="M618">
        <v>3250</v>
      </c>
      <c r="N618">
        <v>2</v>
      </c>
      <c r="O618" s="10">
        <v>42623</v>
      </c>
      <c r="P618">
        <v>0</v>
      </c>
      <c r="Q618">
        <v>38</v>
      </c>
      <c r="R618">
        <v>2</v>
      </c>
      <c r="S618">
        <v>78</v>
      </c>
      <c r="T618">
        <v>172</v>
      </c>
      <c r="U618">
        <v>85</v>
      </c>
      <c r="V618">
        <v>7</v>
      </c>
      <c r="W618">
        <v>2</v>
      </c>
      <c r="X618">
        <v>26.365603028664147</v>
      </c>
      <c r="Y618">
        <v>28.731746890210928</v>
      </c>
      <c r="Z618">
        <v>2.3661438615467816</v>
      </c>
      <c r="AA618">
        <v>3</v>
      </c>
      <c r="AB618">
        <v>3</v>
      </c>
      <c r="AC618" t="s">
        <v>33</v>
      </c>
      <c r="AD618">
        <v>3</v>
      </c>
      <c r="AE618">
        <v>0</v>
      </c>
      <c r="AG618">
        <v>5</v>
      </c>
      <c r="AH618">
        <v>1</v>
      </c>
      <c r="AI618">
        <v>2</v>
      </c>
      <c r="AJ618">
        <v>5</v>
      </c>
      <c r="AK618">
        <v>7</v>
      </c>
      <c r="AL618">
        <v>1</v>
      </c>
      <c r="AM618">
        <f>AJ618*AK618*AL618/7</f>
        <v>5</v>
      </c>
      <c r="AN618" t="s">
        <v>57</v>
      </c>
      <c r="AO618">
        <v>0</v>
      </c>
      <c r="AV618">
        <f>AU618+AM618</f>
        <v>5</v>
      </c>
      <c r="AX618">
        <v>0</v>
      </c>
      <c r="BE618">
        <f>AM618+AU618+BD618</f>
        <v>5</v>
      </c>
      <c r="BG618">
        <v>0</v>
      </c>
      <c r="BJ618" t="s">
        <v>49</v>
      </c>
      <c r="BK618">
        <v>5</v>
      </c>
      <c r="BL618">
        <v>1</v>
      </c>
      <c r="BM618">
        <v>1</v>
      </c>
      <c r="BN618" t="s">
        <v>37</v>
      </c>
      <c r="BO618">
        <v>4</v>
      </c>
      <c r="BP618">
        <v>110</v>
      </c>
      <c r="BQ618">
        <v>0.05</v>
      </c>
      <c r="BR618">
        <v>2</v>
      </c>
      <c r="BS618">
        <v>0.1</v>
      </c>
      <c r="BT618">
        <f>BS618+BD618+AU618+AM618</f>
        <v>5.0999999999999996</v>
      </c>
      <c r="BU618">
        <v>1</v>
      </c>
      <c r="BV618">
        <v>1</v>
      </c>
      <c r="BW618">
        <v>146.5</v>
      </c>
      <c r="BX618">
        <f>BW618/7</f>
        <v>20.928571428571427</v>
      </c>
      <c r="BY618">
        <f>0.77*BX618</f>
        <v>16.114999999999998</v>
      </c>
      <c r="BZ618">
        <f t="shared" si="9"/>
        <v>21.214999999999996</v>
      </c>
    </row>
    <row r="619" spans="1:78">
      <c r="A619" s="1">
        <v>45212.885981319443</v>
      </c>
      <c r="C619">
        <v>618</v>
      </c>
      <c r="D619" s="10">
        <v>33837</v>
      </c>
      <c r="E619">
        <v>31</v>
      </c>
      <c r="F619">
        <v>1</v>
      </c>
      <c r="G619">
        <v>12</v>
      </c>
      <c r="H619">
        <v>4</v>
      </c>
      <c r="I619" s="10">
        <v>44544</v>
      </c>
      <c r="J619">
        <v>1</v>
      </c>
      <c r="K619">
        <v>1</v>
      </c>
      <c r="L619">
        <v>2</v>
      </c>
      <c r="M619">
        <v>2750</v>
      </c>
      <c r="N619">
        <v>2</v>
      </c>
      <c r="O619" s="10">
        <v>44292</v>
      </c>
      <c r="P619">
        <v>1</v>
      </c>
      <c r="Q619">
        <v>36</v>
      </c>
      <c r="R619">
        <v>3</v>
      </c>
      <c r="S619">
        <v>56</v>
      </c>
      <c r="T619">
        <v>151</v>
      </c>
      <c r="U619">
        <v>66</v>
      </c>
      <c r="V619">
        <v>10</v>
      </c>
      <c r="W619">
        <v>1</v>
      </c>
      <c r="X619">
        <v>24.560326301478007</v>
      </c>
      <c r="Y619">
        <v>28.946098855313362</v>
      </c>
      <c r="Z619">
        <v>4.3857725538353556</v>
      </c>
      <c r="AA619">
        <v>2</v>
      </c>
      <c r="AB619">
        <v>3</v>
      </c>
      <c r="AC619" t="s">
        <v>44</v>
      </c>
      <c r="AD619">
        <v>1</v>
      </c>
      <c r="AE619">
        <v>0</v>
      </c>
      <c r="AG619">
        <v>5</v>
      </c>
      <c r="AH619">
        <v>1</v>
      </c>
      <c r="AI619">
        <v>4</v>
      </c>
      <c r="AJ619">
        <v>1</v>
      </c>
      <c r="AK619">
        <v>7</v>
      </c>
      <c r="AL619">
        <v>1</v>
      </c>
      <c r="AM619">
        <f>AJ619*AK619*AL619/7</f>
        <v>1</v>
      </c>
      <c r="AN619" t="s">
        <v>43</v>
      </c>
      <c r="AO619">
        <v>0</v>
      </c>
      <c r="AV619">
        <f>AU619+AM619</f>
        <v>1</v>
      </c>
      <c r="AX619">
        <v>0</v>
      </c>
      <c r="BE619">
        <f>AM619+AU619+BD619</f>
        <v>1</v>
      </c>
      <c r="BG619">
        <v>0</v>
      </c>
      <c r="BJ619" t="s">
        <v>28</v>
      </c>
      <c r="BK619">
        <v>3</v>
      </c>
      <c r="BL619">
        <v>1</v>
      </c>
      <c r="BM619">
        <v>1</v>
      </c>
      <c r="BN619" t="s">
        <v>55</v>
      </c>
      <c r="BO619">
        <v>2</v>
      </c>
      <c r="BP619">
        <v>134</v>
      </c>
      <c r="BQ619">
        <v>0.1</v>
      </c>
      <c r="BR619">
        <v>2</v>
      </c>
      <c r="BS619">
        <v>0.2</v>
      </c>
      <c r="BT619">
        <f>BS619+BD619+AU619+AM619</f>
        <v>1.2</v>
      </c>
      <c r="BU619">
        <v>1</v>
      </c>
      <c r="BV619">
        <v>1</v>
      </c>
      <c r="BW619">
        <v>146.5</v>
      </c>
      <c r="BX619">
        <f>BW619/7</f>
        <v>20.928571428571427</v>
      </c>
      <c r="BY619">
        <f>0.77*BX619</f>
        <v>16.114999999999998</v>
      </c>
      <c r="BZ619">
        <f t="shared" si="9"/>
        <v>17.314999999999998</v>
      </c>
    </row>
    <row r="620" spans="1:78">
      <c r="A620" s="1">
        <v>45212.888017696758</v>
      </c>
      <c r="C620">
        <v>619</v>
      </c>
      <c r="D620" s="10">
        <v>30242</v>
      </c>
      <c r="E620">
        <v>40</v>
      </c>
      <c r="F620">
        <v>1</v>
      </c>
      <c r="G620">
        <v>2</v>
      </c>
      <c r="H620">
        <v>4</v>
      </c>
      <c r="I620" s="10">
        <v>43839</v>
      </c>
      <c r="J620">
        <v>3</v>
      </c>
      <c r="K620">
        <v>0</v>
      </c>
      <c r="L620">
        <v>1</v>
      </c>
      <c r="M620">
        <v>4005</v>
      </c>
      <c r="N620">
        <v>3</v>
      </c>
      <c r="O620" s="10">
        <v>43559</v>
      </c>
      <c r="P620">
        <v>0</v>
      </c>
      <c r="Q620">
        <v>40</v>
      </c>
      <c r="R620">
        <v>2</v>
      </c>
      <c r="S620">
        <v>72</v>
      </c>
      <c r="T620">
        <v>158</v>
      </c>
      <c r="U620">
        <v>88</v>
      </c>
      <c r="V620">
        <v>16</v>
      </c>
      <c r="W620">
        <v>3</v>
      </c>
      <c r="X620">
        <v>28.841531805800347</v>
      </c>
      <c r="Y620">
        <v>35.250761095978206</v>
      </c>
      <c r="Z620">
        <v>6.4092292901778585</v>
      </c>
      <c r="AA620">
        <v>3</v>
      </c>
      <c r="AB620">
        <v>4</v>
      </c>
      <c r="AC620" t="s">
        <v>44</v>
      </c>
      <c r="AD620">
        <v>1</v>
      </c>
      <c r="AE620">
        <v>0</v>
      </c>
      <c r="AG620">
        <v>5</v>
      </c>
      <c r="AH620">
        <v>1</v>
      </c>
      <c r="AI620">
        <v>2</v>
      </c>
      <c r="AJ620">
        <v>5</v>
      </c>
      <c r="AK620">
        <v>7</v>
      </c>
      <c r="AL620">
        <v>1</v>
      </c>
      <c r="AM620">
        <f>AJ620*AK620*AL620/7</f>
        <v>5</v>
      </c>
      <c r="AN620" t="s">
        <v>57</v>
      </c>
      <c r="AO620">
        <v>0</v>
      </c>
      <c r="AV620">
        <f>AU620+AM620</f>
        <v>5</v>
      </c>
      <c r="AX620">
        <v>0</v>
      </c>
      <c r="BE620">
        <f>AM620+AU620+BD620</f>
        <v>5</v>
      </c>
      <c r="BG620">
        <v>0</v>
      </c>
      <c r="BJ620" t="s">
        <v>49</v>
      </c>
      <c r="BK620">
        <v>5</v>
      </c>
      <c r="BL620">
        <v>1</v>
      </c>
      <c r="BM620">
        <v>1</v>
      </c>
      <c r="BN620" t="s">
        <v>55</v>
      </c>
      <c r="BO620">
        <v>2</v>
      </c>
      <c r="BP620">
        <v>201</v>
      </c>
      <c r="BQ620">
        <v>0.1</v>
      </c>
      <c r="BR620">
        <v>3</v>
      </c>
      <c r="BS620">
        <v>0.30000000000000004</v>
      </c>
      <c r="BT620">
        <f>BS620+BD620+AU620+AM620</f>
        <v>5.3</v>
      </c>
      <c r="BU620">
        <v>1</v>
      </c>
      <c r="BV620">
        <v>2</v>
      </c>
      <c r="BW620">
        <v>293</v>
      </c>
      <c r="BX620">
        <f>BW620/7</f>
        <v>41.857142857142854</v>
      </c>
      <c r="BY620">
        <f>0.77*BX620</f>
        <v>32.229999999999997</v>
      </c>
      <c r="BZ620">
        <f t="shared" si="9"/>
        <v>37.529999999999994</v>
      </c>
    </row>
    <row r="621" spans="1:78">
      <c r="A621" s="1">
        <v>45212.88980261574</v>
      </c>
      <c r="C621">
        <v>620</v>
      </c>
      <c r="D621" s="10">
        <v>30274</v>
      </c>
      <c r="E621">
        <v>40</v>
      </c>
      <c r="F621">
        <v>1</v>
      </c>
      <c r="G621">
        <v>2</v>
      </c>
      <c r="H621">
        <v>5</v>
      </c>
      <c r="I621" s="10">
        <v>44125</v>
      </c>
      <c r="J621">
        <v>2</v>
      </c>
      <c r="K621">
        <v>0</v>
      </c>
      <c r="L621">
        <v>2</v>
      </c>
      <c r="M621">
        <v>3150</v>
      </c>
      <c r="N621">
        <v>2</v>
      </c>
      <c r="O621" s="10">
        <v>43880</v>
      </c>
      <c r="P621">
        <v>0</v>
      </c>
      <c r="Q621">
        <v>35</v>
      </c>
      <c r="R621">
        <v>3</v>
      </c>
      <c r="S621">
        <v>80</v>
      </c>
      <c r="T621">
        <v>160</v>
      </c>
      <c r="U621">
        <v>90</v>
      </c>
      <c r="V621">
        <v>10</v>
      </c>
      <c r="W621">
        <v>2</v>
      </c>
      <c r="X621">
        <v>31.249999999999993</v>
      </c>
      <c r="Y621">
        <v>35.156249999999993</v>
      </c>
      <c r="Z621">
        <v>3.90625</v>
      </c>
      <c r="AA621">
        <v>4</v>
      </c>
      <c r="AB621">
        <v>4</v>
      </c>
      <c r="AC621" t="s">
        <v>33</v>
      </c>
      <c r="AD621">
        <v>3</v>
      </c>
      <c r="AE621">
        <v>0</v>
      </c>
      <c r="AG621">
        <v>5</v>
      </c>
      <c r="AH621">
        <v>1</v>
      </c>
      <c r="AI621">
        <v>13</v>
      </c>
      <c r="AJ621">
        <v>1</v>
      </c>
      <c r="AK621">
        <v>7</v>
      </c>
      <c r="AL621">
        <v>1</v>
      </c>
      <c r="AM621">
        <f>AJ621*AK621*AL621/7</f>
        <v>1</v>
      </c>
      <c r="AN621" t="s">
        <v>79</v>
      </c>
      <c r="AO621">
        <v>0</v>
      </c>
      <c r="AV621">
        <f>AU621+AM621</f>
        <v>1</v>
      </c>
      <c r="AX621">
        <v>0</v>
      </c>
      <c r="BE621">
        <f>AM621+AU621+BD621</f>
        <v>1</v>
      </c>
      <c r="BG621">
        <v>0</v>
      </c>
      <c r="BJ621" t="s">
        <v>49</v>
      </c>
      <c r="BK621">
        <v>5</v>
      </c>
      <c r="BL621">
        <v>1</v>
      </c>
      <c r="BM621">
        <v>1</v>
      </c>
      <c r="BN621" t="s">
        <v>55</v>
      </c>
      <c r="BO621">
        <v>2</v>
      </c>
      <c r="BP621">
        <v>201</v>
      </c>
      <c r="BQ621">
        <v>0.1</v>
      </c>
      <c r="BR621">
        <v>3</v>
      </c>
      <c r="BS621">
        <v>0.30000000000000004</v>
      </c>
      <c r="BT621">
        <f>BS621+BD621+AU621+AM621</f>
        <v>1.3</v>
      </c>
      <c r="BU621">
        <v>1</v>
      </c>
      <c r="BV621">
        <v>1</v>
      </c>
      <c r="BW621">
        <v>146.5</v>
      </c>
      <c r="BX621">
        <f>BW621/7</f>
        <v>20.928571428571427</v>
      </c>
      <c r="BY621">
        <f>0.77*BX621</f>
        <v>16.114999999999998</v>
      </c>
      <c r="BZ621">
        <f t="shared" si="9"/>
        <v>17.414999999999999</v>
      </c>
    </row>
    <row r="622" spans="1:78">
      <c r="A622" s="1">
        <v>45212.897577951386</v>
      </c>
      <c r="C622">
        <v>621</v>
      </c>
      <c r="D622" s="10">
        <v>29463</v>
      </c>
      <c r="E622">
        <v>37</v>
      </c>
      <c r="F622">
        <v>1</v>
      </c>
      <c r="G622">
        <v>3</v>
      </c>
      <c r="H622">
        <v>5</v>
      </c>
      <c r="I622" s="10">
        <v>42908</v>
      </c>
      <c r="J622">
        <v>2</v>
      </c>
      <c r="K622">
        <v>0</v>
      </c>
      <c r="L622">
        <v>2</v>
      </c>
      <c r="M622">
        <v>3480</v>
      </c>
      <c r="N622">
        <v>2</v>
      </c>
      <c r="O622" s="10">
        <v>42642</v>
      </c>
      <c r="P622">
        <v>0</v>
      </c>
      <c r="Q622">
        <v>38</v>
      </c>
      <c r="R622">
        <v>2</v>
      </c>
      <c r="S622">
        <v>54</v>
      </c>
      <c r="T622">
        <v>158</v>
      </c>
      <c r="U622">
        <v>72</v>
      </c>
      <c r="V622">
        <v>18</v>
      </c>
      <c r="W622">
        <v>3</v>
      </c>
      <c r="X622">
        <v>21.631148854350261</v>
      </c>
      <c r="Y622">
        <v>28.841531805800347</v>
      </c>
      <c r="Z622">
        <v>7.2103829514500859</v>
      </c>
      <c r="AA622">
        <v>2</v>
      </c>
      <c r="AB622">
        <v>3</v>
      </c>
      <c r="AC622" t="s">
        <v>33</v>
      </c>
      <c r="AD622">
        <v>3</v>
      </c>
      <c r="AE622">
        <v>0</v>
      </c>
      <c r="AG622">
        <v>5</v>
      </c>
      <c r="AH622">
        <v>1</v>
      </c>
      <c r="AI622">
        <v>5</v>
      </c>
      <c r="AJ622">
        <v>5</v>
      </c>
      <c r="AK622">
        <v>7</v>
      </c>
      <c r="AL622">
        <v>1</v>
      </c>
      <c r="AM622">
        <f>AJ622*AK622*AL622/7</f>
        <v>5</v>
      </c>
      <c r="AN622" t="s">
        <v>27</v>
      </c>
      <c r="AO622">
        <v>0</v>
      </c>
      <c r="AV622">
        <f>AU622+AM622</f>
        <v>5</v>
      </c>
      <c r="AX622">
        <v>0</v>
      </c>
      <c r="BE622">
        <f>AM622+AU622+BD622</f>
        <v>5</v>
      </c>
      <c r="BG622">
        <v>0</v>
      </c>
      <c r="BH622">
        <v>6</v>
      </c>
      <c r="BJ622" t="s">
        <v>49</v>
      </c>
      <c r="BK622">
        <v>5</v>
      </c>
      <c r="BL622">
        <v>1</v>
      </c>
      <c r="BM622">
        <v>1</v>
      </c>
      <c r="BN622" t="s">
        <v>55</v>
      </c>
      <c r="BO622">
        <v>2</v>
      </c>
      <c r="BP622">
        <v>201</v>
      </c>
      <c r="BQ622">
        <v>0.1</v>
      </c>
      <c r="BR622">
        <v>3</v>
      </c>
      <c r="BS622">
        <v>0.30000000000000004</v>
      </c>
      <c r="BT622">
        <f>BS622+BD622+AU622+AM622</f>
        <v>5.3</v>
      </c>
      <c r="BU622">
        <v>1</v>
      </c>
      <c r="BV622">
        <v>2</v>
      </c>
      <c r="BW622">
        <v>293</v>
      </c>
      <c r="BX622">
        <f>BW622/7</f>
        <v>41.857142857142854</v>
      </c>
      <c r="BY622">
        <f>0.77*BX622</f>
        <v>32.229999999999997</v>
      </c>
      <c r="BZ622">
        <f t="shared" si="9"/>
        <v>37.529999999999994</v>
      </c>
    </row>
    <row r="623" spans="1:78">
      <c r="A623" s="1">
        <v>45212.90194181713</v>
      </c>
      <c r="C623">
        <v>622</v>
      </c>
      <c r="D623" s="10">
        <v>33883</v>
      </c>
      <c r="E623">
        <v>31</v>
      </c>
      <c r="F623">
        <v>1</v>
      </c>
      <c r="G623">
        <v>2</v>
      </c>
      <c r="H623">
        <v>4</v>
      </c>
      <c r="I623" s="10">
        <v>44872</v>
      </c>
      <c r="J623">
        <v>1</v>
      </c>
      <c r="K623">
        <v>1</v>
      </c>
      <c r="L623">
        <v>2</v>
      </c>
      <c r="M623">
        <v>3130</v>
      </c>
      <c r="N623">
        <v>2</v>
      </c>
      <c r="O623" s="10">
        <v>44593</v>
      </c>
      <c r="P623">
        <v>0</v>
      </c>
      <c r="Q623">
        <v>39.857142857142854</v>
      </c>
      <c r="R623">
        <v>2</v>
      </c>
      <c r="S623">
        <v>58</v>
      </c>
      <c r="T623">
        <v>151</v>
      </c>
      <c r="U623">
        <v>68</v>
      </c>
      <c r="V623">
        <v>10</v>
      </c>
      <c r="W623">
        <v>2</v>
      </c>
      <c r="X623">
        <v>25.437480812245077</v>
      </c>
      <c r="Y623">
        <v>29.823253366080436</v>
      </c>
      <c r="Z623">
        <v>4.3857725538353591</v>
      </c>
      <c r="AA623">
        <v>3</v>
      </c>
      <c r="AB623">
        <v>3</v>
      </c>
      <c r="AC623" t="s">
        <v>33</v>
      </c>
      <c r="AD623">
        <v>3</v>
      </c>
      <c r="AE623">
        <v>0</v>
      </c>
      <c r="AG623">
        <v>5</v>
      </c>
      <c r="AH623">
        <v>1</v>
      </c>
      <c r="AI623">
        <v>2</v>
      </c>
      <c r="AJ623">
        <v>5</v>
      </c>
      <c r="AK623">
        <v>7</v>
      </c>
      <c r="AL623">
        <v>1</v>
      </c>
      <c r="AM623">
        <f>AJ623*AK623*AL623/7</f>
        <v>5</v>
      </c>
      <c r="AN623" t="s">
        <v>57</v>
      </c>
      <c r="AO623">
        <v>1</v>
      </c>
      <c r="AP623">
        <v>24</v>
      </c>
      <c r="AQ623" t="s">
        <v>192</v>
      </c>
      <c r="AR623">
        <v>0.5</v>
      </c>
      <c r="AS623">
        <v>7</v>
      </c>
      <c r="AT623">
        <v>1</v>
      </c>
      <c r="AU623">
        <f>AR623*AS623*AT623/7</f>
        <v>0.5</v>
      </c>
      <c r="AV623">
        <f>AU623+AM623</f>
        <v>5.5</v>
      </c>
      <c r="AW623" t="s">
        <v>192</v>
      </c>
      <c r="AX623">
        <v>0</v>
      </c>
      <c r="BE623">
        <f>AM623+AU623+BD623</f>
        <v>5.5</v>
      </c>
      <c r="BG623">
        <v>0</v>
      </c>
      <c r="BJ623" t="s">
        <v>114</v>
      </c>
      <c r="BK623">
        <v>6</v>
      </c>
      <c r="BL623">
        <v>1</v>
      </c>
      <c r="BM623">
        <v>1</v>
      </c>
      <c r="BN623" t="s">
        <v>37</v>
      </c>
      <c r="BO623">
        <v>4</v>
      </c>
      <c r="BP623">
        <v>55</v>
      </c>
      <c r="BQ623">
        <v>0.05</v>
      </c>
      <c r="BR623">
        <v>1</v>
      </c>
      <c r="BS623">
        <v>0.05</v>
      </c>
      <c r="BT623">
        <f>BS623+BD623+AU623+AM623</f>
        <v>5.55</v>
      </c>
      <c r="BU623">
        <v>1</v>
      </c>
      <c r="BV623">
        <v>2</v>
      </c>
      <c r="BW623">
        <v>293</v>
      </c>
      <c r="BX623">
        <f>BW623/7</f>
        <v>41.857142857142854</v>
      </c>
      <c r="BY623">
        <f>0.77*BX623</f>
        <v>32.229999999999997</v>
      </c>
      <c r="BZ623">
        <f t="shared" si="9"/>
        <v>37.779999999999994</v>
      </c>
    </row>
    <row r="624" spans="1:78">
      <c r="A624" s="1">
        <v>45212.918218333332</v>
      </c>
      <c r="C624">
        <v>623</v>
      </c>
      <c r="D624" s="10">
        <v>29889</v>
      </c>
      <c r="E624">
        <v>41</v>
      </c>
      <c r="F624">
        <v>1</v>
      </c>
      <c r="G624">
        <v>10</v>
      </c>
      <c r="H624">
        <v>5</v>
      </c>
      <c r="I624" s="10">
        <v>44802</v>
      </c>
      <c r="J624">
        <v>1</v>
      </c>
      <c r="K624">
        <v>1</v>
      </c>
      <c r="L624">
        <v>2</v>
      </c>
      <c r="M624">
        <v>3320</v>
      </c>
      <c r="N624">
        <v>2</v>
      </c>
      <c r="O624" s="10">
        <v>44526</v>
      </c>
      <c r="P624">
        <v>0</v>
      </c>
      <c r="Q624">
        <v>39.428571428571431</v>
      </c>
      <c r="R624">
        <v>2</v>
      </c>
      <c r="S624">
        <v>62</v>
      </c>
      <c r="T624">
        <v>157</v>
      </c>
      <c r="U624">
        <v>71</v>
      </c>
      <c r="V624">
        <v>9</v>
      </c>
      <c r="W624">
        <v>2</v>
      </c>
      <c r="X624">
        <v>25.153150229218223</v>
      </c>
      <c r="Y624">
        <v>28.804413972169254</v>
      </c>
      <c r="Z624">
        <v>3.6512637429510306</v>
      </c>
      <c r="AA624">
        <v>3</v>
      </c>
      <c r="AB624">
        <v>3</v>
      </c>
      <c r="AC624" t="s">
        <v>33</v>
      </c>
      <c r="AD624">
        <v>3</v>
      </c>
      <c r="AE624">
        <v>0</v>
      </c>
      <c r="AG624">
        <v>5</v>
      </c>
      <c r="AH624">
        <v>1</v>
      </c>
      <c r="AI624">
        <v>5</v>
      </c>
      <c r="AJ624">
        <v>5</v>
      </c>
      <c r="AK624">
        <v>7</v>
      </c>
      <c r="AL624">
        <v>1</v>
      </c>
      <c r="AM624">
        <f>AJ624*AK624*AL624/7</f>
        <v>5</v>
      </c>
      <c r="AN624" t="s">
        <v>27</v>
      </c>
      <c r="AO624">
        <v>0</v>
      </c>
      <c r="AV624">
        <f>AU624+AM624</f>
        <v>5</v>
      </c>
      <c r="AW624" t="s">
        <v>58</v>
      </c>
      <c r="AX624">
        <v>1</v>
      </c>
      <c r="AY624" t="s">
        <v>58</v>
      </c>
      <c r="AZ624">
        <v>1</v>
      </c>
      <c r="BA624">
        <v>0.8</v>
      </c>
      <c r="BB624">
        <v>7</v>
      </c>
      <c r="BC624">
        <v>1</v>
      </c>
      <c r="BD624">
        <f>BA624*BB624*1/7</f>
        <v>0.8</v>
      </c>
      <c r="BE624">
        <f>AM624+AU624+BD624</f>
        <v>5.8</v>
      </c>
      <c r="BF624" t="s">
        <v>58</v>
      </c>
      <c r="BG624">
        <v>0</v>
      </c>
      <c r="BH624">
        <v>7</v>
      </c>
      <c r="BI624">
        <v>1</v>
      </c>
      <c r="BJ624" t="s">
        <v>49</v>
      </c>
      <c r="BK624">
        <v>5</v>
      </c>
      <c r="BL624">
        <v>1</v>
      </c>
      <c r="BM624">
        <v>1</v>
      </c>
      <c r="BN624" t="s">
        <v>55</v>
      </c>
      <c r="BO624">
        <v>2</v>
      </c>
      <c r="BP624">
        <v>134</v>
      </c>
      <c r="BQ624">
        <v>0.1</v>
      </c>
      <c r="BR624">
        <v>2</v>
      </c>
      <c r="BS624">
        <v>0.2</v>
      </c>
      <c r="BT624">
        <f>BS624+BD624+AU624+AM624</f>
        <v>6</v>
      </c>
      <c r="BU624">
        <v>1</v>
      </c>
      <c r="BV624">
        <v>3</v>
      </c>
      <c r="BW624">
        <v>439.5</v>
      </c>
      <c r="BX624">
        <f>BW624/7</f>
        <v>62.785714285714285</v>
      </c>
      <c r="BY624">
        <f>0.77*BX624</f>
        <v>48.344999999999999</v>
      </c>
      <c r="BZ624">
        <f t="shared" si="9"/>
        <v>54.344999999999999</v>
      </c>
    </row>
    <row r="625" spans="1:78">
      <c r="A625" s="1">
        <v>45212.925100312495</v>
      </c>
      <c r="C625">
        <v>624</v>
      </c>
      <c r="D625" s="10">
        <v>32989</v>
      </c>
      <c r="E625">
        <v>33</v>
      </c>
      <c r="F625">
        <v>1</v>
      </c>
      <c r="G625">
        <v>1</v>
      </c>
      <c r="H625">
        <v>4</v>
      </c>
      <c r="I625" s="10">
        <v>43882</v>
      </c>
      <c r="J625">
        <v>2</v>
      </c>
      <c r="K625">
        <v>0</v>
      </c>
      <c r="L625">
        <v>1</v>
      </c>
      <c r="M625">
        <v>3300</v>
      </c>
      <c r="N625">
        <v>2</v>
      </c>
      <c r="O625" s="10">
        <v>43602</v>
      </c>
      <c r="P625">
        <v>0</v>
      </c>
      <c r="Q625">
        <v>40</v>
      </c>
      <c r="R625">
        <v>2</v>
      </c>
      <c r="S625">
        <v>70</v>
      </c>
      <c r="T625">
        <v>157</v>
      </c>
      <c r="U625">
        <v>80</v>
      </c>
      <c r="V625">
        <v>10</v>
      </c>
      <c r="W625">
        <v>2</v>
      </c>
      <c r="X625">
        <v>28.398718000730252</v>
      </c>
      <c r="Y625">
        <v>32.455677715120288</v>
      </c>
      <c r="Z625">
        <v>4.056959714390036</v>
      </c>
      <c r="AA625">
        <v>3</v>
      </c>
      <c r="AB625">
        <v>4</v>
      </c>
      <c r="AC625" t="s">
        <v>33</v>
      </c>
      <c r="AD625">
        <v>3</v>
      </c>
      <c r="AE625">
        <v>0</v>
      </c>
      <c r="AG625">
        <v>5</v>
      </c>
      <c r="AH625">
        <v>1</v>
      </c>
      <c r="AI625">
        <v>13</v>
      </c>
      <c r="AJ625">
        <v>1</v>
      </c>
      <c r="AK625">
        <v>7</v>
      </c>
      <c r="AL625">
        <v>1</v>
      </c>
      <c r="AM625">
        <f>AJ625*AK625*AL625/7</f>
        <v>1</v>
      </c>
      <c r="AN625" t="s">
        <v>79</v>
      </c>
      <c r="AO625">
        <v>0</v>
      </c>
      <c r="AV625">
        <f>AU625+AM625</f>
        <v>1</v>
      </c>
      <c r="AX625">
        <v>0</v>
      </c>
      <c r="BE625">
        <f>AM625+AU625+BD625</f>
        <v>1</v>
      </c>
      <c r="BG625">
        <v>0</v>
      </c>
      <c r="BJ625" t="s">
        <v>49</v>
      </c>
      <c r="BK625">
        <v>5</v>
      </c>
      <c r="BL625">
        <v>1</v>
      </c>
      <c r="BM625">
        <v>1</v>
      </c>
      <c r="BN625" t="s">
        <v>55</v>
      </c>
      <c r="BO625">
        <v>2</v>
      </c>
      <c r="BP625">
        <v>134</v>
      </c>
      <c r="BQ625">
        <v>0.1</v>
      </c>
      <c r="BR625">
        <v>2</v>
      </c>
      <c r="BS625">
        <v>0.2</v>
      </c>
      <c r="BT625">
        <f>BS625+BD625+AU625+AM625</f>
        <v>1.2</v>
      </c>
      <c r="BU625">
        <v>1</v>
      </c>
      <c r="BV625">
        <v>4</v>
      </c>
      <c r="BW625">
        <v>586</v>
      </c>
      <c r="BX625">
        <f>BW625/7</f>
        <v>83.714285714285708</v>
      </c>
      <c r="BY625">
        <f>0.77*BX625</f>
        <v>64.459999999999994</v>
      </c>
      <c r="BZ625">
        <f t="shared" si="9"/>
        <v>65.66</v>
      </c>
    </row>
    <row r="626" spans="1:78">
      <c r="A626" s="1">
        <v>45212.926802442133</v>
      </c>
      <c r="B626" t="s">
        <v>865</v>
      </c>
      <c r="C626">
        <v>625</v>
      </c>
      <c r="D626" s="10">
        <v>28718</v>
      </c>
      <c r="E626">
        <v>45</v>
      </c>
      <c r="F626">
        <v>1</v>
      </c>
      <c r="G626">
        <v>1</v>
      </c>
      <c r="H626">
        <v>5</v>
      </c>
      <c r="I626" s="10">
        <v>43909</v>
      </c>
      <c r="J626">
        <v>2</v>
      </c>
      <c r="K626">
        <v>0</v>
      </c>
      <c r="L626">
        <v>1</v>
      </c>
      <c r="M626">
        <v>4250</v>
      </c>
      <c r="N626">
        <v>3</v>
      </c>
      <c r="O626" s="10">
        <v>43630</v>
      </c>
      <c r="P626">
        <v>0</v>
      </c>
      <c r="Q626">
        <v>39.857142857142854</v>
      </c>
      <c r="R626">
        <v>2</v>
      </c>
      <c r="S626">
        <v>60</v>
      </c>
      <c r="T626">
        <v>161</v>
      </c>
      <c r="U626">
        <v>70</v>
      </c>
      <c r="V626">
        <v>10</v>
      </c>
      <c r="W626">
        <v>1</v>
      </c>
      <c r="X626">
        <v>23.147255121330193</v>
      </c>
      <c r="Y626">
        <v>27.005130974885226</v>
      </c>
      <c r="Z626">
        <v>3.8578758535550328</v>
      </c>
      <c r="AA626">
        <v>2</v>
      </c>
      <c r="AB626">
        <v>3</v>
      </c>
      <c r="AC626" t="s">
        <v>33</v>
      </c>
      <c r="AD626">
        <v>3</v>
      </c>
      <c r="AE626">
        <v>0</v>
      </c>
      <c r="AG626">
        <v>5</v>
      </c>
      <c r="AH626">
        <v>1</v>
      </c>
      <c r="AI626">
        <v>5</v>
      </c>
      <c r="AJ626">
        <v>5</v>
      </c>
      <c r="AK626">
        <v>7</v>
      </c>
      <c r="AL626">
        <v>1</v>
      </c>
      <c r="AM626">
        <f>AJ626*AK626*AL626/7</f>
        <v>5</v>
      </c>
      <c r="AN626" t="s">
        <v>27</v>
      </c>
      <c r="AO626">
        <v>0</v>
      </c>
      <c r="AV626">
        <f>AU626+AM626</f>
        <v>5</v>
      </c>
      <c r="AW626" t="s">
        <v>809</v>
      </c>
      <c r="AX626">
        <v>1</v>
      </c>
      <c r="AY626" t="s">
        <v>809</v>
      </c>
      <c r="AZ626">
        <v>16</v>
      </c>
      <c r="BA626" t="s">
        <v>258</v>
      </c>
      <c r="BB626">
        <v>5</v>
      </c>
      <c r="BC626">
        <v>1</v>
      </c>
      <c r="BE626">
        <f>AM626+AU626+BD626</f>
        <v>5</v>
      </c>
      <c r="BF626" t="s">
        <v>809</v>
      </c>
      <c r="BG626">
        <v>0</v>
      </c>
      <c r="BH626">
        <v>5</v>
      </c>
      <c r="BI626">
        <v>1</v>
      </c>
      <c r="BJ626" t="s">
        <v>42</v>
      </c>
      <c r="BK626">
        <v>6</v>
      </c>
      <c r="BL626">
        <v>1</v>
      </c>
      <c r="BM626">
        <v>1</v>
      </c>
      <c r="BN626" t="s">
        <v>37</v>
      </c>
      <c r="BO626">
        <v>4</v>
      </c>
      <c r="BP626">
        <v>27.5</v>
      </c>
      <c r="BQ626">
        <v>0.05</v>
      </c>
      <c r="BR626">
        <v>0.5</v>
      </c>
      <c r="BS626">
        <v>2.5000000000000001E-2</v>
      </c>
      <c r="BT626">
        <f>BS626+BD626+AU626+AM626</f>
        <v>5.0250000000000004</v>
      </c>
      <c r="BU626">
        <v>1</v>
      </c>
      <c r="BV626">
        <v>0.5</v>
      </c>
      <c r="BW626">
        <v>73.25</v>
      </c>
      <c r="BX626">
        <f>BW626/7</f>
        <v>10.464285714285714</v>
      </c>
      <c r="BY626">
        <f>0.77*BX626</f>
        <v>8.0574999999999992</v>
      </c>
      <c r="BZ626">
        <f t="shared" si="9"/>
        <v>13.0825</v>
      </c>
    </row>
    <row r="627" spans="1:78">
      <c r="A627" s="1">
        <v>45212.952925763893</v>
      </c>
      <c r="C627">
        <v>626</v>
      </c>
      <c r="D627" s="10">
        <v>30154</v>
      </c>
      <c r="E627">
        <v>41</v>
      </c>
      <c r="F627">
        <v>1</v>
      </c>
      <c r="G627">
        <v>1</v>
      </c>
      <c r="H627">
        <v>4</v>
      </c>
      <c r="I627" s="10">
        <v>44774</v>
      </c>
      <c r="J627">
        <v>2</v>
      </c>
      <c r="K627">
        <v>0</v>
      </c>
      <c r="L627">
        <v>2</v>
      </c>
      <c r="M627">
        <v>4020</v>
      </c>
      <c r="N627">
        <v>3</v>
      </c>
      <c r="O627" s="10">
        <v>44501</v>
      </c>
      <c r="P627">
        <v>0</v>
      </c>
      <c r="Q627">
        <v>39</v>
      </c>
      <c r="R627">
        <v>2</v>
      </c>
      <c r="S627">
        <v>56</v>
      </c>
      <c r="T627">
        <v>171</v>
      </c>
      <c r="U627">
        <v>64</v>
      </c>
      <c r="V627">
        <v>8</v>
      </c>
      <c r="W627">
        <v>1</v>
      </c>
      <c r="X627">
        <v>19.151191819705211</v>
      </c>
      <c r="Y627">
        <v>21.887076365377382</v>
      </c>
      <c r="Z627">
        <v>2.735884545672171</v>
      </c>
      <c r="AA627">
        <v>2</v>
      </c>
      <c r="AB627">
        <v>2</v>
      </c>
      <c r="AC627" t="s">
        <v>89</v>
      </c>
      <c r="AD627">
        <v>2</v>
      </c>
      <c r="AE627">
        <v>0</v>
      </c>
      <c r="AG627">
        <v>5</v>
      </c>
      <c r="AH627">
        <v>1</v>
      </c>
      <c r="AI627">
        <v>2</v>
      </c>
      <c r="AJ627">
        <v>5</v>
      </c>
      <c r="AK627">
        <v>7</v>
      </c>
      <c r="AL627">
        <v>1</v>
      </c>
      <c r="AM627">
        <f>AJ627*AK627*AL627/7</f>
        <v>5</v>
      </c>
      <c r="AN627" t="s">
        <v>57</v>
      </c>
      <c r="AO627">
        <v>0</v>
      </c>
      <c r="AV627">
        <f>AU627+AM627</f>
        <v>5</v>
      </c>
      <c r="AW627" t="s">
        <v>58</v>
      </c>
      <c r="AX627">
        <v>1</v>
      </c>
      <c r="AY627" t="s">
        <v>58</v>
      </c>
      <c r="AZ627">
        <v>1</v>
      </c>
      <c r="BA627">
        <v>0.8</v>
      </c>
      <c r="BB627">
        <v>7</v>
      </c>
      <c r="BC627">
        <v>1</v>
      </c>
      <c r="BD627">
        <f>BA627*BB627*1/7</f>
        <v>0.8</v>
      </c>
      <c r="BE627">
        <f>AM627+AU627+BD627</f>
        <v>5.8</v>
      </c>
      <c r="BF627" t="s">
        <v>58</v>
      </c>
      <c r="BG627">
        <v>0</v>
      </c>
      <c r="BH627">
        <v>7</v>
      </c>
      <c r="BI627">
        <v>1</v>
      </c>
      <c r="BJ627" t="s">
        <v>42</v>
      </c>
      <c r="BK627">
        <v>6</v>
      </c>
      <c r="BL627">
        <v>1</v>
      </c>
      <c r="BM627">
        <v>1</v>
      </c>
      <c r="BN627" t="s">
        <v>30</v>
      </c>
      <c r="BO627">
        <v>1</v>
      </c>
      <c r="BP627">
        <v>168</v>
      </c>
      <c r="BQ627">
        <v>0.13</v>
      </c>
      <c r="BR627">
        <v>2</v>
      </c>
      <c r="BS627">
        <v>0.26</v>
      </c>
      <c r="BT627">
        <f>BS627+BD627+AU627+AM627</f>
        <v>6.0600000000000005</v>
      </c>
      <c r="BU627">
        <v>1</v>
      </c>
      <c r="BV627">
        <v>1</v>
      </c>
      <c r="BW627">
        <v>146.5</v>
      </c>
      <c r="BX627">
        <f>BW627/7</f>
        <v>20.928571428571427</v>
      </c>
      <c r="BY627">
        <f>0.77*BX627</f>
        <v>16.114999999999998</v>
      </c>
      <c r="BZ627">
        <f t="shared" si="9"/>
        <v>22.174999999999997</v>
      </c>
    </row>
    <row r="628" spans="1:78">
      <c r="A628" s="1">
        <v>45212.954793310186</v>
      </c>
      <c r="C628">
        <v>627</v>
      </c>
      <c r="D628" s="10">
        <v>32979</v>
      </c>
      <c r="E628">
        <v>33</v>
      </c>
      <c r="F628">
        <v>1</v>
      </c>
      <c r="G628">
        <v>1</v>
      </c>
      <c r="H628">
        <v>4</v>
      </c>
      <c r="I628" s="10">
        <v>44081</v>
      </c>
      <c r="J628">
        <v>1</v>
      </c>
      <c r="K628">
        <v>1</v>
      </c>
      <c r="L628">
        <v>2</v>
      </c>
      <c r="M628">
        <v>2450</v>
      </c>
      <c r="N628">
        <v>1</v>
      </c>
      <c r="O628" s="10">
        <v>43836</v>
      </c>
      <c r="P628">
        <v>0</v>
      </c>
      <c r="Q628">
        <v>35</v>
      </c>
      <c r="R628">
        <v>3</v>
      </c>
      <c r="S628">
        <v>80</v>
      </c>
      <c r="T628">
        <v>168</v>
      </c>
      <c r="U628">
        <v>88</v>
      </c>
      <c r="V628">
        <v>8</v>
      </c>
      <c r="W628">
        <v>2</v>
      </c>
      <c r="X628">
        <v>28.344671201814062</v>
      </c>
      <c r="Y628">
        <v>31.17913832199547</v>
      </c>
      <c r="Z628">
        <v>2.834467120181408</v>
      </c>
      <c r="AA628">
        <v>3</v>
      </c>
      <c r="AB628">
        <v>4</v>
      </c>
      <c r="AC628" t="s">
        <v>33</v>
      </c>
      <c r="AD628">
        <v>3</v>
      </c>
      <c r="AE628">
        <v>0</v>
      </c>
      <c r="AG628">
        <v>5</v>
      </c>
      <c r="AH628">
        <v>1</v>
      </c>
      <c r="AI628">
        <v>10</v>
      </c>
      <c r="AJ628">
        <v>1</v>
      </c>
      <c r="AK628">
        <v>7</v>
      </c>
      <c r="AL628">
        <v>1</v>
      </c>
      <c r="AM628">
        <f>AJ628*AK628*AL628/7</f>
        <v>1</v>
      </c>
      <c r="AN628" t="s">
        <v>166</v>
      </c>
      <c r="AO628">
        <v>0</v>
      </c>
      <c r="AV628">
        <f>AU628+AM628</f>
        <v>1</v>
      </c>
      <c r="AW628" t="s">
        <v>419</v>
      </c>
      <c r="AX628">
        <v>0</v>
      </c>
      <c r="BE628">
        <f>AM628+AU628+BD628</f>
        <v>1</v>
      </c>
      <c r="BF628" t="s">
        <v>419</v>
      </c>
      <c r="BG628">
        <v>1</v>
      </c>
      <c r="BH628">
        <v>7</v>
      </c>
      <c r="BI628">
        <v>1</v>
      </c>
      <c r="BJ628" t="s">
        <v>49</v>
      </c>
      <c r="BK628">
        <v>5</v>
      </c>
      <c r="BL628">
        <v>1</v>
      </c>
      <c r="BM628">
        <v>1</v>
      </c>
      <c r="BN628" t="s">
        <v>30</v>
      </c>
      <c r="BO628">
        <v>1</v>
      </c>
      <c r="BP628">
        <v>168</v>
      </c>
      <c r="BQ628">
        <v>0.13</v>
      </c>
      <c r="BR628">
        <v>2</v>
      </c>
      <c r="BS628">
        <v>0.26</v>
      </c>
      <c r="BT628">
        <f>BS628+BD628+AU628+AM628</f>
        <v>1.26</v>
      </c>
      <c r="BU628">
        <v>1</v>
      </c>
      <c r="BV628">
        <v>1</v>
      </c>
      <c r="BW628">
        <v>146.5</v>
      </c>
      <c r="BX628">
        <f>BW628/7</f>
        <v>20.928571428571427</v>
      </c>
      <c r="BY628">
        <f>0.77*BX628</f>
        <v>16.114999999999998</v>
      </c>
      <c r="BZ628">
        <f t="shared" si="9"/>
        <v>17.375</v>
      </c>
    </row>
    <row r="629" spans="1:78">
      <c r="A629" s="1">
        <v>45212.954920995369</v>
      </c>
      <c r="C629">
        <v>628</v>
      </c>
      <c r="D629" s="10">
        <v>31356</v>
      </c>
      <c r="E629">
        <v>37</v>
      </c>
      <c r="F629">
        <v>1</v>
      </c>
      <c r="G629">
        <v>2</v>
      </c>
      <c r="H629">
        <v>5</v>
      </c>
      <c r="I629" s="10">
        <v>44650</v>
      </c>
      <c r="J629">
        <v>1</v>
      </c>
      <c r="K629">
        <v>1</v>
      </c>
      <c r="L629">
        <v>2</v>
      </c>
      <c r="M629">
        <v>2440</v>
      </c>
      <c r="N629">
        <v>1</v>
      </c>
      <c r="O629" s="10">
        <v>44398</v>
      </c>
      <c r="P629">
        <v>1</v>
      </c>
      <c r="Q629">
        <v>36</v>
      </c>
      <c r="R629">
        <v>3</v>
      </c>
      <c r="S629">
        <v>62</v>
      </c>
      <c r="T629">
        <v>169</v>
      </c>
      <c r="U629">
        <v>81</v>
      </c>
      <c r="V629">
        <v>19</v>
      </c>
      <c r="W629">
        <v>3</v>
      </c>
      <c r="X629">
        <v>21.707923392038097</v>
      </c>
      <c r="Y629">
        <v>28.360351528307834</v>
      </c>
      <c r="Z629">
        <v>6.6524281362697373</v>
      </c>
      <c r="AA629">
        <v>2</v>
      </c>
      <c r="AB629">
        <v>3</v>
      </c>
      <c r="AC629" t="s">
        <v>33</v>
      </c>
      <c r="AD629">
        <v>3</v>
      </c>
      <c r="AE629">
        <v>0</v>
      </c>
      <c r="AG629">
        <v>5</v>
      </c>
      <c r="AH629">
        <v>1</v>
      </c>
      <c r="AI629">
        <v>1</v>
      </c>
      <c r="AJ629">
        <v>1</v>
      </c>
      <c r="AK629">
        <v>7</v>
      </c>
      <c r="AL629">
        <v>1</v>
      </c>
      <c r="AM629">
        <f>AJ629*AK629*AL629/7</f>
        <v>1</v>
      </c>
      <c r="AN629" t="s">
        <v>56</v>
      </c>
      <c r="AO629">
        <v>0</v>
      </c>
      <c r="AV629">
        <f>AU629+AM629</f>
        <v>1</v>
      </c>
      <c r="AW629" t="s">
        <v>58</v>
      </c>
      <c r="AX629">
        <v>1</v>
      </c>
      <c r="AY629" t="s">
        <v>58</v>
      </c>
      <c r="AZ629">
        <v>1</v>
      </c>
      <c r="BA629">
        <v>0.8</v>
      </c>
      <c r="BB629">
        <v>7</v>
      </c>
      <c r="BC629">
        <v>1</v>
      </c>
      <c r="BD629">
        <f>BA629*BB629*1/7</f>
        <v>0.8</v>
      </c>
      <c r="BE629">
        <f>AM629+AU629+BD629</f>
        <v>1.8</v>
      </c>
      <c r="BF629" t="s">
        <v>58</v>
      </c>
      <c r="BG629">
        <v>0</v>
      </c>
      <c r="BH629">
        <v>7</v>
      </c>
      <c r="BI629">
        <v>1</v>
      </c>
      <c r="BJ629" t="s">
        <v>54</v>
      </c>
      <c r="BK629">
        <v>2</v>
      </c>
      <c r="BL629">
        <v>1</v>
      </c>
      <c r="BM629">
        <v>1</v>
      </c>
      <c r="BN629" t="s">
        <v>55</v>
      </c>
      <c r="BO629">
        <v>2</v>
      </c>
      <c r="BP629">
        <v>67</v>
      </c>
      <c r="BQ629">
        <v>0.1</v>
      </c>
      <c r="BR629">
        <v>1</v>
      </c>
      <c r="BS629">
        <v>0.1</v>
      </c>
      <c r="BT629">
        <f>BS629+BD629+AU629+AM629</f>
        <v>1.9</v>
      </c>
      <c r="BU629">
        <v>1</v>
      </c>
      <c r="BV629">
        <v>0.5</v>
      </c>
      <c r="BW629">
        <v>73.25</v>
      </c>
      <c r="BX629">
        <f>BW629/7</f>
        <v>10.464285714285714</v>
      </c>
      <c r="BY629">
        <f>0.77*BX629</f>
        <v>8.0574999999999992</v>
      </c>
      <c r="BZ629">
        <f t="shared" si="9"/>
        <v>9.9574999999999996</v>
      </c>
    </row>
    <row r="630" spans="1:78">
      <c r="A630" s="1">
        <v>45212.958240023145</v>
      </c>
      <c r="C630">
        <v>629</v>
      </c>
      <c r="D630" s="10">
        <v>30237</v>
      </c>
      <c r="E630">
        <v>41</v>
      </c>
      <c r="F630">
        <v>1</v>
      </c>
      <c r="G630">
        <v>3</v>
      </c>
      <c r="H630">
        <v>4</v>
      </c>
      <c r="I630" s="10">
        <v>42900</v>
      </c>
      <c r="J630">
        <v>2</v>
      </c>
      <c r="K630">
        <v>0</v>
      </c>
      <c r="L630">
        <v>2</v>
      </c>
      <c r="M630">
        <v>3250</v>
      </c>
      <c r="N630">
        <v>2</v>
      </c>
      <c r="O630" s="10">
        <v>42622</v>
      </c>
      <c r="P630">
        <v>0</v>
      </c>
      <c r="Q630">
        <v>39.714285714285715</v>
      </c>
      <c r="R630">
        <v>2</v>
      </c>
      <c r="S630">
        <v>56</v>
      </c>
      <c r="T630">
        <v>163</v>
      </c>
      <c r="U630">
        <v>61</v>
      </c>
      <c r="V630">
        <v>5</v>
      </c>
      <c r="W630">
        <v>1</v>
      </c>
      <c r="X630">
        <v>21.077195227520797</v>
      </c>
      <c r="Y630">
        <v>22.959087658549439</v>
      </c>
      <c r="Z630">
        <v>1.8818924310286427</v>
      </c>
      <c r="AA630">
        <v>2</v>
      </c>
      <c r="AB630">
        <v>2</v>
      </c>
      <c r="AC630" t="s">
        <v>33</v>
      </c>
      <c r="AD630">
        <v>3</v>
      </c>
      <c r="AE630">
        <v>0</v>
      </c>
      <c r="AG630">
        <v>5</v>
      </c>
      <c r="AH630">
        <v>1</v>
      </c>
      <c r="AI630">
        <v>1</v>
      </c>
      <c r="AJ630">
        <v>1</v>
      </c>
      <c r="AK630">
        <v>7</v>
      </c>
      <c r="AL630">
        <v>1</v>
      </c>
      <c r="AM630">
        <f>AJ630*AK630*AL630/7</f>
        <v>1</v>
      </c>
      <c r="AN630" t="s">
        <v>56</v>
      </c>
      <c r="AO630">
        <v>0</v>
      </c>
      <c r="AV630">
        <f>AU630+AM630</f>
        <v>1</v>
      </c>
      <c r="AX630">
        <v>0</v>
      </c>
      <c r="BE630">
        <f>AM630+AU630+BD630</f>
        <v>1</v>
      </c>
      <c r="BG630">
        <v>0</v>
      </c>
      <c r="BJ630" t="s">
        <v>49</v>
      </c>
      <c r="BK630">
        <v>5</v>
      </c>
      <c r="BL630">
        <v>3</v>
      </c>
      <c r="BM630">
        <v>1</v>
      </c>
      <c r="BN630" t="s">
        <v>55</v>
      </c>
      <c r="BO630">
        <v>2</v>
      </c>
      <c r="BP630">
        <v>134</v>
      </c>
      <c r="BQ630">
        <v>0.1</v>
      </c>
      <c r="BR630">
        <v>2</v>
      </c>
      <c r="BS630">
        <v>0.2</v>
      </c>
      <c r="BT630">
        <f>BS630+BD630+AU630+AM630</f>
        <v>1.2</v>
      </c>
      <c r="BU630">
        <v>1</v>
      </c>
      <c r="BV630">
        <v>2</v>
      </c>
      <c r="BW630">
        <v>293</v>
      </c>
      <c r="BX630">
        <f>BW630/7</f>
        <v>41.857142857142854</v>
      </c>
      <c r="BY630">
        <f>0.77*BX630</f>
        <v>32.229999999999997</v>
      </c>
      <c r="BZ630">
        <f t="shared" si="9"/>
        <v>33.43</v>
      </c>
    </row>
    <row r="631" spans="1:78">
      <c r="A631" s="1">
        <v>45212.979801967595</v>
      </c>
      <c r="C631">
        <v>630</v>
      </c>
      <c r="D631" s="10">
        <v>31937</v>
      </c>
      <c r="E631">
        <v>36</v>
      </c>
      <c r="F631">
        <v>1</v>
      </c>
      <c r="G631">
        <v>10</v>
      </c>
      <c r="H631">
        <v>4</v>
      </c>
      <c r="I631" s="10">
        <v>44050</v>
      </c>
      <c r="J631">
        <v>2</v>
      </c>
      <c r="K631">
        <v>0</v>
      </c>
      <c r="L631">
        <v>1</v>
      </c>
      <c r="M631">
        <v>3854</v>
      </c>
      <c r="N631">
        <v>2</v>
      </c>
      <c r="O631" s="10">
        <v>43777</v>
      </c>
      <c r="P631">
        <v>0</v>
      </c>
      <c r="Q631">
        <v>39</v>
      </c>
      <c r="R631">
        <v>2</v>
      </c>
      <c r="S631">
        <v>82</v>
      </c>
      <c r="T631">
        <v>178</v>
      </c>
      <c r="U631">
        <v>86</v>
      </c>
      <c r="V631">
        <v>4</v>
      </c>
      <c r="W631">
        <v>1</v>
      </c>
      <c r="X631">
        <v>25.880570635020831</v>
      </c>
      <c r="Y631">
        <v>27.143037495265748</v>
      </c>
      <c r="Z631">
        <v>1.2624668602449169</v>
      </c>
      <c r="AA631">
        <v>3</v>
      </c>
      <c r="AB631">
        <v>3</v>
      </c>
      <c r="AC631" t="s">
        <v>33</v>
      </c>
      <c r="AD631">
        <v>3</v>
      </c>
      <c r="AE631">
        <v>0</v>
      </c>
      <c r="AG631">
        <v>5</v>
      </c>
      <c r="AH631">
        <v>1</v>
      </c>
      <c r="AI631">
        <v>5</v>
      </c>
      <c r="AJ631">
        <v>5</v>
      </c>
      <c r="AK631">
        <v>7</v>
      </c>
      <c r="AL631">
        <v>1</v>
      </c>
      <c r="AM631">
        <f>AJ631*AK631*AL631/7</f>
        <v>5</v>
      </c>
      <c r="AN631" t="s">
        <v>27</v>
      </c>
      <c r="AO631">
        <v>0</v>
      </c>
      <c r="AV631">
        <f>AU631+AM631</f>
        <v>5</v>
      </c>
      <c r="AW631" t="s">
        <v>58</v>
      </c>
      <c r="AX631">
        <v>1</v>
      </c>
      <c r="AY631" t="s">
        <v>58</v>
      </c>
      <c r="AZ631">
        <v>1</v>
      </c>
      <c r="BA631">
        <v>0.8</v>
      </c>
      <c r="BB631">
        <v>7</v>
      </c>
      <c r="BC631">
        <v>1</v>
      </c>
      <c r="BD631">
        <f>BA631*BB631*1/7</f>
        <v>0.8</v>
      </c>
      <c r="BE631">
        <f>AM631+AU631+BD631</f>
        <v>5.8</v>
      </c>
      <c r="BF631" t="s">
        <v>58</v>
      </c>
      <c r="BG631">
        <v>0</v>
      </c>
      <c r="BH631">
        <v>7</v>
      </c>
      <c r="BI631">
        <v>1</v>
      </c>
      <c r="BJ631" t="s">
        <v>42</v>
      </c>
      <c r="BK631">
        <v>6</v>
      </c>
      <c r="BL631">
        <v>3</v>
      </c>
      <c r="BM631">
        <v>1</v>
      </c>
      <c r="BN631" t="s">
        <v>30</v>
      </c>
      <c r="BO631">
        <v>1</v>
      </c>
      <c r="BP631">
        <v>168</v>
      </c>
      <c r="BQ631">
        <v>0.13</v>
      </c>
      <c r="BR631">
        <v>2</v>
      </c>
      <c r="BS631">
        <v>0.26</v>
      </c>
      <c r="BT631">
        <f>BS631+BD631+AU631+AM631</f>
        <v>6.0600000000000005</v>
      </c>
      <c r="BU631">
        <v>1</v>
      </c>
      <c r="BV631">
        <v>2</v>
      </c>
      <c r="BW631">
        <v>293</v>
      </c>
      <c r="BX631">
        <f>BW631/7</f>
        <v>41.857142857142854</v>
      </c>
      <c r="BY631">
        <f>0.77*BX631</f>
        <v>32.229999999999997</v>
      </c>
      <c r="BZ631">
        <f t="shared" si="9"/>
        <v>38.29</v>
      </c>
    </row>
    <row r="632" spans="1:78">
      <c r="A632" s="1">
        <v>45212.993299942129</v>
      </c>
      <c r="C632">
        <v>631</v>
      </c>
      <c r="D632" s="10">
        <v>31601</v>
      </c>
      <c r="E632">
        <v>37</v>
      </c>
      <c r="F632">
        <v>1</v>
      </c>
      <c r="G632">
        <v>2</v>
      </c>
      <c r="H632">
        <v>4</v>
      </c>
      <c r="I632" s="10">
        <v>44445</v>
      </c>
      <c r="J632">
        <v>3</v>
      </c>
      <c r="K632">
        <v>0</v>
      </c>
      <c r="L632">
        <v>2</v>
      </c>
      <c r="M632">
        <v>4125</v>
      </c>
      <c r="N632">
        <v>3</v>
      </c>
      <c r="O632" s="10">
        <v>44165</v>
      </c>
      <c r="P632">
        <v>1</v>
      </c>
      <c r="Q632">
        <v>40</v>
      </c>
      <c r="R632">
        <v>2</v>
      </c>
      <c r="S632">
        <v>50</v>
      </c>
      <c r="T632">
        <v>153</v>
      </c>
      <c r="U632">
        <v>60.5</v>
      </c>
      <c r="V632">
        <v>10.5</v>
      </c>
      <c r="W632">
        <v>1</v>
      </c>
      <c r="X632">
        <v>21.35930624973301</v>
      </c>
      <c r="Y632">
        <v>25.844760562176941</v>
      </c>
      <c r="Z632">
        <v>4.485454312443931</v>
      </c>
      <c r="AA632">
        <v>2</v>
      </c>
      <c r="AB632">
        <v>3</v>
      </c>
      <c r="AC632" t="s">
        <v>33</v>
      </c>
      <c r="AD632">
        <v>3</v>
      </c>
      <c r="AE632">
        <v>0</v>
      </c>
      <c r="AG632">
        <v>5</v>
      </c>
      <c r="AH632">
        <v>1</v>
      </c>
      <c r="AI632">
        <v>10</v>
      </c>
      <c r="AJ632">
        <v>1</v>
      </c>
      <c r="AK632">
        <v>7</v>
      </c>
      <c r="AL632">
        <v>1</v>
      </c>
      <c r="AM632">
        <f>AJ632*AK632*AL632/7</f>
        <v>1</v>
      </c>
      <c r="AN632" t="s">
        <v>166</v>
      </c>
      <c r="AO632">
        <v>0</v>
      </c>
      <c r="AV632">
        <f>AU632+AM632</f>
        <v>1</v>
      </c>
      <c r="AX632">
        <v>0</v>
      </c>
      <c r="BE632">
        <f>AM632+AU632+BD632</f>
        <v>1</v>
      </c>
      <c r="BG632">
        <v>0</v>
      </c>
      <c r="BJ632" t="s">
        <v>49</v>
      </c>
      <c r="BK632">
        <v>5</v>
      </c>
      <c r="BL632">
        <v>3</v>
      </c>
      <c r="BM632">
        <v>1</v>
      </c>
      <c r="BN632" t="s">
        <v>30</v>
      </c>
      <c r="BO632">
        <v>1</v>
      </c>
      <c r="BP632">
        <v>84</v>
      </c>
      <c r="BQ632">
        <v>0.13</v>
      </c>
      <c r="BR632">
        <v>1</v>
      </c>
      <c r="BS632">
        <v>0.13</v>
      </c>
      <c r="BT632">
        <f>BS632+BD632+AU632+AM632</f>
        <v>1.1299999999999999</v>
      </c>
      <c r="BU632">
        <v>1</v>
      </c>
      <c r="BV632">
        <v>0.5</v>
      </c>
      <c r="BW632">
        <v>73.25</v>
      </c>
      <c r="BX632">
        <f>BW632/7</f>
        <v>10.464285714285714</v>
      </c>
      <c r="BY632">
        <f>0.77*BX632</f>
        <v>8.0574999999999992</v>
      </c>
      <c r="BZ632">
        <f t="shared" si="9"/>
        <v>9.1875</v>
      </c>
    </row>
    <row r="633" spans="1:78">
      <c r="A633" s="1">
        <v>45213.006645706017</v>
      </c>
      <c r="C633">
        <v>632</v>
      </c>
      <c r="D633" s="10">
        <v>30004</v>
      </c>
      <c r="E633">
        <v>41</v>
      </c>
      <c r="F633">
        <v>1</v>
      </c>
      <c r="G633">
        <v>1</v>
      </c>
      <c r="H633">
        <v>4</v>
      </c>
      <c r="I633" s="10">
        <v>43633</v>
      </c>
      <c r="J633">
        <v>1</v>
      </c>
      <c r="K633">
        <v>1</v>
      </c>
      <c r="L633">
        <v>2</v>
      </c>
      <c r="M633">
        <v>1880</v>
      </c>
      <c r="N633">
        <v>1</v>
      </c>
      <c r="O633" s="10">
        <v>43388</v>
      </c>
      <c r="P633">
        <v>0</v>
      </c>
      <c r="Q633">
        <v>35</v>
      </c>
      <c r="R633">
        <v>3</v>
      </c>
      <c r="S633">
        <v>87</v>
      </c>
      <c r="T633">
        <v>158</v>
      </c>
      <c r="U633">
        <v>80</v>
      </c>
      <c r="V633">
        <v>-7</v>
      </c>
      <c r="W633">
        <v>1</v>
      </c>
      <c r="X633">
        <v>34.850184265342087</v>
      </c>
      <c r="Y633">
        <v>32.046146450889275</v>
      </c>
      <c r="Z633">
        <v>-2.804037814452812</v>
      </c>
      <c r="AA633">
        <v>4</v>
      </c>
      <c r="AB633">
        <v>4</v>
      </c>
      <c r="AC633" t="s">
        <v>173</v>
      </c>
      <c r="AD633">
        <v>1</v>
      </c>
      <c r="AE633">
        <v>0</v>
      </c>
      <c r="AG633">
        <v>5</v>
      </c>
      <c r="AH633">
        <v>1</v>
      </c>
      <c r="AI633">
        <v>5</v>
      </c>
      <c r="AJ633">
        <v>5</v>
      </c>
      <c r="AK633">
        <v>7</v>
      </c>
      <c r="AL633">
        <v>1</v>
      </c>
      <c r="AM633">
        <f>AJ633*AK633*AL633/7</f>
        <v>5</v>
      </c>
      <c r="AN633" t="s">
        <v>27</v>
      </c>
      <c r="AO633">
        <v>0</v>
      </c>
      <c r="AV633">
        <f>AU633+AM633</f>
        <v>5</v>
      </c>
      <c r="AX633">
        <v>0</v>
      </c>
      <c r="BE633">
        <f>AM633+AU633+BD633</f>
        <v>5</v>
      </c>
      <c r="BG633">
        <v>0</v>
      </c>
      <c r="BJ633" t="s">
        <v>42</v>
      </c>
      <c r="BK633">
        <v>6</v>
      </c>
      <c r="BL633">
        <v>1</v>
      </c>
      <c r="BM633">
        <v>1</v>
      </c>
      <c r="BN633" t="s">
        <v>55</v>
      </c>
      <c r="BO633">
        <v>2</v>
      </c>
      <c r="BP633">
        <v>134</v>
      </c>
      <c r="BQ633">
        <v>0.1</v>
      </c>
      <c r="BR633">
        <v>2</v>
      </c>
      <c r="BS633">
        <v>0.2</v>
      </c>
      <c r="BT633">
        <f>BS633+BD633+AU633+AM633</f>
        <v>5.2</v>
      </c>
      <c r="BU633">
        <v>1</v>
      </c>
      <c r="BV633">
        <v>1</v>
      </c>
      <c r="BW633">
        <v>146.5</v>
      </c>
      <c r="BX633">
        <f>BW633/7</f>
        <v>20.928571428571427</v>
      </c>
      <c r="BY633">
        <f>0.77*BX633</f>
        <v>16.114999999999998</v>
      </c>
      <c r="BZ633">
        <f t="shared" si="9"/>
        <v>21.314999999999998</v>
      </c>
    </row>
    <row r="634" spans="1:78">
      <c r="A634" s="1">
        <v>45213.021708078704</v>
      </c>
      <c r="C634">
        <v>633</v>
      </c>
      <c r="D634" s="10">
        <v>30301</v>
      </c>
      <c r="E634">
        <v>40</v>
      </c>
      <c r="F634">
        <v>1</v>
      </c>
      <c r="G634">
        <v>1</v>
      </c>
      <c r="H634">
        <v>4</v>
      </c>
      <c r="I634" s="10">
        <v>44938</v>
      </c>
      <c r="J634">
        <v>1</v>
      </c>
      <c r="K634">
        <v>1</v>
      </c>
      <c r="L634">
        <v>1</v>
      </c>
      <c r="M634">
        <v>3815</v>
      </c>
      <c r="N634">
        <v>2</v>
      </c>
      <c r="O634" s="10">
        <v>44666</v>
      </c>
      <c r="P634">
        <v>0</v>
      </c>
      <c r="Q634">
        <v>38.857142857142854</v>
      </c>
      <c r="R634">
        <v>2</v>
      </c>
      <c r="S634">
        <v>72</v>
      </c>
      <c r="T634">
        <v>160</v>
      </c>
      <c r="U634">
        <v>78</v>
      </c>
      <c r="V634">
        <v>6</v>
      </c>
      <c r="W634">
        <v>1</v>
      </c>
      <c r="X634">
        <v>28.124999999999993</v>
      </c>
      <c r="Y634">
        <v>30.468749999999993</v>
      </c>
      <c r="Z634">
        <v>2.34375</v>
      </c>
      <c r="AA634">
        <v>3</v>
      </c>
      <c r="AB634">
        <v>4</v>
      </c>
      <c r="AC634" t="s">
        <v>33</v>
      </c>
      <c r="AD634">
        <v>3</v>
      </c>
      <c r="AE634">
        <v>1</v>
      </c>
      <c r="AF634" t="s">
        <v>422</v>
      </c>
      <c r="AG634">
        <v>3</v>
      </c>
      <c r="AH634">
        <v>1</v>
      </c>
      <c r="AI634">
        <v>2</v>
      </c>
      <c r="AJ634">
        <v>5</v>
      </c>
      <c r="AK634">
        <v>7</v>
      </c>
      <c r="AL634">
        <v>1</v>
      </c>
      <c r="AM634">
        <f>AJ634*AK634*AL634/7</f>
        <v>5</v>
      </c>
      <c r="AN634" t="s">
        <v>57</v>
      </c>
      <c r="AO634">
        <v>0</v>
      </c>
      <c r="AV634">
        <f>AU634+AM634</f>
        <v>5</v>
      </c>
      <c r="AW634" t="s">
        <v>423</v>
      </c>
      <c r="AX634">
        <v>0</v>
      </c>
      <c r="BE634">
        <f>AM634+AU634+BD634</f>
        <v>5</v>
      </c>
      <c r="BF634" t="s">
        <v>423</v>
      </c>
      <c r="BG634">
        <v>1</v>
      </c>
      <c r="BH634">
        <v>7</v>
      </c>
      <c r="BI634">
        <v>1</v>
      </c>
      <c r="BJ634" t="s">
        <v>36</v>
      </c>
      <c r="BK634">
        <v>4</v>
      </c>
      <c r="BL634">
        <v>4</v>
      </c>
      <c r="BM634">
        <v>1</v>
      </c>
      <c r="BN634" t="s">
        <v>37</v>
      </c>
      <c r="BO634">
        <v>4</v>
      </c>
      <c r="BP634">
        <v>110</v>
      </c>
      <c r="BQ634">
        <v>0.05</v>
      </c>
      <c r="BR634">
        <v>2</v>
      </c>
      <c r="BS634">
        <v>0.1</v>
      </c>
      <c r="BT634">
        <f>BS634+BD634+AU634+AM634</f>
        <v>5.0999999999999996</v>
      </c>
      <c r="BU634">
        <v>1</v>
      </c>
      <c r="BV634">
        <v>1</v>
      </c>
      <c r="BW634">
        <v>146.5</v>
      </c>
      <c r="BX634">
        <f>BW634/7</f>
        <v>20.928571428571427</v>
      </c>
      <c r="BY634">
        <f>0.77*BX634</f>
        <v>16.114999999999998</v>
      </c>
      <c r="BZ634">
        <f t="shared" si="9"/>
        <v>21.214999999999996</v>
      </c>
    </row>
    <row r="635" spans="1:78">
      <c r="A635" s="1">
        <v>45213.098168703698</v>
      </c>
      <c r="C635">
        <v>634</v>
      </c>
      <c r="D635" s="10">
        <v>33129</v>
      </c>
      <c r="E635">
        <v>33</v>
      </c>
      <c r="F635">
        <v>1</v>
      </c>
      <c r="G635">
        <v>6</v>
      </c>
      <c r="H635">
        <v>4</v>
      </c>
      <c r="I635" s="10">
        <v>44939</v>
      </c>
      <c r="J635">
        <v>2</v>
      </c>
      <c r="K635">
        <v>0</v>
      </c>
      <c r="L635">
        <v>1</v>
      </c>
      <c r="M635">
        <v>2990</v>
      </c>
      <c r="N635">
        <v>2</v>
      </c>
      <c r="O635" s="10">
        <v>44673</v>
      </c>
      <c r="P635">
        <v>0</v>
      </c>
      <c r="Q635">
        <v>38</v>
      </c>
      <c r="R635">
        <v>2</v>
      </c>
      <c r="S635">
        <v>63</v>
      </c>
      <c r="T635">
        <v>148</v>
      </c>
      <c r="U635">
        <v>74</v>
      </c>
      <c r="V635">
        <v>11</v>
      </c>
      <c r="W635">
        <v>2</v>
      </c>
      <c r="X635">
        <v>28.761869978086196</v>
      </c>
      <c r="Y635">
        <v>33.783783783783782</v>
      </c>
      <c r="Z635">
        <v>5.0219138056975865</v>
      </c>
      <c r="AA635">
        <v>3</v>
      </c>
      <c r="AB635">
        <v>4</v>
      </c>
      <c r="AC635" t="s">
        <v>33</v>
      </c>
      <c r="AD635">
        <v>3</v>
      </c>
      <c r="AE635">
        <v>0</v>
      </c>
      <c r="AG635">
        <v>5</v>
      </c>
      <c r="AH635">
        <v>1</v>
      </c>
      <c r="AI635">
        <v>13</v>
      </c>
      <c r="AJ635">
        <v>1</v>
      </c>
      <c r="AK635">
        <v>7</v>
      </c>
      <c r="AL635">
        <v>1</v>
      </c>
      <c r="AM635">
        <f>AJ635*AK635*AL635/7</f>
        <v>1</v>
      </c>
      <c r="AN635" t="s">
        <v>79</v>
      </c>
      <c r="AO635">
        <v>0</v>
      </c>
      <c r="AV635">
        <f>AU635+AM635</f>
        <v>1</v>
      </c>
      <c r="AX635">
        <v>0</v>
      </c>
      <c r="BE635">
        <f>AM635+AU635+BD635</f>
        <v>1</v>
      </c>
      <c r="BG635">
        <v>0</v>
      </c>
      <c r="BJ635" t="s">
        <v>49</v>
      </c>
      <c r="BK635">
        <v>5</v>
      </c>
      <c r="BL635">
        <v>1</v>
      </c>
      <c r="BM635">
        <v>1</v>
      </c>
      <c r="BN635" t="s">
        <v>55</v>
      </c>
      <c r="BO635">
        <v>2</v>
      </c>
      <c r="BP635">
        <v>33.5</v>
      </c>
      <c r="BQ635">
        <v>0.1</v>
      </c>
      <c r="BR635">
        <v>0.5</v>
      </c>
      <c r="BS635">
        <v>0.05</v>
      </c>
      <c r="BT635">
        <f>BS635+BD635+AU635+AM635</f>
        <v>1.05</v>
      </c>
      <c r="BU635">
        <v>1</v>
      </c>
      <c r="BV635">
        <v>1</v>
      </c>
      <c r="BW635">
        <v>146.5</v>
      </c>
      <c r="BX635">
        <f>BW635/7</f>
        <v>20.928571428571427</v>
      </c>
      <c r="BY635">
        <f>0.77*BX635</f>
        <v>16.114999999999998</v>
      </c>
      <c r="BZ635">
        <f t="shared" si="9"/>
        <v>17.164999999999999</v>
      </c>
    </row>
    <row r="636" spans="1:78">
      <c r="A636" s="1">
        <v>45213.246683055557</v>
      </c>
      <c r="C636">
        <v>635</v>
      </c>
      <c r="D636" s="10">
        <v>31540</v>
      </c>
      <c r="E636">
        <v>37</v>
      </c>
      <c r="F636">
        <v>1</v>
      </c>
      <c r="G636">
        <v>1</v>
      </c>
      <c r="H636">
        <v>4</v>
      </c>
      <c r="I636" s="10">
        <v>44991</v>
      </c>
      <c r="J636">
        <v>3</v>
      </c>
      <c r="K636">
        <v>0</v>
      </c>
      <c r="L636">
        <v>2</v>
      </c>
      <c r="M636">
        <v>3570</v>
      </c>
      <c r="N636">
        <v>2</v>
      </c>
      <c r="O636" s="10">
        <v>44725</v>
      </c>
      <c r="P636">
        <v>0</v>
      </c>
      <c r="Q636">
        <v>38</v>
      </c>
      <c r="R636">
        <v>2</v>
      </c>
      <c r="S636">
        <v>114</v>
      </c>
      <c r="T636">
        <v>165</v>
      </c>
      <c r="U636">
        <v>112</v>
      </c>
      <c r="V636">
        <v>-2</v>
      </c>
      <c r="W636">
        <v>1</v>
      </c>
      <c r="X636">
        <v>41.873278236914608</v>
      </c>
      <c r="Y636">
        <v>41.138659320477508</v>
      </c>
      <c r="Z636">
        <v>-0.73461891643709976</v>
      </c>
      <c r="AA636">
        <v>4</v>
      </c>
      <c r="AB636">
        <v>4</v>
      </c>
      <c r="AC636" t="s">
        <v>33</v>
      </c>
      <c r="AD636">
        <v>3</v>
      </c>
      <c r="AE636">
        <v>0</v>
      </c>
      <c r="AG636">
        <v>5</v>
      </c>
      <c r="AH636">
        <v>1</v>
      </c>
      <c r="AI636">
        <v>13</v>
      </c>
      <c r="AJ636">
        <v>1</v>
      </c>
      <c r="AK636">
        <v>7</v>
      </c>
      <c r="AL636">
        <v>1</v>
      </c>
      <c r="AM636">
        <f>AJ636*AK636*AL636/7</f>
        <v>1</v>
      </c>
      <c r="AN636" t="s">
        <v>79</v>
      </c>
      <c r="AO636">
        <v>0</v>
      </c>
      <c r="AV636">
        <f>AU636+AM636</f>
        <v>1</v>
      </c>
      <c r="AX636">
        <v>0</v>
      </c>
      <c r="BE636">
        <f>AM636+AU636+BD636</f>
        <v>1</v>
      </c>
      <c r="BG636">
        <v>0</v>
      </c>
      <c r="BJ636" t="s">
        <v>49</v>
      </c>
      <c r="BK636">
        <v>5</v>
      </c>
      <c r="BL636">
        <v>1</v>
      </c>
      <c r="BM636">
        <v>1</v>
      </c>
      <c r="BN636" t="s">
        <v>55</v>
      </c>
      <c r="BO636">
        <v>2</v>
      </c>
      <c r="BP636">
        <v>134</v>
      </c>
      <c r="BQ636">
        <v>0.1</v>
      </c>
      <c r="BR636">
        <v>2</v>
      </c>
      <c r="BS636">
        <v>0.2</v>
      </c>
      <c r="BT636">
        <f>BS636+BD636+AU636+AM636</f>
        <v>1.2</v>
      </c>
      <c r="BU636">
        <v>1</v>
      </c>
      <c r="BV636">
        <v>2</v>
      </c>
      <c r="BW636">
        <v>293</v>
      </c>
      <c r="BX636">
        <f>BW636/7</f>
        <v>41.857142857142854</v>
      </c>
      <c r="BY636">
        <f>0.77*BX636</f>
        <v>32.229999999999997</v>
      </c>
      <c r="BZ636">
        <f t="shared" si="9"/>
        <v>33.43</v>
      </c>
    </row>
    <row r="637" spans="1:78">
      <c r="A637" s="1">
        <v>45213.289843194449</v>
      </c>
      <c r="C637">
        <v>636</v>
      </c>
      <c r="D637" s="10">
        <v>33335</v>
      </c>
      <c r="E637">
        <v>32</v>
      </c>
      <c r="F637">
        <v>1</v>
      </c>
      <c r="G637">
        <v>1</v>
      </c>
      <c r="H637">
        <v>4</v>
      </c>
      <c r="I637" s="10">
        <v>44352</v>
      </c>
      <c r="J637">
        <v>2</v>
      </c>
      <c r="K637">
        <v>0</v>
      </c>
      <c r="L637">
        <v>1</v>
      </c>
      <c r="M637">
        <v>3180</v>
      </c>
      <c r="N637">
        <v>2</v>
      </c>
      <c r="O637" s="10">
        <v>44093</v>
      </c>
      <c r="P637">
        <v>1</v>
      </c>
      <c r="Q637">
        <v>37</v>
      </c>
      <c r="R637">
        <v>2</v>
      </c>
      <c r="S637">
        <v>84</v>
      </c>
      <c r="T637">
        <v>164</v>
      </c>
      <c r="U637">
        <v>93</v>
      </c>
      <c r="V637">
        <v>9</v>
      </c>
      <c r="W637">
        <v>2</v>
      </c>
      <c r="X637">
        <v>31.231409875074366</v>
      </c>
      <c r="Y637">
        <v>34.577632361689474</v>
      </c>
      <c r="Z637">
        <v>3.3462224866151082</v>
      </c>
      <c r="AA637">
        <v>4</v>
      </c>
      <c r="AB637">
        <v>4</v>
      </c>
      <c r="AC637" t="s">
        <v>50</v>
      </c>
      <c r="AD637">
        <v>2</v>
      </c>
      <c r="AE637">
        <v>0</v>
      </c>
      <c r="AG637">
        <v>5</v>
      </c>
      <c r="AH637">
        <v>1</v>
      </c>
      <c r="AI637">
        <v>4</v>
      </c>
      <c r="AJ637">
        <v>1</v>
      </c>
      <c r="AK637">
        <v>5</v>
      </c>
      <c r="AL637">
        <v>1</v>
      </c>
      <c r="AM637">
        <f>AJ637*AK637*AL637/7</f>
        <v>0.7142857142857143</v>
      </c>
      <c r="AN637" t="s">
        <v>43</v>
      </c>
      <c r="AO637">
        <v>0</v>
      </c>
      <c r="AV637">
        <f>AU637+AM637</f>
        <v>0.7142857142857143</v>
      </c>
      <c r="AW637" t="s">
        <v>98</v>
      </c>
      <c r="AX637">
        <v>1</v>
      </c>
      <c r="AY637" t="s">
        <v>98</v>
      </c>
      <c r="AZ637">
        <v>14</v>
      </c>
      <c r="BA637">
        <v>0.5</v>
      </c>
      <c r="BB637">
        <v>6</v>
      </c>
      <c r="BC637">
        <v>2</v>
      </c>
      <c r="BD637">
        <f>BA637*BB637*1/7</f>
        <v>0.42857142857142855</v>
      </c>
      <c r="BE637">
        <f>AM637+AU637+BD637</f>
        <v>1.1428571428571428</v>
      </c>
      <c r="BF637" t="s">
        <v>98</v>
      </c>
      <c r="BG637">
        <v>0</v>
      </c>
      <c r="BH637">
        <v>6</v>
      </c>
      <c r="BI637">
        <v>2</v>
      </c>
      <c r="BJ637" t="s">
        <v>28</v>
      </c>
      <c r="BK637">
        <v>3</v>
      </c>
      <c r="BL637">
        <v>1</v>
      </c>
      <c r="BM637">
        <v>1</v>
      </c>
      <c r="BN637" t="s">
        <v>55</v>
      </c>
      <c r="BO637">
        <v>2</v>
      </c>
      <c r="BP637">
        <v>201</v>
      </c>
      <c r="BQ637">
        <v>0.1</v>
      </c>
      <c r="BR637">
        <v>3</v>
      </c>
      <c r="BS637">
        <v>0.30000000000000004</v>
      </c>
      <c r="BT637">
        <f>BS637+BD637+AU637+AM637</f>
        <v>1.4428571428571431</v>
      </c>
      <c r="BU637">
        <v>1</v>
      </c>
      <c r="BV637">
        <v>2</v>
      </c>
      <c r="BW637">
        <v>293</v>
      </c>
      <c r="BX637">
        <f>BW637/7</f>
        <v>41.857142857142854</v>
      </c>
      <c r="BY637">
        <f>0.77*BX637</f>
        <v>32.229999999999997</v>
      </c>
      <c r="BZ637">
        <f t="shared" si="9"/>
        <v>33.67285714285714</v>
      </c>
    </row>
    <row r="638" spans="1:78">
      <c r="A638" s="1">
        <v>45213.322736550923</v>
      </c>
      <c r="C638">
        <v>637</v>
      </c>
      <c r="D638" s="10">
        <v>31194</v>
      </c>
      <c r="E638">
        <v>38</v>
      </c>
      <c r="F638">
        <v>1</v>
      </c>
      <c r="G638">
        <v>1</v>
      </c>
      <c r="H638">
        <v>5</v>
      </c>
      <c r="I638" s="10">
        <v>44026</v>
      </c>
      <c r="J638">
        <v>2</v>
      </c>
      <c r="K638">
        <v>0</v>
      </c>
      <c r="L638">
        <v>1</v>
      </c>
      <c r="M638">
        <v>4000</v>
      </c>
      <c r="N638">
        <v>2</v>
      </c>
      <c r="O638" s="10">
        <v>43746</v>
      </c>
      <c r="P638">
        <v>0</v>
      </c>
      <c r="Q638">
        <v>40</v>
      </c>
      <c r="R638">
        <v>2</v>
      </c>
      <c r="S638">
        <v>72</v>
      </c>
      <c r="T638">
        <v>165</v>
      </c>
      <c r="U638">
        <v>81</v>
      </c>
      <c r="V638">
        <v>9</v>
      </c>
      <c r="W638">
        <v>2</v>
      </c>
      <c r="X638">
        <v>26.446280991735541</v>
      </c>
      <c r="Y638">
        <v>29.752066115702483</v>
      </c>
      <c r="Z638">
        <v>3.3057851239669418</v>
      </c>
      <c r="AA638">
        <v>3</v>
      </c>
      <c r="AB638">
        <v>3</v>
      </c>
      <c r="AC638" t="s">
        <v>33</v>
      </c>
      <c r="AD638">
        <v>3</v>
      </c>
      <c r="AE638">
        <v>0</v>
      </c>
      <c r="AG638">
        <v>5</v>
      </c>
      <c r="AH638">
        <v>1</v>
      </c>
      <c r="AI638">
        <v>13</v>
      </c>
      <c r="AJ638">
        <v>1</v>
      </c>
      <c r="AK638">
        <v>7</v>
      </c>
      <c r="AL638">
        <v>1</v>
      </c>
      <c r="AM638">
        <f>AJ638*AK638*AL638/7</f>
        <v>1</v>
      </c>
      <c r="AN638" t="s">
        <v>79</v>
      </c>
      <c r="AO638">
        <v>0</v>
      </c>
      <c r="AV638">
        <f>AU638+AM638</f>
        <v>1</v>
      </c>
      <c r="AX638">
        <v>0</v>
      </c>
      <c r="BE638">
        <f>AM638+AU638+BD638</f>
        <v>1</v>
      </c>
      <c r="BG638">
        <v>0</v>
      </c>
      <c r="BJ638" t="s">
        <v>49</v>
      </c>
      <c r="BK638">
        <v>5</v>
      </c>
      <c r="BL638">
        <v>1</v>
      </c>
      <c r="BM638">
        <v>1</v>
      </c>
      <c r="BN638" t="s">
        <v>30</v>
      </c>
      <c r="BO638">
        <v>1</v>
      </c>
      <c r="BP638">
        <v>168</v>
      </c>
      <c r="BQ638">
        <v>0.13</v>
      </c>
      <c r="BR638">
        <v>2</v>
      </c>
      <c r="BS638">
        <v>0.26</v>
      </c>
      <c r="BT638">
        <f>BS638+BD638+AU638+AM638</f>
        <v>1.26</v>
      </c>
      <c r="BU638">
        <v>1</v>
      </c>
      <c r="BV638">
        <v>5</v>
      </c>
      <c r="BW638">
        <v>732.5</v>
      </c>
      <c r="BX638">
        <f>BW638/7</f>
        <v>104.64285714285714</v>
      </c>
      <c r="BY638">
        <f>0.77*BX638</f>
        <v>80.575000000000003</v>
      </c>
      <c r="BZ638">
        <f t="shared" si="9"/>
        <v>81.835000000000008</v>
      </c>
    </row>
    <row r="639" spans="1:78">
      <c r="A639" s="1">
        <v>45213.322837662039</v>
      </c>
      <c r="C639">
        <v>638</v>
      </c>
      <c r="D639" s="10">
        <v>31654</v>
      </c>
      <c r="E639">
        <v>37</v>
      </c>
      <c r="F639">
        <v>1</v>
      </c>
      <c r="G639">
        <v>1</v>
      </c>
      <c r="H639">
        <v>3</v>
      </c>
      <c r="I639" s="10">
        <v>43842</v>
      </c>
      <c r="J639">
        <v>3</v>
      </c>
      <c r="K639">
        <v>0</v>
      </c>
      <c r="L639">
        <v>1</v>
      </c>
      <c r="M639">
        <v>3680</v>
      </c>
      <c r="N639">
        <v>2</v>
      </c>
      <c r="O639" s="10">
        <v>43576</v>
      </c>
      <c r="P639">
        <v>0</v>
      </c>
      <c r="Q639">
        <v>38</v>
      </c>
      <c r="R639">
        <v>2</v>
      </c>
      <c r="S639">
        <v>50</v>
      </c>
      <c r="T639">
        <v>152</v>
      </c>
      <c r="U639">
        <v>60</v>
      </c>
      <c r="V639">
        <v>10</v>
      </c>
      <c r="W639">
        <v>1</v>
      </c>
      <c r="X639">
        <v>21.641274238227147</v>
      </c>
      <c r="Y639">
        <v>25.969529085872576</v>
      </c>
      <c r="Z639">
        <v>4.3282548476454288</v>
      </c>
      <c r="AA639">
        <v>2</v>
      </c>
      <c r="AB639">
        <v>3</v>
      </c>
      <c r="AC639" t="s">
        <v>33</v>
      </c>
      <c r="AD639">
        <v>3</v>
      </c>
      <c r="AE639">
        <v>0</v>
      </c>
      <c r="AG639">
        <v>5</v>
      </c>
      <c r="AH639">
        <v>0</v>
      </c>
      <c r="AI639">
        <v>0</v>
      </c>
      <c r="AO639">
        <v>0</v>
      </c>
      <c r="AX639">
        <v>0</v>
      </c>
      <c r="BG639">
        <v>0</v>
      </c>
      <c r="BJ639" t="s">
        <v>51</v>
      </c>
      <c r="BK639">
        <v>1</v>
      </c>
      <c r="BL639">
        <v>3</v>
      </c>
      <c r="BM639">
        <v>1</v>
      </c>
      <c r="BN639" t="s">
        <v>30</v>
      </c>
      <c r="BO639">
        <v>1</v>
      </c>
      <c r="BP639">
        <v>252</v>
      </c>
      <c r="BQ639">
        <v>0.13</v>
      </c>
      <c r="BR639">
        <v>3</v>
      </c>
      <c r="BS639">
        <v>0.39</v>
      </c>
      <c r="BT639">
        <f>BS639+BD639+AU639+AM639</f>
        <v>0.39</v>
      </c>
      <c r="BU639">
        <v>1</v>
      </c>
      <c r="BV639">
        <v>4</v>
      </c>
      <c r="BW639">
        <v>586</v>
      </c>
      <c r="BX639">
        <f>BW639/7</f>
        <v>83.714285714285708</v>
      </c>
      <c r="BY639">
        <f>0.77*BX639</f>
        <v>64.459999999999994</v>
      </c>
      <c r="BZ639">
        <f t="shared" si="9"/>
        <v>64.849999999999994</v>
      </c>
    </row>
    <row r="640" spans="1:78">
      <c r="A640" s="1">
        <v>45213.325512164352</v>
      </c>
      <c r="C640">
        <v>639</v>
      </c>
      <c r="D640" s="10">
        <v>30823</v>
      </c>
      <c r="E640">
        <v>39</v>
      </c>
      <c r="F640">
        <v>1</v>
      </c>
      <c r="G640">
        <v>10</v>
      </c>
      <c r="H640">
        <v>5</v>
      </c>
      <c r="I640" s="10">
        <v>43378</v>
      </c>
      <c r="J640">
        <v>1</v>
      </c>
      <c r="K640">
        <v>1</v>
      </c>
      <c r="L640">
        <v>2</v>
      </c>
      <c r="M640">
        <v>3150</v>
      </c>
      <c r="N640">
        <v>2</v>
      </c>
      <c r="O640" s="10">
        <v>43119</v>
      </c>
      <c r="P640">
        <v>0</v>
      </c>
      <c r="Q640">
        <v>37</v>
      </c>
      <c r="R640">
        <v>2</v>
      </c>
      <c r="S640">
        <v>70.3</v>
      </c>
      <c r="T640">
        <v>170.4</v>
      </c>
      <c r="U640">
        <v>77.3</v>
      </c>
      <c r="V640">
        <v>7</v>
      </c>
      <c r="W640">
        <v>1</v>
      </c>
      <c r="X640">
        <v>24.211190460446559</v>
      </c>
      <c r="Y640">
        <v>26.621977561771253</v>
      </c>
      <c r="Z640">
        <v>2.4107871013246935</v>
      </c>
      <c r="AA640">
        <v>2</v>
      </c>
      <c r="AB640">
        <v>3</v>
      </c>
      <c r="AC640" t="s">
        <v>33</v>
      </c>
      <c r="AD640">
        <v>3</v>
      </c>
      <c r="AE640">
        <v>0</v>
      </c>
      <c r="AG640">
        <v>5</v>
      </c>
      <c r="AH640">
        <v>0</v>
      </c>
      <c r="AI640">
        <v>0</v>
      </c>
      <c r="AN640" t="s">
        <v>41</v>
      </c>
      <c r="AO640">
        <v>0</v>
      </c>
      <c r="AW640" t="s">
        <v>58</v>
      </c>
      <c r="AX640">
        <v>1</v>
      </c>
      <c r="AY640" t="s">
        <v>58</v>
      </c>
      <c r="AZ640">
        <v>1</v>
      </c>
      <c r="BA640">
        <v>0.8</v>
      </c>
      <c r="BB640">
        <v>7</v>
      </c>
      <c r="BC640">
        <v>1</v>
      </c>
      <c r="BD640">
        <f>BA640*BB640*1/7</f>
        <v>0.8</v>
      </c>
      <c r="BE640">
        <f>AM640+AU640+BD640</f>
        <v>0.8</v>
      </c>
      <c r="BF640" t="s">
        <v>58</v>
      </c>
      <c r="BG640">
        <v>0</v>
      </c>
      <c r="BH640">
        <v>7</v>
      </c>
      <c r="BI640">
        <v>1</v>
      </c>
      <c r="BJ640" t="s">
        <v>49</v>
      </c>
      <c r="BK640">
        <v>5</v>
      </c>
      <c r="BL640">
        <v>3</v>
      </c>
      <c r="BM640">
        <v>1</v>
      </c>
      <c r="BN640" t="s">
        <v>426</v>
      </c>
      <c r="BO640">
        <v>8</v>
      </c>
      <c r="BP640">
        <v>75</v>
      </c>
      <c r="BQ640">
        <v>0.16</v>
      </c>
      <c r="BR640">
        <v>0.5</v>
      </c>
      <c r="BS640">
        <v>0.08</v>
      </c>
      <c r="BT640">
        <f>BS640+BD640+AU640+AM640</f>
        <v>0.88</v>
      </c>
      <c r="BU640">
        <v>1</v>
      </c>
      <c r="BV640">
        <v>0.5</v>
      </c>
      <c r="BW640">
        <v>73.25</v>
      </c>
      <c r="BX640">
        <f>BW640/7</f>
        <v>10.464285714285714</v>
      </c>
      <c r="BY640">
        <f>0.77*BX640</f>
        <v>8.0574999999999992</v>
      </c>
      <c r="BZ640">
        <f t="shared" si="9"/>
        <v>8.9375</v>
      </c>
    </row>
    <row r="641" spans="1:78">
      <c r="A641" s="1">
        <v>45213.374921817129</v>
      </c>
      <c r="B641" t="s">
        <v>867</v>
      </c>
      <c r="C641">
        <v>640</v>
      </c>
      <c r="D641" s="10">
        <v>29909</v>
      </c>
      <c r="E641">
        <v>41</v>
      </c>
      <c r="F641">
        <v>1</v>
      </c>
      <c r="G641">
        <v>1</v>
      </c>
      <c r="H641">
        <v>4</v>
      </c>
      <c r="I641" s="10">
        <v>43919</v>
      </c>
      <c r="J641">
        <v>2</v>
      </c>
      <c r="K641">
        <v>0</v>
      </c>
      <c r="L641">
        <v>2</v>
      </c>
      <c r="M641">
        <v>3600</v>
      </c>
      <c r="N641">
        <v>2</v>
      </c>
      <c r="O641" s="10">
        <v>43653</v>
      </c>
      <c r="P641">
        <v>0</v>
      </c>
      <c r="Q641">
        <v>38</v>
      </c>
      <c r="R641">
        <v>2</v>
      </c>
      <c r="S641" t="s">
        <v>316</v>
      </c>
      <c r="T641">
        <v>158</v>
      </c>
      <c r="U641" t="s">
        <v>316</v>
      </c>
      <c r="V641" t="e">
        <v>#VALUE!</v>
      </c>
      <c r="W641" t="s">
        <v>1015</v>
      </c>
      <c r="X641" t="s">
        <v>657</v>
      </c>
      <c r="Y641" t="s">
        <v>657</v>
      </c>
      <c r="Z641" t="e">
        <v>#VALUE!</v>
      </c>
      <c r="AA641" t="e">
        <v>#VALUE!</v>
      </c>
      <c r="AB641" t="e">
        <v>#VALUE!</v>
      </c>
      <c r="AC641" t="s">
        <v>33</v>
      </c>
      <c r="AD641">
        <v>3</v>
      </c>
      <c r="AE641">
        <v>0</v>
      </c>
      <c r="AG641">
        <v>5</v>
      </c>
      <c r="AH641">
        <v>1</v>
      </c>
      <c r="AI641">
        <v>2</v>
      </c>
      <c r="AJ641">
        <v>5</v>
      </c>
      <c r="AK641">
        <v>7</v>
      </c>
      <c r="AL641">
        <v>1</v>
      </c>
      <c r="AM641">
        <f>AJ641*AK641*AL641/7</f>
        <v>5</v>
      </c>
      <c r="AN641" t="s">
        <v>57</v>
      </c>
      <c r="AO641">
        <v>0</v>
      </c>
      <c r="AV641">
        <f>AU641+AM641</f>
        <v>5</v>
      </c>
      <c r="AW641" t="s">
        <v>813</v>
      </c>
      <c r="AX641">
        <v>0</v>
      </c>
      <c r="BE641">
        <f>AM641+AU641+BD641</f>
        <v>5</v>
      </c>
      <c r="BF641" t="s">
        <v>813</v>
      </c>
      <c r="BG641">
        <v>1</v>
      </c>
      <c r="BH641">
        <v>7</v>
      </c>
      <c r="BI641">
        <v>1</v>
      </c>
      <c r="BJ641" t="s">
        <v>42</v>
      </c>
      <c r="BK641">
        <v>6</v>
      </c>
      <c r="BL641">
        <v>1</v>
      </c>
      <c r="BM641">
        <v>1</v>
      </c>
      <c r="BN641" t="s">
        <v>30</v>
      </c>
      <c r="BO641">
        <v>1</v>
      </c>
      <c r="BP641">
        <v>168</v>
      </c>
      <c r="BQ641">
        <v>0.13</v>
      </c>
      <c r="BR641">
        <v>2</v>
      </c>
      <c r="BS641">
        <v>0.26</v>
      </c>
      <c r="BT641">
        <f>BS641+BD641+AU641+AM641</f>
        <v>5.26</v>
      </c>
      <c r="BU641">
        <v>1</v>
      </c>
      <c r="BV641">
        <v>2</v>
      </c>
      <c r="BW641">
        <v>293</v>
      </c>
      <c r="BX641">
        <f>BW641/7</f>
        <v>41.857142857142854</v>
      </c>
      <c r="BY641">
        <f>0.77*BX641</f>
        <v>32.229999999999997</v>
      </c>
      <c r="BZ641">
        <f t="shared" si="9"/>
        <v>37.489999999999995</v>
      </c>
    </row>
    <row r="642" spans="1:78">
      <c r="A642" s="1">
        <v>45213.37592741898</v>
      </c>
      <c r="C642">
        <v>641</v>
      </c>
      <c r="D642" s="10">
        <v>32322</v>
      </c>
      <c r="E642">
        <v>35</v>
      </c>
      <c r="F642">
        <v>1</v>
      </c>
      <c r="G642">
        <v>9</v>
      </c>
      <c r="H642">
        <v>5</v>
      </c>
      <c r="I642" s="10">
        <v>44726</v>
      </c>
      <c r="J642">
        <v>2</v>
      </c>
      <c r="K642">
        <v>0</v>
      </c>
      <c r="L642">
        <v>1</v>
      </c>
      <c r="M642">
        <v>3570</v>
      </c>
      <c r="N642">
        <v>2</v>
      </c>
      <c r="O642" s="10">
        <v>44450</v>
      </c>
      <c r="P642">
        <v>1</v>
      </c>
      <c r="Q642">
        <v>39.428571428571431</v>
      </c>
      <c r="R642">
        <v>2</v>
      </c>
      <c r="S642">
        <v>56</v>
      </c>
      <c r="T642">
        <v>156</v>
      </c>
      <c r="U642">
        <v>70</v>
      </c>
      <c r="V642">
        <v>14</v>
      </c>
      <c r="W642">
        <v>2</v>
      </c>
      <c r="X642">
        <v>23.011176857330703</v>
      </c>
      <c r="Y642">
        <v>28.763971071663377</v>
      </c>
      <c r="Z642">
        <v>5.752794214332674</v>
      </c>
      <c r="AA642">
        <v>2</v>
      </c>
      <c r="AB642">
        <v>3</v>
      </c>
      <c r="AC642" t="s">
        <v>33</v>
      </c>
      <c r="AD642">
        <v>3</v>
      </c>
      <c r="AE642">
        <v>0</v>
      </c>
      <c r="AG642">
        <v>5</v>
      </c>
      <c r="AH642">
        <v>0</v>
      </c>
      <c r="AI642">
        <v>0</v>
      </c>
      <c r="AO642">
        <v>0</v>
      </c>
      <c r="AX642">
        <v>0</v>
      </c>
      <c r="BG642">
        <v>0</v>
      </c>
      <c r="BJ642" t="s">
        <v>51</v>
      </c>
      <c r="BK642">
        <v>1</v>
      </c>
      <c r="BL642">
        <v>3</v>
      </c>
      <c r="BM642">
        <v>1</v>
      </c>
      <c r="BN642" t="s">
        <v>59</v>
      </c>
      <c r="BO642">
        <v>3</v>
      </c>
      <c r="BP642">
        <v>112</v>
      </c>
      <c r="BQ642">
        <v>0.08</v>
      </c>
      <c r="BR642">
        <v>2</v>
      </c>
      <c r="BS642">
        <v>0.16</v>
      </c>
      <c r="BT642">
        <f>BS642+BD642+AU642+AM642</f>
        <v>0.16</v>
      </c>
      <c r="BU642">
        <v>1</v>
      </c>
      <c r="BV642">
        <v>1</v>
      </c>
      <c r="BW642">
        <v>146.5</v>
      </c>
      <c r="BX642">
        <f>BW642/7</f>
        <v>20.928571428571427</v>
      </c>
      <c r="BY642">
        <f>0.77*BX642</f>
        <v>16.114999999999998</v>
      </c>
      <c r="BZ642">
        <f t="shared" si="9"/>
        <v>16.274999999999999</v>
      </c>
    </row>
    <row r="643" spans="1:78">
      <c r="A643" s="1">
        <v>45213.383809039355</v>
      </c>
      <c r="C643">
        <v>642</v>
      </c>
      <c r="D643" s="10">
        <v>33821</v>
      </c>
      <c r="E643">
        <v>31</v>
      </c>
      <c r="F643">
        <v>1</v>
      </c>
      <c r="G643">
        <v>1</v>
      </c>
      <c r="H643">
        <v>3</v>
      </c>
      <c r="I643" s="10">
        <v>45088</v>
      </c>
      <c r="J643">
        <v>4</v>
      </c>
      <c r="K643">
        <v>0</v>
      </c>
      <c r="L643">
        <v>1</v>
      </c>
      <c r="M643">
        <v>3181</v>
      </c>
      <c r="N643">
        <v>2</v>
      </c>
      <c r="O643" s="10">
        <v>44829</v>
      </c>
      <c r="P643">
        <v>0</v>
      </c>
      <c r="Q643">
        <v>37</v>
      </c>
      <c r="R643">
        <v>2</v>
      </c>
      <c r="S643">
        <v>74</v>
      </c>
      <c r="T643">
        <v>164</v>
      </c>
      <c r="U643">
        <v>82.5</v>
      </c>
      <c r="V643">
        <v>8.5</v>
      </c>
      <c r="W643">
        <v>2</v>
      </c>
      <c r="X643">
        <v>27.513384889946465</v>
      </c>
      <c r="Y643">
        <v>30.673706127305181</v>
      </c>
      <c r="Z643">
        <v>3.1603212373587155</v>
      </c>
      <c r="AA643">
        <v>3</v>
      </c>
      <c r="AB643">
        <v>4</v>
      </c>
      <c r="AC643" t="s">
        <v>50</v>
      </c>
      <c r="AD643">
        <v>2</v>
      </c>
      <c r="AE643">
        <v>0</v>
      </c>
      <c r="AG643">
        <v>5</v>
      </c>
      <c r="AH643">
        <v>1</v>
      </c>
      <c r="AI643">
        <v>5</v>
      </c>
      <c r="AJ643">
        <v>5</v>
      </c>
      <c r="AK643">
        <v>7</v>
      </c>
      <c r="AL643">
        <v>1</v>
      </c>
      <c r="AM643">
        <f>AJ643*AK643*AL643/7</f>
        <v>5</v>
      </c>
      <c r="AN643" t="s">
        <v>27</v>
      </c>
      <c r="AO643">
        <v>0</v>
      </c>
      <c r="AV643">
        <f>AU643+AM643</f>
        <v>5</v>
      </c>
      <c r="AX643">
        <v>0</v>
      </c>
      <c r="BE643">
        <f>AM643+AU643+BD643</f>
        <v>5</v>
      </c>
      <c r="BG643">
        <v>0</v>
      </c>
      <c r="BJ643" t="s">
        <v>42</v>
      </c>
      <c r="BK643">
        <v>6</v>
      </c>
      <c r="BL643">
        <v>1</v>
      </c>
      <c r="BM643">
        <v>1</v>
      </c>
      <c r="BN643" t="s">
        <v>59</v>
      </c>
      <c r="BO643">
        <v>3</v>
      </c>
      <c r="BP643">
        <v>56</v>
      </c>
      <c r="BQ643">
        <v>0.08</v>
      </c>
      <c r="BR643">
        <v>1</v>
      </c>
      <c r="BS643">
        <v>0.08</v>
      </c>
      <c r="BT643">
        <f>BS643+BD643+AU643+AM643</f>
        <v>5.08</v>
      </c>
      <c r="BU643">
        <v>1</v>
      </c>
      <c r="BV643">
        <v>2</v>
      </c>
      <c r="BW643">
        <v>293</v>
      </c>
      <c r="BX643">
        <f>BW643/7</f>
        <v>41.857142857142854</v>
      </c>
      <c r="BY643">
        <f>0.77*BX643</f>
        <v>32.229999999999997</v>
      </c>
      <c r="BZ643">
        <f t="shared" si="9"/>
        <v>37.309999999999995</v>
      </c>
    </row>
    <row r="644" spans="1:78">
      <c r="A644" s="1">
        <v>45213.457081608794</v>
      </c>
      <c r="C644">
        <v>643</v>
      </c>
      <c r="D644" s="10">
        <v>32974</v>
      </c>
      <c r="E644">
        <v>33</v>
      </c>
      <c r="F644">
        <v>2</v>
      </c>
      <c r="G644">
        <v>1</v>
      </c>
      <c r="H644">
        <v>4</v>
      </c>
      <c r="I644" s="10">
        <v>43572</v>
      </c>
      <c r="J644">
        <v>1</v>
      </c>
      <c r="K644">
        <v>1</v>
      </c>
      <c r="L644">
        <v>1</v>
      </c>
      <c r="M644">
        <v>3705</v>
      </c>
      <c r="N644">
        <v>2</v>
      </c>
      <c r="O644" s="10">
        <v>43299</v>
      </c>
      <c r="P644">
        <v>0</v>
      </c>
      <c r="Q644">
        <v>39</v>
      </c>
      <c r="R644">
        <v>2</v>
      </c>
      <c r="S644">
        <v>74</v>
      </c>
      <c r="T644">
        <v>160</v>
      </c>
      <c r="U644">
        <v>77</v>
      </c>
      <c r="V644">
        <v>3</v>
      </c>
      <c r="W644">
        <v>1</v>
      </c>
      <c r="X644">
        <v>28.906249999999993</v>
      </c>
      <c r="Y644">
        <v>30.078124999999993</v>
      </c>
      <c r="Z644">
        <v>1.171875</v>
      </c>
      <c r="AA644">
        <v>3</v>
      </c>
      <c r="AB644">
        <v>4</v>
      </c>
      <c r="AC644" t="s">
        <v>33</v>
      </c>
      <c r="AD644">
        <v>3</v>
      </c>
      <c r="AE644">
        <v>0</v>
      </c>
      <c r="AG644">
        <v>5</v>
      </c>
      <c r="AH644">
        <v>1</v>
      </c>
      <c r="AI644">
        <v>2</v>
      </c>
      <c r="AJ644">
        <v>5</v>
      </c>
      <c r="AK644">
        <v>7</v>
      </c>
      <c r="AL644">
        <v>1</v>
      </c>
      <c r="AM644">
        <f>AJ644*AK644*AL644/7</f>
        <v>5</v>
      </c>
      <c r="AN644" t="s">
        <v>57</v>
      </c>
      <c r="AO644">
        <v>0</v>
      </c>
      <c r="AV644">
        <f>AU644+AM644</f>
        <v>5</v>
      </c>
      <c r="AW644" t="s">
        <v>427</v>
      </c>
      <c r="AX644">
        <v>1</v>
      </c>
      <c r="AY644" t="s">
        <v>427</v>
      </c>
      <c r="AZ644">
        <v>13</v>
      </c>
      <c r="BA644">
        <v>0.1</v>
      </c>
      <c r="BB644">
        <v>7</v>
      </c>
      <c r="BC644">
        <v>1</v>
      </c>
      <c r="BD644">
        <f>BA644*BB644*1/7</f>
        <v>0.1</v>
      </c>
      <c r="BE644">
        <f>AM644+AU644+BD644</f>
        <v>5.0999999999999996</v>
      </c>
      <c r="BF644" t="s">
        <v>427</v>
      </c>
      <c r="BG644">
        <v>0</v>
      </c>
      <c r="BH644">
        <v>7</v>
      </c>
      <c r="BI644">
        <v>1</v>
      </c>
      <c r="BJ644" t="s">
        <v>42</v>
      </c>
      <c r="BK644">
        <v>6</v>
      </c>
      <c r="BL644">
        <v>3</v>
      </c>
      <c r="BM644">
        <v>1</v>
      </c>
      <c r="BN644" t="s">
        <v>30</v>
      </c>
      <c r="BO644">
        <v>1</v>
      </c>
      <c r="BP644">
        <v>168</v>
      </c>
      <c r="BQ644">
        <v>0.13</v>
      </c>
      <c r="BR644">
        <v>2</v>
      </c>
      <c r="BS644">
        <v>0.26</v>
      </c>
      <c r="BT644">
        <f>BS644+BD644+AU644+AM644</f>
        <v>5.36</v>
      </c>
      <c r="BU644">
        <v>1</v>
      </c>
      <c r="BV644">
        <v>3</v>
      </c>
      <c r="BW644">
        <v>439.5</v>
      </c>
      <c r="BX644">
        <f>BW644/7</f>
        <v>62.785714285714285</v>
      </c>
      <c r="BY644">
        <f>0.77*BX644</f>
        <v>48.344999999999999</v>
      </c>
      <c r="BZ644">
        <f t="shared" ref="BZ644:BZ707" si="10">BS644+BD644+AU644+AM644+BY644</f>
        <v>53.704999999999998</v>
      </c>
    </row>
    <row r="645" spans="1:78">
      <c r="A645" s="1">
        <v>45213.523334861107</v>
      </c>
      <c r="C645">
        <v>644</v>
      </c>
      <c r="D645" s="10">
        <v>32917</v>
      </c>
      <c r="E645">
        <v>33</v>
      </c>
      <c r="F645">
        <v>1</v>
      </c>
      <c r="G645">
        <v>1</v>
      </c>
      <c r="H645">
        <v>4</v>
      </c>
      <c r="I645" s="10">
        <v>42788</v>
      </c>
      <c r="J645">
        <v>3</v>
      </c>
      <c r="K645">
        <v>0</v>
      </c>
      <c r="L645">
        <v>2</v>
      </c>
      <c r="M645">
        <v>3255</v>
      </c>
      <c r="N645">
        <v>2</v>
      </c>
      <c r="O645" s="10">
        <v>42515</v>
      </c>
      <c r="P645">
        <v>0</v>
      </c>
      <c r="Q645">
        <v>39</v>
      </c>
      <c r="R645">
        <v>2</v>
      </c>
      <c r="S645">
        <v>55</v>
      </c>
      <c r="T645">
        <v>165</v>
      </c>
      <c r="U645">
        <v>69</v>
      </c>
      <c r="V645">
        <v>14</v>
      </c>
      <c r="W645">
        <v>2</v>
      </c>
      <c r="X645">
        <v>20.202020202020204</v>
      </c>
      <c r="Y645">
        <v>25.344352617079892</v>
      </c>
      <c r="Z645">
        <v>5.1423324150596876</v>
      </c>
      <c r="AA645">
        <v>2</v>
      </c>
      <c r="AB645">
        <v>3</v>
      </c>
      <c r="AC645" t="s">
        <v>33</v>
      </c>
      <c r="AD645">
        <v>3</v>
      </c>
      <c r="AE645">
        <v>1</v>
      </c>
      <c r="AF645" t="s">
        <v>428</v>
      </c>
      <c r="AG645" t="e">
        <v>#N/A</v>
      </c>
      <c r="AH645">
        <v>1</v>
      </c>
      <c r="AI645">
        <v>13</v>
      </c>
      <c r="AJ645">
        <v>1</v>
      </c>
      <c r="AK645">
        <v>4</v>
      </c>
      <c r="AL645">
        <v>1</v>
      </c>
      <c r="AM645">
        <f>AJ645*AK645*AL645/7</f>
        <v>0.5714285714285714</v>
      </c>
      <c r="AN645" t="s">
        <v>79</v>
      </c>
      <c r="AO645">
        <v>0</v>
      </c>
      <c r="AV645">
        <f>AU645+AM645</f>
        <v>0.5714285714285714</v>
      </c>
      <c r="AX645">
        <v>0</v>
      </c>
      <c r="BE645">
        <f>AM645+AU645+BD645</f>
        <v>0.5714285714285714</v>
      </c>
      <c r="BG645">
        <v>0</v>
      </c>
      <c r="BJ645" t="s">
        <v>49</v>
      </c>
      <c r="BK645">
        <v>5</v>
      </c>
      <c r="BL645">
        <v>1</v>
      </c>
      <c r="BM645">
        <v>1</v>
      </c>
      <c r="BN645" t="s">
        <v>30</v>
      </c>
      <c r="BO645">
        <v>1</v>
      </c>
      <c r="BP645">
        <v>336</v>
      </c>
      <c r="BQ645">
        <v>0.13</v>
      </c>
      <c r="BR645">
        <v>4</v>
      </c>
      <c r="BS645">
        <v>0.52</v>
      </c>
      <c r="BT645">
        <f>BS645+BD645+AU645+AM645</f>
        <v>1.0914285714285714</v>
      </c>
      <c r="BU645">
        <v>1</v>
      </c>
      <c r="BV645">
        <v>2</v>
      </c>
      <c r="BW645">
        <v>293</v>
      </c>
      <c r="BX645">
        <f>BW645/7</f>
        <v>41.857142857142854</v>
      </c>
      <c r="BY645">
        <f>0.77*BX645</f>
        <v>32.229999999999997</v>
      </c>
      <c r="BZ645">
        <f t="shared" si="10"/>
        <v>33.321428571428569</v>
      </c>
    </row>
    <row r="646" spans="1:78">
      <c r="A646" s="1">
        <v>45213.581742256945</v>
      </c>
      <c r="B646" t="s">
        <v>865</v>
      </c>
      <c r="C646">
        <v>645</v>
      </c>
      <c r="D646" s="10">
        <v>32062</v>
      </c>
      <c r="E646">
        <v>36</v>
      </c>
      <c r="F646">
        <v>1</v>
      </c>
      <c r="G646">
        <v>1</v>
      </c>
      <c r="H646">
        <v>4</v>
      </c>
      <c r="I646" s="10">
        <v>44513</v>
      </c>
      <c r="J646">
        <v>2</v>
      </c>
      <c r="K646">
        <v>0</v>
      </c>
      <c r="L646">
        <v>2</v>
      </c>
      <c r="M646">
        <v>4200</v>
      </c>
      <c r="N646">
        <v>3</v>
      </c>
      <c r="O646" s="10">
        <v>44227</v>
      </c>
      <c r="P646">
        <v>1</v>
      </c>
      <c r="Q646">
        <v>40.857142857142854</v>
      </c>
      <c r="R646">
        <v>2</v>
      </c>
      <c r="S646">
        <v>95</v>
      </c>
      <c r="T646">
        <v>170</v>
      </c>
      <c r="U646">
        <v>92</v>
      </c>
      <c r="V646">
        <v>-3</v>
      </c>
      <c r="W646">
        <v>1</v>
      </c>
      <c r="X646">
        <v>32.871972318339104</v>
      </c>
      <c r="Y646">
        <v>31.833910034602081</v>
      </c>
      <c r="Z646">
        <v>-1.0380622837370233</v>
      </c>
      <c r="AA646">
        <v>4</v>
      </c>
      <c r="AB646">
        <v>4</v>
      </c>
      <c r="AC646" t="s">
        <v>33</v>
      </c>
      <c r="AD646">
        <v>3</v>
      </c>
      <c r="AE646">
        <v>0</v>
      </c>
      <c r="AG646">
        <v>5</v>
      </c>
      <c r="AH646">
        <v>1</v>
      </c>
      <c r="AI646">
        <v>5</v>
      </c>
      <c r="AJ646">
        <v>5</v>
      </c>
      <c r="AK646">
        <v>7</v>
      </c>
      <c r="AL646">
        <v>1</v>
      </c>
      <c r="AM646">
        <f>AJ646*AK646*AL646/7</f>
        <v>5</v>
      </c>
      <c r="AN646" t="s">
        <v>27</v>
      </c>
      <c r="AO646">
        <v>0</v>
      </c>
      <c r="AV646">
        <f>AU646+AM646</f>
        <v>5</v>
      </c>
      <c r="AW646" t="s">
        <v>817</v>
      </c>
      <c r="AX646">
        <v>0</v>
      </c>
      <c r="AY646" t="s">
        <v>689</v>
      </c>
      <c r="BE646">
        <f>AM646+AU646+BD646</f>
        <v>5</v>
      </c>
      <c r="BF646" t="s">
        <v>817</v>
      </c>
      <c r="BG646">
        <v>1</v>
      </c>
      <c r="BH646">
        <v>7</v>
      </c>
      <c r="BI646">
        <v>1</v>
      </c>
      <c r="BJ646" t="s">
        <v>49</v>
      </c>
      <c r="BK646">
        <v>5</v>
      </c>
      <c r="BL646">
        <v>1</v>
      </c>
      <c r="BM646">
        <v>1</v>
      </c>
      <c r="BN646" t="s">
        <v>30</v>
      </c>
      <c r="BO646">
        <v>1</v>
      </c>
      <c r="BP646">
        <v>84</v>
      </c>
      <c r="BQ646">
        <v>0.13</v>
      </c>
      <c r="BR646">
        <v>1</v>
      </c>
      <c r="BS646">
        <v>0.13</v>
      </c>
      <c r="BT646">
        <f>BS646+BD646+AU646+AM646</f>
        <v>5.13</v>
      </c>
      <c r="BU646">
        <v>1</v>
      </c>
      <c r="BV646">
        <v>1</v>
      </c>
      <c r="BW646">
        <v>146.5</v>
      </c>
      <c r="BX646">
        <f>BW646/7</f>
        <v>20.928571428571427</v>
      </c>
      <c r="BY646">
        <f>0.77*BX646</f>
        <v>16.114999999999998</v>
      </c>
      <c r="BZ646">
        <f t="shared" si="10"/>
        <v>21.244999999999997</v>
      </c>
    </row>
    <row r="647" spans="1:78">
      <c r="A647" s="1">
        <v>45213.590793020834</v>
      </c>
      <c r="C647">
        <v>646</v>
      </c>
      <c r="D647" s="10">
        <v>33553</v>
      </c>
      <c r="E647">
        <v>31</v>
      </c>
      <c r="F647">
        <v>1</v>
      </c>
      <c r="G647">
        <v>1</v>
      </c>
      <c r="H647">
        <v>4</v>
      </c>
      <c r="I647" s="10">
        <v>44571</v>
      </c>
      <c r="J647">
        <v>1</v>
      </c>
      <c r="K647">
        <v>1</v>
      </c>
      <c r="L647">
        <v>1</v>
      </c>
      <c r="M647">
        <v>3295</v>
      </c>
      <c r="N647">
        <v>2</v>
      </c>
      <c r="O647" s="10">
        <v>44295</v>
      </c>
      <c r="P647">
        <v>1</v>
      </c>
      <c r="Q647">
        <v>39.428571428571431</v>
      </c>
      <c r="R647">
        <v>2</v>
      </c>
      <c r="S647">
        <v>65</v>
      </c>
      <c r="T647">
        <v>161</v>
      </c>
      <c r="U647">
        <v>73</v>
      </c>
      <c r="V647">
        <v>8</v>
      </c>
      <c r="W647">
        <v>2</v>
      </c>
      <c r="X647">
        <v>25.076193048107708</v>
      </c>
      <c r="Y647">
        <v>28.162493730951734</v>
      </c>
      <c r="Z647">
        <v>3.0863006828440263</v>
      </c>
      <c r="AA647">
        <v>3</v>
      </c>
      <c r="AB647">
        <v>3</v>
      </c>
      <c r="AC647" t="s">
        <v>33</v>
      </c>
      <c r="AD647">
        <v>3</v>
      </c>
      <c r="AE647">
        <v>0</v>
      </c>
      <c r="AG647">
        <v>5</v>
      </c>
      <c r="AH647">
        <v>1</v>
      </c>
      <c r="AI647">
        <v>4</v>
      </c>
      <c r="AJ647">
        <v>1</v>
      </c>
      <c r="AK647">
        <v>7</v>
      </c>
      <c r="AL647">
        <v>1</v>
      </c>
      <c r="AM647">
        <f>AJ647*AK647*AL647/7</f>
        <v>1</v>
      </c>
      <c r="AN647" t="s">
        <v>43</v>
      </c>
      <c r="AO647">
        <v>0</v>
      </c>
      <c r="AV647">
        <f>AU647+AM647</f>
        <v>1</v>
      </c>
      <c r="AW647" t="s">
        <v>35</v>
      </c>
      <c r="AX647">
        <v>1</v>
      </c>
      <c r="AY647" t="s">
        <v>35</v>
      </c>
      <c r="AZ647">
        <v>12</v>
      </c>
      <c r="BA647">
        <v>0.4</v>
      </c>
      <c r="BB647">
        <v>7</v>
      </c>
      <c r="BC647">
        <v>1</v>
      </c>
      <c r="BD647">
        <f>BA647*BB647*1/7</f>
        <v>0.4</v>
      </c>
      <c r="BE647">
        <f>AM647+AU647+BD647</f>
        <v>1.4</v>
      </c>
      <c r="BF647" t="s">
        <v>35</v>
      </c>
      <c r="BG647">
        <v>0</v>
      </c>
      <c r="BH647">
        <v>7</v>
      </c>
      <c r="BI647">
        <v>1</v>
      </c>
      <c r="BJ647" t="s">
        <v>28</v>
      </c>
      <c r="BK647">
        <v>3</v>
      </c>
      <c r="BL647">
        <v>1</v>
      </c>
      <c r="BM647">
        <v>1</v>
      </c>
      <c r="BN647" t="s">
        <v>30</v>
      </c>
      <c r="BO647">
        <v>1</v>
      </c>
      <c r="BP647">
        <v>168</v>
      </c>
      <c r="BQ647">
        <v>0.13</v>
      </c>
      <c r="BR647">
        <v>2</v>
      </c>
      <c r="BS647">
        <v>0.26</v>
      </c>
      <c r="BT647">
        <f>BS647+BD647+AU647+AM647</f>
        <v>1.6600000000000001</v>
      </c>
      <c r="BU647">
        <v>1</v>
      </c>
      <c r="BV647">
        <v>1</v>
      </c>
      <c r="BW647">
        <v>146.5</v>
      </c>
      <c r="BX647">
        <f>BW647/7</f>
        <v>20.928571428571427</v>
      </c>
      <c r="BY647">
        <f>0.77*BX647</f>
        <v>16.114999999999998</v>
      </c>
      <c r="BZ647">
        <f t="shared" si="10"/>
        <v>17.774999999999999</v>
      </c>
    </row>
    <row r="648" spans="1:78">
      <c r="A648" s="1">
        <v>45213.603871030093</v>
      </c>
      <c r="C648">
        <v>647</v>
      </c>
      <c r="D648" s="10">
        <v>31976</v>
      </c>
      <c r="E648">
        <v>36</v>
      </c>
      <c r="F648">
        <v>1</v>
      </c>
      <c r="G648">
        <v>1</v>
      </c>
      <c r="H648">
        <v>3</v>
      </c>
      <c r="I648" s="10">
        <v>44636</v>
      </c>
      <c r="J648">
        <v>1</v>
      </c>
      <c r="K648">
        <v>1</v>
      </c>
      <c r="L648">
        <v>1</v>
      </c>
      <c r="M648">
        <v>3480</v>
      </c>
      <c r="N648">
        <v>2</v>
      </c>
      <c r="O648" s="10">
        <v>44363</v>
      </c>
      <c r="P648">
        <v>1</v>
      </c>
      <c r="Q648">
        <v>39</v>
      </c>
      <c r="R648">
        <v>2</v>
      </c>
      <c r="S648">
        <v>57</v>
      </c>
      <c r="T648">
        <v>169</v>
      </c>
      <c r="U648">
        <v>78</v>
      </c>
      <c r="V648">
        <v>21</v>
      </c>
      <c r="W648">
        <v>3</v>
      </c>
      <c r="X648">
        <v>19.957284408809219</v>
      </c>
      <c r="Y648">
        <v>27.309968138370508</v>
      </c>
      <c r="Z648">
        <v>7.3526837295612886</v>
      </c>
      <c r="AA648">
        <v>2</v>
      </c>
      <c r="AB648">
        <v>3</v>
      </c>
      <c r="AC648" t="s">
        <v>50</v>
      </c>
      <c r="AD648">
        <v>2</v>
      </c>
      <c r="AE648">
        <v>0</v>
      </c>
      <c r="AG648">
        <v>5</v>
      </c>
      <c r="AH648">
        <v>1</v>
      </c>
      <c r="AI648">
        <v>4</v>
      </c>
      <c r="AJ648">
        <v>1</v>
      </c>
      <c r="AK648">
        <v>7</v>
      </c>
      <c r="AL648">
        <v>1</v>
      </c>
      <c r="AM648">
        <f>AJ648*AK648*AL648/7</f>
        <v>1</v>
      </c>
      <c r="AN648" t="s">
        <v>43</v>
      </c>
      <c r="AO648">
        <v>0</v>
      </c>
      <c r="AV648">
        <f>AU648+AM648</f>
        <v>1</v>
      </c>
      <c r="AW648" t="s">
        <v>58</v>
      </c>
      <c r="AX648">
        <v>1</v>
      </c>
      <c r="AY648" t="s">
        <v>58</v>
      </c>
      <c r="AZ648">
        <v>1</v>
      </c>
      <c r="BA648">
        <v>0.8</v>
      </c>
      <c r="BB648">
        <v>7</v>
      </c>
      <c r="BC648">
        <v>1</v>
      </c>
      <c r="BD648">
        <f>BA648*BB648*1/7</f>
        <v>0.8</v>
      </c>
      <c r="BE648">
        <f>AM648+AU648+BD648</f>
        <v>1.8</v>
      </c>
      <c r="BF648" t="s">
        <v>58</v>
      </c>
      <c r="BG648">
        <v>0</v>
      </c>
      <c r="BH648">
        <v>7</v>
      </c>
      <c r="BI648">
        <v>1</v>
      </c>
      <c r="BJ648" t="s">
        <v>28</v>
      </c>
      <c r="BK648">
        <v>3</v>
      </c>
      <c r="BL648">
        <v>1</v>
      </c>
      <c r="BM648">
        <v>1</v>
      </c>
      <c r="BN648" t="s">
        <v>30</v>
      </c>
      <c r="BO648">
        <v>1</v>
      </c>
      <c r="BP648">
        <v>252</v>
      </c>
      <c r="BQ648">
        <v>0.13</v>
      </c>
      <c r="BR648">
        <v>3</v>
      </c>
      <c r="BS648">
        <v>0.39</v>
      </c>
      <c r="BT648">
        <f>BS648+BD648+AU648+AM648</f>
        <v>2.19</v>
      </c>
      <c r="BU648">
        <v>1</v>
      </c>
      <c r="BV648">
        <v>1</v>
      </c>
      <c r="BW648">
        <v>146.5</v>
      </c>
      <c r="BX648">
        <f>BW648/7</f>
        <v>20.928571428571427</v>
      </c>
      <c r="BY648">
        <f>0.77*BX648</f>
        <v>16.114999999999998</v>
      </c>
      <c r="BZ648">
        <f t="shared" si="10"/>
        <v>18.305</v>
      </c>
    </row>
    <row r="649" spans="1:78">
      <c r="A649" s="1">
        <v>45213.6055227662</v>
      </c>
      <c r="C649">
        <v>648</v>
      </c>
      <c r="D649" s="10">
        <v>31496</v>
      </c>
      <c r="E649">
        <v>37</v>
      </c>
      <c r="F649">
        <v>1</v>
      </c>
      <c r="G649">
        <v>1</v>
      </c>
      <c r="H649">
        <v>4</v>
      </c>
      <c r="I649" s="10">
        <v>43210</v>
      </c>
      <c r="J649">
        <v>2</v>
      </c>
      <c r="K649">
        <v>0</v>
      </c>
      <c r="L649">
        <v>1</v>
      </c>
      <c r="M649">
        <v>2457</v>
      </c>
      <c r="N649">
        <v>1</v>
      </c>
      <c r="O649" s="10">
        <v>42944</v>
      </c>
      <c r="P649">
        <v>0</v>
      </c>
      <c r="Q649">
        <v>38</v>
      </c>
      <c r="R649">
        <v>2</v>
      </c>
      <c r="S649">
        <v>71</v>
      </c>
      <c r="T649">
        <v>171</v>
      </c>
      <c r="U649">
        <v>90</v>
      </c>
      <c r="V649">
        <v>19</v>
      </c>
      <c r="W649">
        <v>3</v>
      </c>
      <c r="X649">
        <v>24.280975342840534</v>
      </c>
      <c r="Y649">
        <v>30.778701138811947</v>
      </c>
      <c r="Z649">
        <v>6.4977257959714123</v>
      </c>
      <c r="AA649">
        <v>2</v>
      </c>
      <c r="AB649">
        <v>4</v>
      </c>
      <c r="AC649" t="s">
        <v>429</v>
      </c>
      <c r="AD649">
        <v>2</v>
      </c>
      <c r="AE649">
        <v>0</v>
      </c>
      <c r="AG649">
        <v>5</v>
      </c>
      <c r="AH649">
        <v>1</v>
      </c>
      <c r="AI649">
        <v>13</v>
      </c>
      <c r="AJ649">
        <v>1</v>
      </c>
      <c r="AK649">
        <v>7</v>
      </c>
      <c r="AL649">
        <v>1</v>
      </c>
      <c r="AM649">
        <f>AJ649*AK649*AL649/7</f>
        <v>1</v>
      </c>
      <c r="AN649" t="s">
        <v>79</v>
      </c>
      <c r="AO649">
        <v>0</v>
      </c>
      <c r="AV649">
        <f>AU649+AM649</f>
        <v>1</v>
      </c>
      <c r="AX649">
        <v>0</v>
      </c>
      <c r="BE649">
        <f>AM649+AU649+BD649</f>
        <v>1</v>
      </c>
      <c r="BG649">
        <v>0</v>
      </c>
      <c r="BJ649" t="s">
        <v>49</v>
      </c>
      <c r="BK649">
        <v>5</v>
      </c>
      <c r="BL649">
        <v>3</v>
      </c>
      <c r="BM649">
        <v>1</v>
      </c>
      <c r="BN649" t="s">
        <v>55</v>
      </c>
      <c r="BO649">
        <v>2</v>
      </c>
      <c r="BP649">
        <v>67</v>
      </c>
      <c r="BQ649">
        <v>0.1</v>
      </c>
      <c r="BR649">
        <v>1</v>
      </c>
      <c r="BS649">
        <v>0.1</v>
      </c>
      <c r="BT649">
        <f>BS649+BD649+AU649+AM649</f>
        <v>1.1000000000000001</v>
      </c>
      <c r="BU649">
        <v>1</v>
      </c>
      <c r="BV649">
        <v>2</v>
      </c>
      <c r="BW649">
        <v>293</v>
      </c>
      <c r="BX649">
        <f>BW649/7</f>
        <v>41.857142857142854</v>
      </c>
      <c r="BY649">
        <f>0.77*BX649</f>
        <v>32.229999999999997</v>
      </c>
      <c r="BZ649">
        <f t="shared" si="10"/>
        <v>33.33</v>
      </c>
    </row>
    <row r="650" spans="1:78">
      <c r="A650" s="1">
        <v>45213.616819178242</v>
      </c>
      <c r="C650">
        <v>649</v>
      </c>
      <c r="D650" s="10">
        <v>34114</v>
      </c>
      <c r="E650">
        <v>30</v>
      </c>
      <c r="F650">
        <v>1</v>
      </c>
      <c r="G650">
        <v>11</v>
      </c>
      <c r="H650">
        <v>2</v>
      </c>
      <c r="I650" s="10">
        <v>44592</v>
      </c>
      <c r="J650">
        <v>3</v>
      </c>
      <c r="K650">
        <v>0</v>
      </c>
      <c r="L650">
        <v>1</v>
      </c>
      <c r="M650">
        <v>3615</v>
      </c>
      <c r="N650">
        <v>2</v>
      </c>
      <c r="O650" s="10">
        <v>44326</v>
      </c>
      <c r="P650">
        <v>1</v>
      </c>
      <c r="Q650">
        <v>38</v>
      </c>
      <c r="R650">
        <v>2</v>
      </c>
      <c r="S650">
        <v>58</v>
      </c>
      <c r="T650">
        <v>160</v>
      </c>
      <c r="U650">
        <v>69</v>
      </c>
      <c r="V650">
        <v>11</v>
      </c>
      <c r="W650">
        <v>1</v>
      </c>
      <c r="X650">
        <v>22.656249999999996</v>
      </c>
      <c r="Y650">
        <v>26.953124999999996</v>
      </c>
      <c r="Z650">
        <v>4.296875</v>
      </c>
      <c r="AA650">
        <v>2</v>
      </c>
      <c r="AB650">
        <v>3</v>
      </c>
      <c r="AC650" t="s">
        <v>33</v>
      </c>
      <c r="AD650">
        <v>3</v>
      </c>
      <c r="AE650">
        <v>0</v>
      </c>
      <c r="AG650">
        <v>5</v>
      </c>
      <c r="AH650">
        <v>1</v>
      </c>
      <c r="AI650">
        <v>5</v>
      </c>
      <c r="AJ650">
        <v>5</v>
      </c>
      <c r="AK650">
        <v>7</v>
      </c>
      <c r="AL650">
        <v>1</v>
      </c>
      <c r="AM650">
        <f>AJ650*AK650*AL650/7</f>
        <v>5</v>
      </c>
      <c r="AN650" t="s">
        <v>27</v>
      </c>
      <c r="AO650">
        <v>0</v>
      </c>
      <c r="AV650">
        <f>AU650+AM650</f>
        <v>5</v>
      </c>
      <c r="AX650">
        <v>0</v>
      </c>
      <c r="BE650">
        <f>AM650+AU650+BD650</f>
        <v>5</v>
      </c>
      <c r="BG650">
        <v>0</v>
      </c>
      <c r="BJ650" t="s">
        <v>42</v>
      </c>
      <c r="BK650">
        <v>6</v>
      </c>
      <c r="BL650">
        <v>1</v>
      </c>
      <c r="BM650">
        <v>1</v>
      </c>
      <c r="BN650" t="s">
        <v>55</v>
      </c>
      <c r="BO650">
        <v>2</v>
      </c>
      <c r="BP650">
        <v>134</v>
      </c>
      <c r="BQ650">
        <v>0.1</v>
      </c>
      <c r="BR650">
        <v>2</v>
      </c>
      <c r="BS650">
        <v>0.2</v>
      </c>
      <c r="BT650">
        <f>BS650+BD650+AU650+AM650</f>
        <v>5.2</v>
      </c>
      <c r="BU650">
        <v>1</v>
      </c>
      <c r="BV650">
        <v>2</v>
      </c>
      <c r="BW650">
        <v>293</v>
      </c>
      <c r="BX650">
        <f>BW650/7</f>
        <v>41.857142857142854</v>
      </c>
      <c r="BY650">
        <f>0.77*BX650</f>
        <v>32.229999999999997</v>
      </c>
      <c r="BZ650">
        <f t="shared" si="10"/>
        <v>37.43</v>
      </c>
    </row>
    <row r="651" spans="1:78">
      <c r="A651" s="1">
        <v>45213.642693171292</v>
      </c>
      <c r="C651">
        <v>650</v>
      </c>
      <c r="D651" s="10">
        <v>35410</v>
      </c>
      <c r="E651">
        <v>26</v>
      </c>
      <c r="F651">
        <v>1</v>
      </c>
      <c r="G651">
        <v>3</v>
      </c>
      <c r="H651">
        <v>4</v>
      </c>
      <c r="I651" s="10">
        <v>42985</v>
      </c>
      <c r="J651">
        <v>1</v>
      </c>
      <c r="K651">
        <v>1</v>
      </c>
      <c r="L651">
        <v>2</v>
      </c>
      <c r="M651">
        <v>4240</v>
      </c>
      <c r="N651">
        <v>3</v>
      </c>
      <c r="O651" s="10">
        <v>42712</v>
      </c>
      <c r="P651">
        <v>0</v>
      </c>
      <c r="Q651">
        <v>39</v>
      </c>
      <c r="R651">
        <v>2</v>
      </c>
      <c r="S651">
        <v>62</v>
      </c>
      <c r="T651">
        <v>164</v>
      </c>
      <c r="U651">
        <v>76.3</v>
      </c>
      <c r="V651">
        <v>14.299999999999997</v>
      </c>
      <c r="W651">
        <v>2</v>
      </c>
      <c r="X651">
        <v>23.051754907792983</v>
      </c>
      <c r="Y651">
        <v>28.368530636525882</v>
      </c>
      <c r="Z651">
        <v>5.3167757287328996</v>
      </c>
      <c r="AA651">
        <v>2</v>
      </c>
      <c r="AB651">
        <v>3</v>
      </c>
      <c r="AC651" t="s">
        <v>33</v>
      </c>
      <c r="AD651">
        <v>3</v>
      </c>
      <c r="AE651">
        <v>0</v>
      </c>
      <c r="AG651">
        <v>5</v>
      </c>
      <c r="AH651">
        <v>1</v>
      </c>
      <c r="AI651">
        <v>13</v>
      </c>
      <c r="AJ651">
        <v>1</v>
      </c>
      <c r="AK651">
        <v>7</v>
      </c>
      <c r="AL651">
        <v>1</v>
      </c>
      <c r="AM651">
        <f>AJ651*AK651*AL651/7</f>
        <v>1</v>
      </c>
      <c r="AN651" t="s">
        <v>79</v>
      </c>
      <c r="AO651">
        <v>0</v>
      </c>
      <c r="AV651">
        <f>AU651+AM651</f>
        <v>1</v>
      </c>
      <c r="AX651">
        <v>0</v>
      </c>
      <c r="BE651">
        <f>AM651+AU651+BD651</f>
        <v>1</v>
      </c>
      <c r="BG651">
        <v>0</v>
      </c>
      <c r="BJ651" t="s">
        <v>49</v>
      </c>
      <c r="BK651">
        <v>5</v>
      </c>
      <c r="BL651">
        <v>1</v>
      </c>
      <c r="BM651">
        <v>1</v>
      </c>
      <c r="BN651" t="s">
        <v>55</v>
      </c>
      <c r="BO651">
        <v>2</v>
      </c>
      <c r="BP651">
        <v>201</v>
      </c>
      <c r="BQ651">
        <v>0.1</v>
      </c>
      <c r="BR651">
        <v>3</v>
      </c>
      <c r="BS651">
        <v>0.30000000000000004</v>
      </c>
      <c r="BT651">
        <f>BS651+BD651+AU651+AM651</f>
        <v>1.3</v>
      </c>
      <c r="BU651">
        <v>1</v>
      </c>
      <c r="BV651">
        <v>2</v>
      </c>
      <c r="BW651">
        <v>293</v>
      </c>
      <c r="BX651">
        <f>BW651/7</f>
        <v>41.857142857142854</v>
      </c>
      <c r="BY651">
        <f>0.77*BX651</f>
        <v>32.229999999999997</v>
      </c>
      <c r="BZ651">
        <f t="shared" si="10"/>
        <v>33.529999999999994</v>
      </c>
    </row>
    <row r="652" spans="1:78">
      <c r="A652" s="1">
        <v>45213.643662708331</v>
      </c>
      <c r="C652">
        <v>651</v>
      </c>
      <c r="D652" s="10">
        <v>34748</v>
      </c>
      <c r="E652">
        <v>28</v>
      </c>
      <c r="F652">
        <v>1</v>
      </c>
      <c r="G652">
        <v>1</v>
      </c>
      <c r="H652">
        <v>4</v>
      </c>
      <c r="I652" s="10">
        <v>44365</v>
      </c>
      <c r="J652">
        <v>1</v>
      </c>
      <c r="K652">
        <v>1</v>
      </c>
      <c r="L652">
        <v>1</v>
      </c>
      <c r="M652">
        <v>3705</v>
      </c>
      <c r="N652">
        <v>2</v>
      </c>
      <c r="O652" s="10">
        <v>44099</v>
      </c>
      <c r="P652">
        <v>1</v>
      </c>
      <c r="Q652">
        <v>38</v>
      </c>
      <c r="R652">
        <v>2</v>
      </c>
      <c r="S652">
        <v>54</v>
      </c>
      <c r="T652">
        <v>160</v>
      </c>
      <c r="U652">
        <v>71</v>
      </c>
      <c r="V652">
        <v>17</v>
      </c>
      <c r="W652">
        <v>3</v>
      </c>
      <c r="X652">
        <v>21.093749999999996</v>
      </c>
      <c r="Y652">
        <v>27.734374999999993</v>
      </c>
      <c r="Z652">
        <v>6.6406249999999964</v>
      </c>
      <c r="AA652">
        <v>2</v>
      </c>
      <c r="AB652">
        <v>3</v>
      </c>
      <c r="AC652" t="s">
        <v>33</v>
      </c>
      <c r="AD652">
        <v>3</v>
      </c>
      <c r="AE652">
        <v>0</v>
      </c>
      <c r="AG652">
        <v>5</v>
      </c>
      <c r="AH652">
        <v>1</v>
      </c>
      <c r="AI652">
        <v>18</v>
      </c>
      <c r="AJ652">
        <v>2</v>
      </c>
      <c r="AK652">
        <v>7</v>
      </c>
      <c r="AL652">
        <v>1</v>
      </c>
      <c r="AM652">
        <f>AJ652*AK652*AL652/7</f>
        <v>2</v>
      </c>
      <c r="AN652" t="s">
        <v>41</v>
      </c>
      <c r="AO652">
        <v>0</v>
      </c>
      <c r="AV652">
        <f>AU652+AM652</f>
        <v>2</v>
      </c>
      <c r="AW652" t="s">
        <v>431</v>
      </c>
      <c r="AX652">
        <v>1</v>
      </c>
      <c r="AY652" t="s">
        <v>885</v>
      </c>
      <c r="AZ652">
        <v>5</v>
      </c>
      <c r="BA652">
        <v>0.6</v>
      </c>
      <c r="BB652">
        <v>7</v>
      </c>
      <c r="BC652">
        <v>1</v>
      </c>
      <c r="BD652">
        <f>BA652*BB652*1/7</f>
        <v>0.6</v>
      </c>
      <c r="BE652">
        <f>AM652+AU652+BD652</f>
        <v>2.6</v>
      </c>
      <c r="BF652" t="s">
        <v>885</v>
      </c>
      <c r="BG652">
        <v>0</v>
      </c>
      <c r="BH652">
        <v>7</v>
      </c>
      <c r="BI652">
        <v>1</v>
      </c>
      <c r="BJ652" t="s">
        <v>49</v>
      </c>
      <c r="BK652">
        <v>5</v>
      </c>
      <c r="BL652">
        <v>3</v>
      </c>
      <c r="BM652">
        <v>1</v>
      </c>
      <c r="BN652" t="s">
        <v>37</v>
      </c>
      <c r="BO652">
        <v>4</v>
      </c>
      <c r="BP652">
        <v>110</v>
      </c>
      <c r="BQ652">
        <v>0.05</v>
      </c>
      <c r="BR652">
        <v>2</v>
      </c>
      <c r="BS652">
        <v>0.1</v>
      </c>
      <c r="BT652">
        <f>BS652+BD652+AU652+AM652</f>
        <v>2.7</v>
      </c>
      <c r="BU652">
        <v>0</v>
      </c>
      <c r="BW652">
        <v>0</v>
      </c>
      <c r="BX652">
        <f>BW652/7</f>
        <v>0</v>
      </c>
      <c r="BY652">
        <f>0.77*BX652</f>
        <v>0</v>
      </c>
      <c r="BZ652">
        <f t="shared" si="10"/>
        <v>2.7</v>
      </c>
    </row>
    <row r="653" spans="1:78">
      <c r="A653" s="1">
        <v>45213.644835405095</v>
      </c>
      <c r="C653">
        <v>652</v>
      </c>
      <c r="D653" s="10">
        <v>31667</v>
      </c>
      <c r="E653">
        <v>37</v>
      </c>
      <c r="F653">
        <v>1</v>
      </c>
      <c r="G653">
        <v>1</v>
      </c>
      <c r="H653">
        <v>5</v>
      </c>
      <c r="I653" s="10">
        <v>42944</v>
      </c>
      <c r="J653">
        <v>1</v>
      </c>
      <c r="K653">
        <v>1</v>
      </c>
      <c r="L653">
        <v>1</v>
      </c>
      <c r="M653">
        <v>2010</v>
      </c>
      <c r="N653">
        <v>1</v>
      </c>
      <c r="O653" s="10">
        <v>42692</v>
      </c>
      <c r="P653">
        <v>0</v>
      </c>
      <c r="Q653">
        <v>36</v>
      </c>
      <c r="R653">
        <v>3</v>
      </c>
      <c r="S653">
        <v>54.5</v>
      </c>
      <c r="T653">
        <v>155</v>
      </c>
      <c r="U653">
        <v>62.5</v>
      </c>
      <c r="V653">
        <v>8</v>
      </c>
      <c r="W653">
        <v>1</v>
      </c>
      <c r="X653">
        <v>22.684703433922994</v>
      </c>
      <c r="Y653">
        <v>26.014568158168572</v>
      </c>
      <c r="Z653">
        <v>3.3298647242455779</v>
      </c>
      <c r="AA653">
        <v>2</v>
      </c>
      <c r="AB653">
        <v>3</v>
      </c>
      <c r="AC653" t="s">
        <v>50</v>
      </c>
      <c r="AD653">
        <v>2</v>
      </c>
      <c r="AE653">
        <v>0</v>
      </c>
      <c r="AG653">
        <v>5</v>
      </c>
      <c r="AH653">
        <v>1</v>
      </c>
      <c r="AI653">
        <v>18</v>
      </c>
      <c r="AJ653">
        <v>2</v>
      </c>
      <c r="AK653">
        <v>7</v>
      </c>
      <c r="AL653">
        <v>1</v>
      </c>
      <c r="AM653">
        <f>AJ653*AK653*AL653/7</f>
        <v>2</v>
      </c>
      <c r="AN653" t="s">
        <v>433</v>
      </c>
      <c r="AO653">
        <v>0</v>
      </c>
      <c r="AV653">
        <f>AU653+AM653</f>
        <v>2</v>
      </c>
      <c r="AW653" t="s">
        <v>217</v>
      </c>
      <c r="AX653">
        <v>0</v>
      </c>
      <c r="BE653">
        <f>AM653+AU653+BD653</f>
        <v>2</v>
      </c>
      <c r="BG653">
        <v>0</v>
      </c>
      <c r="BJ653" t="s">
        <v>228</v>
      </c>
      <c r="BK653">
        <v>4</v>
      </c>
      <c r="BL653">
        <v>1</v>
      </c>
      <c r="BM653">
        <v>1</v>
      </c>
      <c r="BN653" t="s">
        <v>59</v>
      </c>
      <c r="BO653">
        <v>3</v>
      </c>
      <c r="BP653">
        <v>224</v>
      </c>
      <c r="BQ653">
        <v>0.08</v>
      </c>
      <c r="BR653">
        <v>4</v>
      </c>
      <c r="BS653">
        <v>0.32</v>
      </c>
      <c r="BT653">
        <f>BS653+BD653+AU653+AM653</f>
        <v>2.3199999999999998</v>
      </c>
      <c r="BU653">
        <v>1</v>
      </c>
      <c r="BV653">
        <v>3</v>
      </c>
      <c r="BW653">
        <v>439.5</v>
      </c>
      <c r="BX653">
        <f>BW653/7</f>
        <v>62.785714285714285</v>
      </c>
      <c r="BY653">
        <f>0.77*BX653</f>
        <v>48.344999999999999</v>
      </c>
      <c r="BZ653">
        <f t="shared" si="10"/>
        <v>50.664999999999999</v>
      </c>
    </row>
    <row r="654" spans="1:78">
      <c r="A654" s="1">
        <v>45213.652128576388</v>
      </c>
      <c r="C654">
        <v>653</v>
      </c>
      <c r="D654" s="10">
        <v>31589</v>
      </c>
      <c r="E654">
        <v>37</v>
      </c>
      <c r="F654">
        <v>1</v>
      </c>
      <c r="G654">
        <v>14</v>
      </c>
      <c r="H654">
        <v>4</v>
      </c>
      <c r="I654" s="10">
        <v>43731</v>
      </c>
      <c r="J654">
        <v>2</v>
      </c>
      <c r="K654">
        <v>0</v>
      </c>
      <c r="L654">
        <v>1</v>
      </c>
      <c r="M654">
        <v>3285</v>
      </c>
      <c r="N654">
        <v>2</v>
      </c>
      <c r="O654" s="10">
        <v>43465</v>
      </c>
      <c r="P654">
        <v>0</v>
      </c>
      <c r="Q654">
        <v>38</v>
      </c>
      <c r="R654">
        <v>2</v>
      </c>
      <c r="S654">
        <v>62.5</v>
      </c>
      <c r="T654">
        <v>154</v>
      </c>
      <c r="U654">
        <v>75</v>
      </c>
      <c r="V654">
        <v>12.5</v>
      </c>
      <c r="W654">
        <v>3</v>
      </c>
      <c r="X654">
        <v>26.353516613256875</v>
      </c>
      <c r="Y654">
        <v>31.624219935908247</v>
      </c>
      <c r="Z654">
        <v>5.2707033226513715</v>
      </c>
      <c r="AA654">
        <v>3</v>
      </c>
      <c r="AB654">
        <v>4</v>
      </c>
      <c r="AC654" t="s">
        <v>33</v>
      </c>
      <c r="AD654">
        <v>3</v>
      </c>
      <c r="AE654">
        <v>0</v>
      </c>
      <c r="AG654">
        <v>5</v>
      </c>
      <c r="AH654">
        <v>1</v>
      </c>
      <c r="AI654">
        <v>5</v>
      </c>
      <c r="AJ654">
        <v>5</v>
      </c>
      <c r="AK654">
        <v>7</v>
      </c>
      <c r="AL654">
        <v>1</v>
      </c>
      <c r="AM654">
        <f>AJ654*AK654*AL654/7</f>
        <v>5</v>
      </c>
      <c r="AN654" t="s">
        <v>27</v>
      </c>
      <c r="AO654">
        <v>0</v>
      </c>
      <c r="AV654">
        <f>AU654+AM654</f>
        <v>5</v>
      </c>
      <c r="AX654">
        <v>0</v>
      </c>
      <c r="BE654">
        <f>AM654+AU654+BD654</f>
        <v>5</v>
      </c>
      <c r="BG654">
        <v>0</v>
      </c>
      <c r="BJ654" t="s">
        <v>42</v>
      </c>
      <c r="BK654">
        <v>6</v>
      </c>
      <c r="BL654">
        <v>1</v>
      </c>
      <c r="BM654">
        <v>1</v>
      </c>
      <c r="BN654" t="s">
        <v>30</v>
      </c>
      <c r="BO654">
        <v>1</v>
      </c>
      <c r="BP654">
        <v>168</v>
      </c>
      <c r="BQ654">
        <v>0.13</v>
      </c>
      <c r="BR654">
        <v>2</v>
      </c>
      <c r="BS654">
        <v>0.26</v>
      </c>
      <c r="BT654">
        <f>BS654+BD654+AU654+AM654</f>
        <v>5.26</v>
      </c>
      <c r="BU654">
        <v>1</v>
      </c>
      <c r="BV654">
        <v>2</v>
      </c>
      <c r="BW654">
        <v>293</v>
      </c>
      <c r="BX654">
        <f>BW654/7</f>
        <v>41.857142857142854</v>
      </c>
      <c r="BY654">
        <f>0.77*BX654</f>
        <v>32.229999999999997</v>
      </c>
      <c r="BZ654">
        <f t="shared" si="10"/>
        <v>37.489999999999995</v>
      </c>
    </row>
    <row r="655" spans="1:78">
      <c r="A655" s="1">
        <v>45213.654959189815</v>
      </c>
      <c r="C655">
        <v>654</v>
      </c>
      <c r="D655" s="10">
        <v>30611</v>
      </c>
      <c r="E655">
        <v>39</v>
      </c>
      <c r="F655">
        <v>1</v>
      </c>
      <c r="G655">
        <v>1</v>
      </c>
      <c r="H655">
        <v>3</v>
      </c>
      <c r="I655" s="10">
        <v>44846</v>
      </c>
      <c r="J655">
        <v>1</v>
      </c>
      <c r="K655">
        <v>1</v>
      </c>
      <c r="L655">
        <v>2</v>
      </c>
      <c r="M655">
        <v>2345</v>
      </c>
      <c r="N655">
        <v>1</v>
      </c>
      <c r="O655" s="10">
        <v>44596</v>
      </c>
      <c r="P655">
        <v>0</v>
      </c>
      <c r="Q655">
        <v>35.714285714285715</v>
      </c>
      <c r="R655">
        <v>3</v>
      </c>
      <c r="S655">
        <v>70</v>
      </c>
      <c r="T655">
        <v>168</v>
      </c>
      <c r="U655">
        <v>81</v>
      </c>
      <c r="V655">
        <v>11</v>
      </c>
      <c r="W655">
        <v>1</v>
      </c>
      <c r="X655">
        <v>24.801587301587304</v>
      </c>
      <c r="Y655">
        <v>28.698979591836739</v>
      </c>
      <c r="Z655">
        <v>3.8973922902494351</v>
      </c>
      <c r="AA655">
        <v>2</v>
      </c>
      <c r="AB655">
        <v>3</v>
      </c>
      <c r="AC655" t="s">
        <v>25</v>
      </c>
      <c r="AD655">
        <v>1</v>
      </c>
      <c r="AE655">
        <v>0</v>
      </c>
      <c r="AG655">
        <v>5</v>
      </c>
      <c r="AH655">
        <v>1</v>
      </c>
      <c r="AI655">
        <v>5</v>
      </c>
      <c r="AJ655">
        <v>5</v>
      </c>
      <c r="AK655">
        <v>7</v>
      </c>
      <c r="AL655">
        <v>1</v>
      </c>
      <c r="AM655">
        <f>AJ655*AK655*AL655/7</f>
        <v>5</v>
      </c>
      <c r="AN655" t="s">
        <v>27</v>
      </c>
      <c r="AO655">
        <v>0</v>
      </c>
      <c r="AV655">
        <f>AU655+AM655</f>
        <v>5</v>
      </c>
      <c r="AX655">
        <v>0</v>
      </c>
      <c r="BE655">
        <f>AM655+AU655+BD655</f>
        <v>5</v>
      </c>
      <c r="BG655">
        <v>0</v>
      </c>
      <c r="BJ655" t="s">
        <v>42</v>
      </c>
      <c r="BK655">
        <v>6</v>
      </c>
      <c r="BL655">
        <v>3</v>
      </c>
      <c r="BM655">
        <v>1</v>
      </c>
      <c r="BN655" t="s">
        <v>55</v>
      </c>
      <c r="BO655">
        <v>2</v>
      </c>
      <c r="BP655">
        <v>134</v>
      </c>
      <c r="BQ655">
        <v>0.1</v>
      </c>
      <c r="BR655">
        <v>2</v>
      </c>
      <c r="BS655">
        <v>0.2</v>
      </c>
      <c r="BT655">
        <f>BS655+BD655+AU655+AM655</f>
        <v>5.2</v>
      </c>
      <c r="BU655">
        <v>1</v>
      </c>
      <c r="BV655">
        <v>2</v>
      </c>
      <c r="BW655">
        <v>293</v>
      </c>
      <c r="BX655">
        <f>BW655/7</f>
        <v>41.857142857142854</v>
      </c>
      <c r="BY655">
        <f>0.77*BX655</f>
        <v>32.229999999999997</v>
      </c>
      <c r="BZ655">
        <f t="shared" si="10"/>
        <v>37.43</v>
      </c>
    </row>
    <row r="656" spans="1:78">
      <c r="A656" s="1">
        <v>45213.659371539354</v>
      </c>
      <c r="C656">
        <v>655</v>
      </c>
      <c r="D656" s="10">
        <v>33506</v>
      </c>
      <c r="E656">
        <v>32</v>
      </c>
      <c r="F656">
        <v>1</v>
      </c>
      <c r="G656">
        <v>1</v>
      </c>
      <c r="H656">
        <v>3</v>
      </c>
      <c r="I656" s="10">
        <v>43319</v>
      </c>
      <c r="J656">
        <v>1</v>
      </c>
      <c r="K656">
        <v>1</v>
      </c>
      <c r="L656">
        <v>2</v>
      </c>
      <c r="M656">
        <v>3470</v>
      </c>
      <c r="N656">
        <v>2</v>
      </c>
      <c r="O656" s="10">
        <v>43039</v>
      </c>
      <c r="P656">
        <v>0</v>
      </c>
      <c r="Q656">
        <v>40</v>
      </c>
      <c r="R656">
        <v>2</v>
      </c>
      <c r="S656">
        <v>93</v>
      </c>
      <c r="T656">
        <v>163</v>
      </c>
      <c r="U656">
        <v>104</v>
      </c>
      <c r="V656">
        <v>11</v>
      </c>
      <c r="W656">
        <v>2</v>
      </c>
      <c r="X656">
        <v>35.003199217132753</v>
      </c>
      <c r="Y656">
        <v>39.143362565395762</v>
      </c>
      <c r="Z656">
        <v>4.1401633482630089</v>
      </c>
      <c r="AA656">
        <v>4</v>
      </c>
      <c r="AB656">
        <v>4</v>
      </c>
      <c r="AC656" t="s">
        <v>106</v>
      </c>
      <c r="AD656">
        <v>2</v>
      </c>
      <c r="AE656">
        <v>0</v>
      </c>
      <c r="AG656">
        <v>5</v>
      </c>
      <c r="AH656">
        <v>1</v>
      </c>
      <c r="AI656">
        <v>13</v>
      </c>
      <c r="AJ656">
        <v>1</v>
      </c>
      <c r="AK656">
        <v>5</v>
      </c>
      <c r="AL656">
        <v>1</v>
      </c>
      <c r="AM656">
        <f>AJ656*AK656*AL656/7</f>
        <v>0.7142857142857143</v>
      </c>
      <c r="AN656" t="s">
        <v>79</v>
      </c>
      <c r="AO656">
        <v>0</v>
      </c>
      <c r="AV656">
        <f>AU656+AM656</f>
        <v>0.7142857142857143</v>
      </c>
      <c r="AX656">
        <v>0</v>
      </c>
      <c r="BE656">
        <f>AM656+AU656+BD656</f>
        <v>0.7142857142857143</v>
      </c>
      <c r="BG656">
        <v>0</v>
      </c>
      <c r="BJ656" t="s">
        <v>42</v>
      </c>
      <c r="BK656">
        <v>6</v>
      </c>
      <c r="BL656">
        <v>1</v>
      </c>
      <c r="BM656">
        <v>1</v>
      </c>
      <c r="BN656" t="s">
        <v>37</v>
      </c>
      <c r="BO656">
        <v>4</v>
      </c>
      <c r="BP656">
        <v>110</v>
      </c>
      <c r="BQ656">
        <v>0.05</v>
      </c>
      <c r="BR656">
        <v>2</v>
      </c>
      <c r="BS656">
        <v>0.1</v>
      </c>
      <c r="BT656">
        <f>BS656+BD656+AU656+AM656</f>
        <v>0.81428571428571428</v>
      </c>
      <c r="BU656">
        <v>1</v>
      </c>
      <c r="BV656">
        <v>1</v>
      </c>
      <c r="BW656">
        <v>146.5</v>
      </c>
      <c r="BX656">
        <f>BW656/7</f>
        <v>20.928571428571427</v>
      </c>
      <c r="BY656">
        <f>0.77*BX656</f>
        <v>16.114999999999998</v>
      </c>
      <c r="BZ656">
        <f t="shared" si="10"/>
        <v>16.929285714285712</v>
      </c>
    </row>
    <row r="657" spans="1:78">
      <c r="A657" s="1">
        <v>45213.667704664353</v>
      </c>
      <c r="C657">
        <v>656</v>
      </c>
      <c r="D657" s="10">
        <v>32918</v>
      </c>
      <c r="E657">
        <v>33</v>
      </c>
      <c r="F657">
        <v>1</v>
      </c>
      <c r="G657">
        <v>10</v>
      </c>
      <c r="H657">
        <v>4</v>
      </c>
      <c r="I657" s="10">
        <v>44583</v>
      </c>
      <c r="J657">
        <v>2</v>
      </c>
      <c r="K657">
        <v>0</v>
      </c>
      <c r="L657">
        <v>1</v>
      </c>
      <c r="M657">
        <v>3590</v>
      </c>
      <c r="N657">
        <v>2</v>
      </c>
      <c r="O657" s="10">
        <v>44289</v>
      </c>
      <c r="P657">
        <v>1</v>
      </c>
      <c r="Q657">
        <v>42</v>
      </c>
      <c r="R657">
        <v>1</v>
      </c>
      <c r="S657">
        <v>83</v>
      </c>
      <c r="T657">
        <v>165</v>
      </c>
      <c r="U657">
        <v>93</v>
      </c>
      <c r="V657">
        <v>10</v>
      </c>
      <c r="W657">
        <v>2</v>
      </c>
      <c r="X657">
        <v>30.486685032139579</v>
      </c>
      <c r="Y657">
        <v>34.159779614325075</v>
      </c>
      <c r="Z657">
        <v>3.6730945821854952</v>
      </c>
      <c r="AA657">
        <v>4</v>
      </c>
      <c r="AB657">
        <v>4</v>
      </c>
      <c r="AC657" t="s">
        <v>33</v>
      </c>
      <c r="AD657">
        <v>3</v>
      </c>
      <c r="AE657">
        <v>0</v>
      </c>
      <c r="AG657">
        <v>5</v>
      </c>
      <c r="AH657">
        <v>1</v>
      </c>
      <c r="AI657">
        <v>13</v>
      </c>
      <c r="AJ657">
        <v>1</v>
      </c>
      <c r="AK657">
        <v>7</v>
      </c>
      <c r="AL657">
        <v>1</v>
      </c>
      <c r="AM657">
        <f>AJ657*AK657*AL657/7</f>
        <v>1</v>
      </c>
      <c r="AN657" t="s">
        <v>79</v>
      </c>
      <c r="AO657">
        <v>0</v>
      </c>
      <c r="AV657">
        <f>AU657+AM657</f>
        <v>1</v>
      </c>
      <c r="AW657" t="s">
        <v>435</v>
      </c>
      <c r="AX657">
        <v>0</v>
      </c>
      <c r="BE657">
        <f>AM657+AU657+BD657</f>
        <v>1</v>
      </c>
      <c r="BF657" t="s">
        <v>435</v>
      </c>
      <c r="BG657">
        <v>1</v>
      </c>
      <c r="BH657">
        <v>7</v>
      </c>
      <c r="BI657">
        <v>1</v>
      </c>
      <c r="BJ657" t="s">
        <v>28</v>
      </c>
      <c r="BK657">
        <v>3</v>
      </c>
      <c r="BL657">
        <v>1</v>
      </c>
      <c r="BM657">
        <v>1</v>
      </c>
      <c r="BN657" t="s">
        <v>30</v>
      </c>
      <c r="BO657">
        <v>1</v>
      </c>
      <c r="BP657">
        <v>84</v>
      </c>
      <c r="BQ657">
        <v>0.13</v>
      </c>
      <c r="BR657">
        <v>1</v>
      </c>
      <c r="BS657">
        <v>0.13</v>
      </c>
      <c r="BT657">
        <f>BS657+BD657+AU657+AM657</f>
        <v>1.1299999999999999</v>
      </c>
      <c r="BU657">
        <v>1</v>
      </c>
      <c r="BV657">
        <v>0.5</v>
      </c>
      <c r="BW657">
        <v>73.25</v>
      </c>
      <c r="BX657">
        <f>BW657/7</f>
        <v>10.464285714285714</v>
      </c>
      <c r="BY657">
        <f>0.77*BX657</f>
        <v>8.0574999999999992</v>
      </c>
      <c r="BZ657">
        <f t="shared" si="10"/>
        <v>9.1875</v>
      </c>
    </row>
    <row r="658" spans="1:78">
      <c r="A658" s="1">
        <v>45213.668522453707</v>
      </c>
      <c r="C658">
        <v>657</v>
      </c>
      <c r="D658" s="10">
        <v>31947</v>
      </c>
      <c r="E658">
        <v>36</v>
      </c>
      <c r="F658">
        <v>1</v>
      </c>
      <c r="G658">
        <v>5</v>
      </c>
      <c r="H658">
        <v>4</v>
      </c>
      <c r="I658" s="10">
        <v>44795</v>
      </c>
      <c r="J658">
        <v>2</v>
      </c>
      <c r="K658">
        <v>0</v>
      </c>
      <c r="L658">
        <v>1</v>
      </c>
      <c r="M658">
        <v>3550</v>
      </c>
      <c r="N658">
        <v>2</v>
      </c>
      <c r="O658" s="10">
        <v>44529</v>
      </c>
      <c r="P658">
        <v>0</v>
      </c>
      <c r="Q658">
        <v>38</v>
      </c>
      <c r="R658">
        <v>2</v>
      </c>
      <c r="S658">
        <v>67</v>
      </c>
      <c r="T658">
        <v>156</v>
      </c>
      <c r="U658">
        <v>68</v>
      </c>
      <c r="V658">
        <v>1</v>
      </c>
      <c r="W658">
        <v>1</v>
      </c>
      <c r="X658">
        <v>27.531229454306374</v>
      </c>
      <c r="Y658">
        <v>27.94214332675871</v>
      </c>
      <c r="Z658">
        <v>0.4109138724523369</v>
      </c>
      <c r="AA658">
        <v>3</v>
      </c>
      <c r="AB658">
        <v>3</v>
      </c>
      <c r="AC658" t="s">
        <v>436</v>
      </c>
      <c r="AD658">
        <v>2</v>
      </c>
      <c r="AE658">
        <v>0</v>
      </c>
      <c r="AG658">
        <v>5</v>
      </c>
      <c r="AH658">
        <v>1</v>
      </c>
      <c r="AI658">
        <v>2</v>
      </c>
      <c r="AJ658">
        <v>5</v>
      </c>
      <c r="AK658">
        <v>3</v>
      </c>
      <c r="AL658">
        <v>1</v>
      </c>
      <c r="AM658">
        <f>AJ658*AK658*AL658/7</f>
        <v>2.1428571428571428</v>
      </c>
      <c r="AN658" t="s">
        <v>57</v>
      </c>
      <c r="AO658">
        <v>0</v>
      </c>
      <c r="AV658">
        <f>AU658+AM658</f>
        <v>2.1428571428571428</v>
      </c>
      <c r="AW658" t="s">
        <v>437</v>
      </c>
      <c r="AX658">
        <v>1</v>
      </c>
      <c r="AY658" t="s">
        <v>437</v>
      </c>
      <c r="AZ658">
        <v>8</v>
      </c>
      <c r="BA658">
        <v>0.4</v>
      </c>
      <c r="BB658">
        <v>5</v>
      </c>
      <c r="BC658">
        <v>1</v>
      </c>
      <c r="BD658">
        <f>BA658*BB658*1/7</f>
        <v>0.2857142857142857</v>
      </c>
      <c r="BE658">
        <f>AM658+AU658+BD658</f>
        <v>2.4285714285714284</v>
      </c>
      <c r="BF658" t="s">
        <v>437</v>
      </c>
      <c r="BG658">
        <v>0</v>
      </c>
      <c r="BH658">
        <v>5</v>
      </c>
      <c r="BI658">
        <v>1</v>
      </c>
      <c r="BJ658" t="s">
        <v>49</v>
      </c>
      <c r="BK658">
        <v>5</v>
      </c>
      <c r="BL658">
        <v>1</v>
      </c>
      <c r="BM658">
        <v>1</v>
      </c>
      <c r="BN658" t="s">
        <v>30</v>
      </c>
      <c r="BO658">
        <v>1</v>
      </c>
      <c r="BP658">
        <v>168</v>
      </c>
      <c r="BQ658">
        <v>0.13</v>
      </c>
      <c r="BR658">
        <v>2</v>
      </c>
      <c r="BS658">
        <v>0.26</v>
      </c>
      <c r="BT658">
        <f>BS658+BD658+AU658+AM658</f>
        <v>2.6885714285714286</v>
      </c>
      <c r="BU658">
        <v>1</v>
      </c>
      <c r="BV658">
        <v>3</v>
      </c>
      <c r="BW658">
        <v>439.5</v>
      </c>
      <c r="BX658">
        <f>BW658/7</f>
        <v>62.785714285714285</v>
      </c>
      <c r="BY658">
        <f>0.77*BX658</f>
        <v>48.344999999999999</v>
      </c>
      <c r="BZ658">
        <f t="shared" si="10"/>
        <v>51.033571428571427</v>
      </c>
    </row>
    <row r="659" spans="1:78">
      <c r="A659" s="1">
        <v>45213.684377465281</v>
      </c>
      <c r="C659">
        <v>658</v>
      </c>
      <c r="D659" s="10">
        <v>30161</v>
      </c>
      <c r="E659">
        <v>41</v>
      </c>
      <c r="F659">
        <v>1</v>
      </c>
      <c r="G659">
        <v>1</v>
      </c>
      <c r="H659">
        <v>4</v>
      </c>
      <c r="I659" s="10">
        <v>43124</v>
      </c>
      <c r="J659">
        <v>2</v>
      </c>
      <c r="K659">
        <v>0</v>
      </c>
      <c r="L659">
        <v>2</v>
      </c>
      <c r="M659">
        <v>1400</v>
      </c>
      <c r="N659">
        <v>1</v>
      </c>
      <c r="O659" s="10">
        <v>42886</v>
      </c>
      <c r="P659">
        <v>0</v>
      </c>
      <c r="Q659">
        <v>34</v>
      </c>
      <c r="R659">
        <v>3</v>
      </c>
      <c r="S659">
        <v>74</v>
      </c>
      <c r="T659">
        <v>169</v>
      </c>
      <c r="U659">
        <v>80</v>
      </c>
      <c r="V659">
        <v>6</v>
      </c>
      <c r="W659">
        <v>1</v>
      </c>
      <c r="X659">
        <v>25.909456951787405</v>
      </c>
      <c r="Y659">
        <v>28.010223731662059</v>
      </c>
      <c r="Z659">
        <v>2.1007667798746539</v>
      </c>
      <c r="AA659">
        <v>3</v>
      </c>
      <c r="AB659">
        <v>3</v>
      </c>
      <c r="AC659" t="s">
        <v>33</v>
      </c>
      <c r="AD659">
        <v>3</v>
      </c>
      <c r="AE659">
        <v>1</v>
      </c>
      <c r="AF659" t="s">
        <v>438</v>
      </c>
      <c r="AG659" t="e">
        <v>#N/A</v>
      </c>
      <c r="AH659">
        <v>0</v>
      </c>
      <c r="AI659">
        <v>0</v>
      </c>
      <c r="AN659" t="s">
        <v>41</v>
      </c>
      <c r="AO659">
        <v>0</v>
      </c>
      <c r="AW659" t="s">
        <v>61</v>
      </c>
      <c r="AX659">
        <v>1</v>
      </c>
      <c r="AY659" t="s">
        <v>886</v>
      </c>
      <c r="AZ659">
        <v>2</v>
      </c>
      <c r="BA659">
        <v>0.53500000000000003</v>
      </c>
      <c r="BB659">
        <v>7</v>
      </c>
      <c r="BC659">
        <v>1</v>
      </c>
      <c r="BD659">
        <f>BA659*BB659*1/7</f>
        <v>0.53500000000000003</v>
      </c>
      <c r="BE659">
        <f>AM659+AU659+BD659</f>
        <v>0.53500000000000003</v>
      </c>
      <c r="BF659" t="s">
        <v>886</v>
      </c>
      <c r="BG659">
        <v>0</v>
      </c>
      <c r="BH659">
        <v>7</v>
      </c>
      <c r="BI659">
        <v>1</v>
      </c>
      <c r="BJ659" t="s">
        <v>36</v>
      </c>
      <c r="BK659">
        <v>4</v>
      </c>
      <c r="BL659">
        <v>1</v>
      </c>
      <c r="BM659">
        <v>1</v>
      </c>
      <c r="BN659" t="s">
        <v>30</v>
      </c>
      <c r="BO659">
        <v>1</v>
      </c>
      <c r="BP659">
        <v>42</v>
      </c>
      <c r="BQ659">
        <v>0.13</v>
      </c>
      <c r="BR659">
        <v>0.5</v>
      </c>
      <c r="BS659">
        <v>6.5000000000000002E-2</v>
      </c>
      <c r="BT659">
        <f>BS659+BD659+AU659+AM659</f>
        <v>0.60000000000000009</v>
      </c>
      <c r="BU659">
        <v>1</v>
      </c>
      <c r="BV659">
        <v>0.5</v>
      </c>
      <c r="BW659">
        <v>73.25</v>
      </c>
      <c r="BX659">
        <f>BW659/7</f>
        <v>10.464285714285714</v>
      </c>
      <c r="BY659">
        <f>0.77*BX659</f>
        <v>8.0574999999999992</v>
      </c>
      <c r="BZ659">
        <f t="shared" si="10"/>
        <v>8.6574999999999989</v>
      </c>
    </row>
    <row r="660" spans="1:78">
      <c r="A660" s="1">
        <v>45213.691258101855</v>
      </c>
      <c r="C660">
        <v>659</v>
      </c>
      <c r="D660" s="10">
        <v>35431</v>
      </c>
      <c r="E660">
        <v>26</v>
      </c>
      <c r="F660">
        <v>1</v>
      </c>
      <c r="G660">
        <v>9</v>
      </c>
      <c r="H660">
        <v>3</v>
      </c>
      <c r="I660" s="10">
        <v>44695</v>
      </c>
      <c r="J660">
        <v>2</v>
      </c>
      <c r="K660">
        <v>0</v>
      </c>
      <c r="L660">
        <v>1</v>
      </c>
      <c r="M660">
        <v>3480</v>
      </c>
      <c r="N660">
        <v>2</v>
      </c>
      <c r="O660" s="10">
        <v>44408</v>
      </c>
      <c r="P660">
        <v>1</v>
      </c>
      <c r="Q660">
        <v>41</v>
      </c>
      <c r="R660">
        <v>2</v>
      </c>
      <c r="S660">
        <v>71</v>
      </c>
      <c r="T660">
        <v>158</v>
      </c>
      <c r="U660">
        <v>85</v>
      </c>
      <c r="V660">
        <v>14</v>
      </c>
      <c r="W660">
        <v>3</v>
      </c>
      <c r="X660">
        <v>28.440954975164232</v>
      </c>
      <c r="Y660">
        <v>34.049030604069856</v>
      </c>
      <c r="Z660">
        <v>5.6080756289056239</v>
      </c>
      <c r="AA660">
        <v>3</v>
      </c>
      <c r="AB660">
        <v>4</v>
      </c>
      <c r="AC660" t="s">
        <v>33</v>
      </c>
      <c r="AD660">
        <v>3</v>
      </c>
      <c r="AE660">
        <v>0</v>
      </c>
      <c r="AG660">
        <v>5</v>
      </c>
      <c r="AH660">
        <v>1</v>
      </c>
      <c r="AI660">
        <v>13</v>
      </c>
      <c r="AJ660">
        <v>1</v>
      </c>
      <c r="AK660">
        <v>7</v>
      </c>
      <c r="AL660">
        <v>1</v>
      </c>
      <c r="AM660">
        <f>AJ660*AK660*AL660/7</f>
        <v>1</v>
      </c>
      <c r="AN660" t="s">
        <v>79</v>
      </c>
      <c r="AO660">
        <v>0</v>
      </c>
      <c r="AV660">
        <f>AU660+AM660</f>
        <v>1</v>
      </c>
      <c r="AX660">
        <v>0</v>
      </c>
      <c r="BE660">
        <f>AM660+AU660+BD660</f>
        <v>1</v>
      </c>
      <c r="BG660">
        <v>0</v>
      </c>
      <c r="BJ660" t="s">
        <v>49</v>
      </c>
      <c r="BK660">
        <v>5</v>
      </c>
      <c r="BL660">
        <v>1</v>
      </c>
      <c r="BM660">
        <v>1</v>
      </c>
      <c r="BN660" t="s">
        <v>37</v>
      </c>
      <c r="BO660">
        <v>4</v>
      </c>
      <c r="BP660">
        <v>27.5</v>
      </c>
      <c r="BQ660">
        <v>0.05</v>
      </c>
      <c r="BR660">
        <v>0.5</v>
      </c>
      <c r="BS660">
        <v>2.5000000000000001E-2</v>
      </c>
      <c r="BT660">
        <f>BS660+BD660+AU660+AM660</f>
        <v>1.0249999999999999</v>
      </c>
      <c r="BU660">
        <v>1</v>
      </c>
      <c r="BV660">
        <v>0.5</v>
      </c>
      <c r="BW660">
        <v>73.25</v>
      </c>
      <c r="BX660">
        <f>BW660/7</f>
        <v>10.464285714285714</v>
      </c>
      <c r="BY660">
        <f>0.77*BX660</f>
        <v>8.0574999999999992</v>
      </c>
      <c r="BZ660">
        <f t="shared" si="10"/>
        <v>9.0824999999999996</v>
      </c>
    </row>
    <row r="661" spans="1:78">
      <c r="A661" s="1">
        <v>45213.702466354167</v>
      </c>
      <c r="C661">
        <v>660</v>
      </c>
      <c r="D661" s="10">
        <v>35122</v>
      </c>
      <c r="E661">
        <v>27</v>
      </c>
      <c r="F661">
        <v>1</v>
      </c>
      <c r="G661">
        <v>13</v>
      </c>
      <c r="H661">
        <v>4</v>
      </c>
      <c r="I661" s="10">
        <v>44950</v>
      </c>
      <c r="J661">
        <v>2</v>
      </c>
      <c r="K661">
        <v>0</v>
      </c>
      <c r="L661">
        <v>2</v>
      </c>
      <c r="M661">
        <v>3595</v>
      </c>
      <c r="N661">
        <v>2</v>
      </c>
      <c r="O661" s="10">
        <v>44673</v>
      </c>
      <c r="P661">
        <v>0</v>
      </c>
      <c r="Q661">
        <v>39.571428571428569</v>
      </c>
      <c r="R661">
        <v>2</v>
      </c>
      <c r="S661">
        <v>62</v>
      </c>
      <c r="T661">
        <v>164</v>
      </c>
      <c r="U661">
        <v>68</v>
      </c>
      <c r="V661">
        <v>6</v>
      </c>
      <c r="W661">
        <v>1</v>
      </c>
      <c r="X661">
        <v>23.051754907792983</v>
      </c>
      <c r="Y661">
        <v>25.282569898869724</v>
      </c>
      <c r="Z661">
        <v>2.2308149910767412</v>
      </c>
      <c r="AA661">
        <v>2</v>
      </c>
      <c r="AB661">
        <v>3</v>
      </c>
      <c r="AC661" t="s">
        <v>33</v>
      </c>
      <c r="AD661">
        <v>3</v>
      </c>
      <c r="AE661">
        <v>0</v>
      </c>
      <c r="AG661">
        <v>5</v>
      </c>
      <c r="AH661">
        <v>1</v>
      </c>
      <c r="AI661">
        <v>13</v>
      </c>
      <c r="AJ661">
        <v>1</v>
      </c>
      <c r="AK661">
        <v>7</v>
      </c>
      <c r="AL661">
        <v>1</v>
      </c>
      <c r="AM661">
        <f>AJ661*AK661*AL661/7</f>
        <v>1</v>
      </c>
      <c r="AN661" t="s">
        <v>79</v>
      </c>
      <c r="AO661">
        <v>0</v>
      </c>
      <c r="AV661">
        <f>AU661+AM661</f>
        <v>1</v>
      </c>
      <c r="AW661" t="s">
        <v>71</v>
      </c>
      <c r="AX661">
        <v>1</v>
      </c>
      <c r="AY661" t="s">
        <v>71</v>
      </c>
      <c r="AZ661">
        <v>5</v>
      </c>
      <c r="BA661">
        <v>0.4</v>
      </c>
      <c r="BB661">
        <v>7</v>
      </c>
      <c r="BC661">
        <v>1</v>
      </c>
      <c r="BD661">
        <f>BA661*BB661*1/7</f>
        <v>0.4</v>
      </c>
      <c r="BE661">
        <f>AM661+AU661+BD661</f>
        <v>1.4</v>
      </c>
      <c r="BF661" t="s">
        <v>71</v>
      </c>
      <c r="BG661">
        <v>0</v>
      </c>
      <c r="BH661">
        <v>7</v>
      </c>
      <c r="BI661">
        <v>1</v>
      </c>
      <c r="BJ661" t="s">
        <v>42</v>
      </c>
      <c r="BK661">
        <v>6</v>
      </c>
      <c r="BL661">
        <v>1</v>
      </c>
      <c r="BM661">
        <v>1</v>
      </c>
      <c r="BN661" t="s">
        <v>55</v>
      </c>
      <c r="BO661">
        <v>2</v>
      </c>
      <c r="BP661">
        <v>134</v>
      </c>
      <c r="BQ661">
        <v>0.1</v>
      </c>
      <c r="BR661">
        <v>2</v>
      </c>
      <c r="BS661">
        <v>0.2</v>
      </c>
      <c r="BT661">
        <f>BS661+BD661+AU661+AM661</f>
        <v>1.6</v>
      </c>
      <c r="BU661">
        <v>1</v>
      </c>
      <c r="BV661">
        <v>3</v>
      </c>
      <c r="BW661">
        <v>439.5</v>
      </c>
      <c r="BX661">
        <f>BW661/7</f>
        <v>62.785714285714285</v>
      </c>
      <c r="BY661">
        <f>0.77*BX661</f>
        <v>48.344999999999999</v>
      </c>
      <c r="BZ661">
        <f t="shared" si="10"/>
        <v>49.945</v>
      </c>
    </row>
    <row r="662" spans="1:78">
      <c r="A662" s="1">
        <v>45213.719294537033</v>
      </c>
      <c r="B662" t="s">
        <v>871</v>
      </c>
      <c r="C662">
        <v>661</v>
      </c>
      <c r="D662" s="10">
        <v>32106</v>
      </c>
      <c r="E662">
        <v>35</v>
      </c>
      <c r="F662">
        <v>1</v>
      </c>
      <c r="G662">
        <v>11</v>
      </c>
      <c r="H662">
        <v>4</v>
      </c>
      <c r="I662" s="10">
        <v>43773</v>
      </c>
      <c r="J662">
        <v>2</v>
      </c>
      <c r="K662">
        <v>0</v>
      </c>
      <c r="L662">
        <v>1</v>
      </c>
      <c r="M662">
        <v>2820</v>
      </c>
      <c r="N662">
        <v>2</v>
      </c>
      <c r="O662" s="10">
        <v>43521</v>
      </c>
      <c r="P662">
        <v>0</v>
      </c>
      <c r="Q662">
        <v>36</v>
      </c>
      <c r="R662">
        <v>3</v>
      </c>
      <c r="S662">
        <v>80</v>
      </c>
      <c r="T662">
        <v>168</v>
      </c>
      <c r="U662">
        <v>91</v>
      </c>
      <c r="V662">
        <v>11</v>
      </c>
      <c r="W662">
        <v>2</v>
      </c>
      <c r="X662">
        <v>28.344671201814062</v>
      </c>
      <c r="Y662">
        <v>32.242063492063494</v>
      </c>
      <c r="Z662">
        <v>3.8973922902494316</v>
      </c>
      <c r="AA662">
        <v>3</v>
      </c>
      <c r="AB662">
        <v>4</v>
      </c>
      <c r="AC662" t="s">
        <v>33</v>
      </c>
      <c r="AD662">
        <v>3</v>
      </c>
      <c r="AE662">
        <v>1</v>
      </c>
      <c r="AF662" t="s">
        <v>819</v>
      </c>
      <c r="AG662" t="e">
        <v>#N/A</v>
      </c>
      <c r="AH662">
        <v>1</v>
      </c>
      <c r="AI662">
        <v>5</v>
      </c>
      <c r="AJ662">
        <v>5</v>
      </c>
      <c r="AK662">
        <v>7</v>
      </c>
      <c r="AL662">
        <v>1</v>
      </c>
      <c r="AM662">
        <f>AJ662*AK662*AL662/7</f>
        <v>5</v>
      </c>
      <c r="AN662" t="s">
        <v>27</v>
      </c>
      <c r="AO662">
        <v>0</v>
      </c>
      <c r="AV662">
        <f>AU662+AM662</f>
        <v>5</v>
      </c>
      <c r="AW662" t="s">
        <v>442</v>
      </c>
      <c r="AX662">
        <v>0</v>
      </c>
      <c r="BE662">
        <f>AM662+AU662+BD662</f>
        <v>5</v>
      </c>
      <c r="BF662" t="s">
        <v>442</v>
      </c>
      <c r="BG662">
        <v>1</v>
      </c>
      <c r="BH662">
        <v>7</v>
      </c>
      <c r="BI662">
        <v>1</v>
      </c>
      <c r="BJ662" t="s">
        <v>54</v>
      </c>
      <c r="BK662">
        <v>2</v>
      </c>
      <c r="BL662">
        <v>1</v>
      </c>
      <c r="BM662">
        <v>1</v>
      </c>
      <c r="BN662" t="s">
        <v>55</v>
      </c>
      <c r="BO662">
        <v>2</v>
      </c>
      <c r="BP662">
        <v>134</v>
      </c>
      <c r="BQ662">
        <v>0.1</v>
      </c>
      <c r="BR662">
        <v>2</v>
      </c>
      <c r="BS662">
        <v>0.2</v>
      </c>
      <c r="BT662">
        <f>BS662+BD662+AU662+AM662</f>
        <v>5.2</v>
      </c>
      <c r="BU662">
        <v>1</v>
      </c>
      <c r="BV662">
        <v>1</v>
      </c>
      <c r="BW662">
        <v>146.5</v>
      </c>
      <c r="BX662">
        <f>BW662/7</f>
        <v>20.928571428571427</v>
      </c>
      <c r="BY662">
        <f>0.77*BX662</f>
        <v>16.114999999999998</v>
      </c>
      <c r="BZ662">
        <f t="shared" si="10"/>
        <v>21.314999999999998</v>
      </c>
    </row>
    <row r="663" spans="1:78">
      <c r="A663" s="1">
        <v>45213.756500127318</v>
      </c>
      <c r="C663">
        <v>662</v>
      </c>
      <c r="D663" s="10">
        <v>33035</v>
      </c>
      <c r="E663">
        <v>33</v>
      </c>
      <c r="F663">
        <v>1</v>
      </c>
      <c r="G663">
        <v>1</v>
      </c>
      <c r="H663">
        <v>2</v>
      </c>
      <c r="I663" s="10">
        <v>43395</v>
      </c>
      <c r="J663">
        <v>1</v>
      </c>
      <c r="K663">
        <v>1</v>
      </c>
      <c r="L663">
        <v>2</v>
      </c>
      <c r="M663">
        <v>4000</v>
      </c>
      <c r="N663">
        <v>2</v>
      </c>
      <c r="O663" s="10">
        <v>43129</v>
      </c>
      <c r="P663">
        <v>0</v>
      </c>
      <c r="Q663">
        <v>38</v>
      </c>
      <c r="R663">
        <v>2</v>
      </c>
      <c r="S663">
        <v>52</v>
      </c>
      <c r="T663">
        <v>154</v>
      </c>
      <c r="U663">
        <v>62</v>
      </c>
      <c r="V663">
        <v>10</v>
      </c>
      <c r="W663">
        <v>1</v>
      </c>
      <c r="X663">
        <v>21.926125822229718</v>
      </c>
      <c r="Y663">
        <v>26.14268848035082</v>
      </c>
      <c r="Z663">
        <v>4.2165626581211022</v>
      </c>
      <c r="AA663">
        <v>2</v>
      </c>
      <c r="AB663">
        <v>3</v>
      </c>
      <c r="AC663" t="s">
        <v>33</v>
      </c>
      <c r="AD663">
        <v>3</v>
      </c>
      <c r="AE663">
        <v>0</v>
      </c>
      <c r="AG663">
        <v>5</v>
      </c>
      <c r="AH663">
        <v>1</v>
      </c>
      <c r="AI663">
        <v>2</v>
      </c>
      <c r="AJ663">
        <v>5</v>
      </c>
      <c r="AK663">
        <v>7</v>
      </c>
      <c r="AL663">
        <v>1</v>
      </c>
      <c r="AM663">
        <f>AJ663*AK663*AL663/7</f>
        <v>5</v>
      </c>
      <c r="AN663" t="s">
        <v>57</v>
      </c>
      <c r="AO663">
        <v>0</v>
      </c>
      <c r="AV663">
        <f>AU663+AM663</f>
        <v>5</v>
      </c>
      <c r="AX663">
        <v>0</v>
      </c>
      <c r="BE663">
        <f>AM663+AU663+BD663</f>
        <v>5</v>
      </c>
      <c r="BG663">
        <v>0</v>
      </c>
      <c r="BJ663" t="s">
        <v>42</v>
      </c>
      <c r="BK663">
        <v>6</v>
      </c>
      <c r="BL663">
        <v>3</v>
      </c>
      <c r="BM663">
        <v>1</v>
      </c>
      <c r="BN663" t="s">
        <v>59</v>
      </c>
      <c r="BO663">
        <v>3</v>
      </c>
      <c r="BP663">
        <v>56</v>
      </c>
      <c r="BQ663">
        <v>0.08</v>
      </c>
      <c r="BR663">
        <v>1</v>
      </c>
      <c r="BS663">
        <v>0.08</v>
      </c>
      <c r="BT663">
        <f>BS663+BD663+AU663+AM663</f>
        <v>5.08</v>
      </c>
      <c r="BU663">
        <v>1</v>
      </c>
      <c r="BV663">
        <v>1</v>
      </c>
      <c r="BW663">
        <v>146.5</v>
      </c>
      <c r="BX663">
        <f>BW663/7</f>
        <v>20.928571428571427</v>
      </c>
      <c r="BY663">
        <f>0.77*BX663</f>
        <v>16.114999999999998</v>
      </c>
      <c r="BZ663">
        <f t="shared" si="10"/>
        <v>21.195</v>
      </c>
    </row>
    <row r="664" spans="1:78">
      <c r="A664" s="1">
        <v>45213.756844618052</v>
      </c>
      <c r="C664">
        <v>663</v>
      </c>
      <c r="D664" s="10">
        <v>31017</v>
      </c>
      <c r="E664">
        <v>38</v>
      </c>
      <c r="F664">
        <v>1</v>
      </c>
      <c r="G664">
        <v>12</v>
      </c>
      <c r="H664">
        <v>5</v>
      </c>
      <c r="I664" s="10">
        <v>43229</v>
      </c>
      <c r="J664">
        <v>1</v>
      </c>
      <c r="K664">
        <v>1</v>
      </c>
      <c r="L664">
        <v>1</v>
      </c>
      <c r="M664">
        <v>3520</v>
      </c>
      <c r="N664">
        <v>2</v>
      </c>
      <c r="O664" s="10">
        <v>42963</v>
      </c>
      <c r="P664">
        <v>0</v>
      </c>
      <c r="Q664">
        <v>38</v>
      </c>
      <c r="R664">
        <v>2</v>
      </c>
      <c r="S664">
        <v>86</v>
      </c>
      <c r="T664">
        <v>175</v>
      </c>
      <c r="U664">
        <v>97</v>
      </c>
      <c r="V664">
        <v>11</v>
      </c>
      <c r="W664">
        <v>2</v>
      </c>
      <c r="X664">
        <v>28.081632653061224</v>
      </c>
      <c r="Y664">
        <v>31.673469387755102</v>
      </c>
      <c r="Z664">
        <v>3.591836734693878</v>
      </c>
      <c r="AA664">
        <v>3</v>
      </c>
      <c r="AB664">
        <v>4</v>
      </c>
      <c r="AC664" t="s">
        <v>123</v>
      </c>
      <c r="AD664">
        <v>2</v>
      </c>
      <c r="AE664">
        <v>0</v>
      </c>
      <c r="AG664">
        <v>5</v>
      </c>
      <c r="AH664">
        <v>1</v>
      </c>
      <c r="AI664">
        <v>2</v>
      </c>
      <c r="AJ664">
        <v>5</v>
      </c>
      <c r="AK664">
        <v>7</v>
      </c>
      <c r="AL664">
        <v>1</v>
      </c>
      <c r="AM664">
        <f>AJ664*AK664*AL664/7</f>
        <v>5</v>
      </c>
      <c r="AN664" t="s">
        <v>57</v>
      </c>
      <c r="AO664">
        <v>0</v>
      </c>
      <c r="AV664">
        <f>AU664+AM664</f>
        <v>5</v>
      </c>
      <c r="AX664">
        <v>0</v>
      </c>
      <c r="BE664">
        <f>AM664+AU664+BD664</f>
        <v>5</v>
      </c>
      <c r="BG664">
        <v>0</v>
      </c>
      <c r="BJ664" t="s">
        <v>49</v>
      </c>
      <c r="BK664">
        <v>5</v>
      </c>
      <c r="BL664">
        <v>1</v>
      </c>
      <c r="BM664">
        <v>1</v>
      </c>
      <c r="BN664" t="s">
        <v>30</v>
      </c>
      <c r="BO664">
        <v>1</v>
      </c>
      <c r="BP664">
        <v>42</v>
      </c>
      <c r="BQ664">
        <v>0.13</v>
      </c>
      <c r="BR664">
        <v>0.5</v>
      </c>
      <c r="BS664">
        <v>6.5000000000000002E-2</v>
      </c>
      <c r="BT664">
        <f>BS664+BD664+AU664+AM664</f>
        <v>5.0650000000000004</v>
      </c>
      <c r="BU664">
        <v>1</v>
      </c>
      <c r="BV664">
        <v>0.5</v>
      </c>
      <c r="BW664">
        <v>73.25</v>
      </c>
      <c r="BX664">
        <f>BW664/7</f>
        <v>10.464285714285714</v>
      </c>
      <c r="BY664">
        <f>0.77*BX664</f>
        <v>8.0574999999999992</v>
      </c>
      <c r="BZ664">
        <f t="shared" si="10"/>
        <v>13.122499999999999</v>
      </c>
    </row>
    <row r="665" spans="1:78">
      <c r="A665" s="1">
        <v>45213.765797928238</v>
      </c>
      <c r="C665">
        <v>664</v>
      </c>
      <c r="D665" s="10">
        <v>31786</v>
      </c>
      <c r="E665">
        <v>36</v>
      </c>
      <c r="F665">
        <v>1</v>
      </c>
      <c r="G665">
        <v>3</v>
      </c>
      <c r="H665">
        <v>5</v>
      </c>
      <c r="I665" s="10">
        <v>44970</v>
      </c>
      <c r="J665">
        <v>1</v>
      </c>
      <c r="K665">
        <v>1</v>
      </c>
      <c r="L665">
        <v>1</v>
      </c>
      <c r="M665">
        <v>3680</v>
      </c>
      <c r="N665">
        <v>2</v>
      </c>
      <c r="O665" s="10">
        <v>44697</v>
      </c>
      <c r="P665">
        <v>0</v>
      </c>
      <c r="Q665">
        <v>39</v>
      </c>
      <c r="R665">
        <v>2</v>
      </c>
      <c r="S665">
        <v>58.5</v>
      </c>
      <c r="T665">
        <v>160</v>
      </c>
      <c r="U665">
        <v>70</v>
      </c>
      <c r="V665">
        <v>11.5</v>
      </c>
      <c r="W665">
        <v>2</v>
      </c>
      <c r="X665">
        <v>22.851562499999996</v>
      </c>
      <c r="Y665">
        <v>27.343749999999996</v>
      </c>
      <c r="Z665">
        <v>4.4921875</v>
      </c>
      <c r="AA665">
        <v>2</v>
      </c>
      <c r="AB665">
        <v>3</v>
      </c>
      <c r="AC665" t="s">
        <v>33</v>
      </c>
      <c r="AD665">
        <v>3</v>
      </c>
      <c r="AE665">
        <v>0</v>
      </c>
      <c r="AG665">
        <v>5</v>
      </c>
      <c r="AH665">
        <v>1</v>
      </c>
      <c r="AI665">
        <v>4</v>
      </c>
      <c r="AJ665">
        <v>1</v>
      </c>
      <c r="AK665">
        <v>7</v>
      </c>
      <c r="AL665">
        <v>1</v>
      </c>
      <c r="AM665">
        <f>AJ665*AK665*AL665/7</f>
        <v>1</v>
      </c>
      <c r="AN665" t="s">
        <v>43</v>
      </c>
      <c r="AO665">
        <v>0</v>
      </c>
      <c r="AV665">
        <f>AU665+AM665</f>
        <v>1</v>
      </c>
      <c r="AX665">
        <v>0</v>
      </c>
      <c r="BE665">
        <f>AM665+AU665+BD665</f>
        <v>1</v>
      </c>
      <c r="BG665">
        <v>0</v>
      </c>
      <c r="BJ665" t="s">
        <v>28</v>
      </c>
      <c r="BK665">
        <v>3</v>
      </c>
      <c r="BL665">
        <v>1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f>BS665+BD665+AU665+AM665</f>
        <v>1</v>
      </c>
      <c r="BU665">
        <v>0</v>
      </c>
      <c r="BW665">
        <v>0</v>
      </c>
      <c r="BX665">
        <f>BW665/7</f>
        <v>0</v>
      </c>
      <c r="BY665">
        <f>0.77*BX665</f>
        <v>0</v>
      </c>
      <c r="BZ665">
        <f t="shared" si="10"/>
        <v>1</v>
      </c>
    </row>
    <row r="666" spans="1:78">
      <c r="A666" s="1">
        <v>45213.775447685184</v>
      </c>
      <c r="C666">
        <v>665</v>
      </c>
      <c r="D666" s="10">
        <v>32535</v>
      </c>
      <c r="E666">
        <v>34</v>
      </c>
      <c r="F666">
        <v>1</v>
      </c>
      <c r="G666">
        <v>1</v>
      </c>
      <c r="H666">
        <v>4</v>
      </c>
      <c r="I666" s="10">
        <v>43344</v>
      </c>
      <c r="J666">
        <v>3</v>
      </c>
      <c r="K666">
        <v>0</v>
      </c>
      <c r="L666">
        <v>2</v>
      </c>
      <c r="M666">
        <v>2250</v>
      </c>
      <c r="N666">
        <v>1</v>
      </c>
      <c r="O666" s="10">
        <v>43078</v>
      </c>
      <c r="P666">
        <v>0</v>
      </c>
      <c r="Q666">
        <v>38</v>
      </c>
      <c r="R666">
        <v>2</v>
      </c>
      <c r="S666">
        <v>64</v>
      </c>
      <c r="T666">
        <v>154</v>
      </c>
      <c r="U666">
        <v>72</v>
      </c>
      <c r="V666">
        <v>8</v>
      </c>
      <c r="W666">
        <v>2</v>
      </c>
      <c r="X666">
        <v>26.986001011975038</v>
      </c>
      <c r="Y666">
        <v>30.359251138471919</v>
      </c>
      <c r="Z666">
        <v>3.3732501264968811</v>
      </c>
      <c r="AA666">
        <v>3</v>
      </c>
      <c r="AB666">
        <v>4</v>
      </c>
      <c r="AC666" t="s">
        <v>33</v>
      </c>
      <c r="AD666">
        <v>3</v>
      </c>
      <c r="AE666">
        <v>1</v>
      </c>
      <c r="AF666" t="s">
        <v>439</v>
      </c>
      <c r="AG666">
        <v>3</v>
      </c>
      <c r="AH666">
        <v>1</v>
      </c>
      <c r="AI666">
        <v>13</v>
      </c>
      <c r="AJ666">
        <v>1</v>
      </c>
      <c r="AK666">
        <v>7</v>
      </c>
      <c r="AL666">
        <v>1</v>
      </c>
      <c r="AM666">
        <f>AJ666*AK666*AL666/7</f>
        <v>1</v>
      </c>
      <c r="AN666" t="s">
        <v>79</v>
      </c>
      <c r="AO666">
        <v>0</v>
      </c>
      <c r="AV666">
        <f>AU666+AM666</f>
        <v>1</v>
      </c>
      <c r="AW666" t="s">
        <v>128</v>
      </c>
      <c r="AX666">
        <v>1</v>
      </c>
      <c r="AY666" t="s">
        <v>128</v>
      </c>
      <c r="AZ666">
        <v>4</v>
      </c>
      <c r="BA666">
        <v>0.2</v>
      </c>
      <c r="BB666">
        <v>7</v>
      </c>
      <c r="BC666">
        <v>1</v>
      </c>
      <c r="BD666">
        <f>BA666*BB666*1/7</f>
        <v>0.2</v>
      </c>
      <c r="BE666">
        <f>AM666+AU666+BD666</f>
        <v>1.2</v>
      </c>
      <c r="BF666" t="s">
        <v>128</v>
      </c>
      <c r="BG666">
        <v>0</v>
      </c>
      <c r="BH666">
        <v>7</v>
      </c>
      <c r="BI666">
        <v>1</v>
      </c>
      <c r="BJ666" t="s">
        <v>49</v>
      </c>
      <c r="BK666">
        <v>5</v>
      </c>
      <c r="BL666">
        <v>3</v>
      </c>
      <c r="BM666">
        <v>1</v>
      </c>
      <c r="BN666" t="s">
        <v>37</v>
      </c>
      <c r="BO666">
        <v>4</v>
      </c>
      <c r="BP666">
        <v>110</v>
      </c>
      <c r="BQ666">
        <v>0.05</v>
      </c>
      <c r="BR666">
        <v>2</v>
      </c>
      <c r="BS666">
        <v>0.1</v>
      </c>
      <c r="BT666">
        <f>BS666+BD666+AU666+AM666</f>
        <v>1.3</v>
      </c>
      <c r="BU666">
        <v>1</v>
      </c>
      <c r="BV666">
        <v>2</v>
      </c>
      <c r="BW666">
        <v>293</v>
      </c>
      <c r="BX666">
        <f>BW666/7</f>
        <v>41.857142857142854</v>
      </c>
      <c r="BY666">
        <f>0.77*BX666</f>
        <v>32.229999999999997</v>
      </c>
      <c r="BZ666">
        <f t="shared" si="10"/>
        <v>33.529999999999994</v>
      </c>
    </row>
    <row r="667" spans="1:78">
      <c r="A667" s="1">
        <v>45213.821214953699</v>
      </c>
      <c r="C667">
        <v>666</v>
      </c>
      <c r="D667" s="10">
        <v>31360</v>
      </c>
      <c r="E667">
        <v>37</v>
      </c>
      <c r="F667">
        <v>1</v>
      </c>
      <c r="G667">
        <v>1</v>
      </c>
      <c r="H667">
        <v>4</v>
      </c>
      <c r="I667" s="10">
        <v>43692</v>
      </c>
      <c r="J667">
        <v>1</v>
      </c>
      <c r="K667">
        <v>1</v>
      </c>
      <c r="L667">
        <v>2</v>
      </c>
      <c r="M667">
        <v>2413</v>
      </c>
      <c r="N667">
        <v>1</v>
      </c>
      <c r="O667" s="10">
        <v>43440</v>
      </c>
      <c r="P667">
        <v>0</v>
      </c>
      <c r="Q667">
        <v>36</v>
      </c>
      <c r="R667">
        <v>3</v>
      </c>
      <c r="S667">
        <v>82</v>
      </c>
      <c r="T667">
        <v>170</v>
      </c>
      <c r="U667">
        <v>90.5</v>
      </c>
      <c r="V667">
        <v>8.5</v>
      </c>
      <c r="W667">
        <v>2</v>
      </c>
      <c r="X667">
        <v>28.373702422145332</v>
      </c>
      <c r="Y667">
        <v>31.314878892733567</v>
      </c>
      <c r="Z667">
        <v>2.9411764705882355</v>
      </c>
      <c r="AA667">
        <v>3</v>
      </c>
      <c r="AB667">
        <v>4</v>
      </c>
      <c r="AC667" t="s">
        <v>44</v>
      </c>
      <c r="AD667">
        <v>1</v>
      </c>
      <c r="AE667">
        <v>0</v>
      </c>
      <c r="AG667">
        <v>5</v>
      </c>
      <c r="AH667">
        <v>1</v>
      </c>
      <c r="AI667">
        <v>13</v>
      </c>
      <c r="AJ667">
        <v>1</v>
      </c>
      <c r="AK667">
        <v>7</v>
      </c>
      <c r="AL667">
        <v>1</v>
      </c>
      <c r="AM667">
        <f>AJ667*AK667*AL667/7</f>
        <v>1</v>
      </c>
      <c r="AN667" t="s">
        <v>79</v>
      </c>
      <c r="AO667">
        <v>0</v>
      </c>
      <c r="AV667">
        <f>AU667+AM667</f>
        <v>1</v>
      </c>
      <c r="AX667">
        <v>0</v>
      </c>
      <c r="BE667">
        <f>AM667+AU667+BD667</f>
        <v>1</v>
      </c>
      <c r="BG667">
        <v>0</v>
      </c>
      <c r="BJ667" t="s">
        <v>28</v>
      </c>
      <c r="BK667">
        <v>3</v>
      </c>
      <c r="BL667">
        <v>1</v>
      </c>
      <c r="BM667">
        <v>1</v>
      </c>
      <c r="BN667" t="s">
        <v>30</v>
      </c>
      <c r="BO667">
        <v>1</v>
      </c>
      <c r="BP667">
        <v>168</v>
      </c>
      <c r="BQ667">
        <v>0.13</v>
      </c>
      <c r="BR667">
        <v>2</v>
      </c>
      <c r="BS667">
        <v>0.26</v>
      </c>
      <c r="BT667">
        <f>BS667+BD667+AU667+AM667</f>
        <v>1.26</v>
      </c>
      <c r="BU667">
        <v>1</v>
      </c>
      <c r="BV667">
        <v>1</v>
      </c>
      <c r="BW667">
        <v>146.5</v>
      </c>
      <c r="BX667">
        <f>BW667/7</f>
        <v>20.928571428571427</v>
      </c>
      <c r="BY667">
        <f>0.77*BX667</f>
        <v>16.114999999999998</v>
      </c>
      <c r="BZ667">
        <f t="shared" si="10"/>
        <v>17.375</v>
      </c>
    </row>
    <row r="668" spans="1:78">
      <c r="A668" s="1">
        <v>45213.82146644676</v>
      </c>
      <c r="B668" s="9" t="s">
        <v>866</v>
      </c>
      <c r="C668">
        <v>667</v>
      </c>
      <c r="D668" s="10">
        <v>31713</v>
      </c>
      <c r="E668">
        <v>36</v>
      </c>
      <c r="F668">
        <v>1</v>
      </c>
      <c r="G668">
        <v>1</v>
      </c>
      <c r="H668">
        <v>4</v>
      </c>
      <c r="I668" s="10">
        <v>43690</v>
      </c>
      <c r="J668">
        <v>1</v>
      </c>
      <c r="K668">
        <v>1</v>
      </c>
      <c r="L668">
        <v>1</v>
      </c>
      <c r="M668">
        <v>3925</v>
      </c>
      <c r="N668">
        <v>2</v>
      </c>
      <c r="O668" s="10">
        <v>43410</v>
      </c>
      <c r="P668">
        <v>0</v>
      </c>
      <c r="Q668">
        <v>40</v>
      </c>
      <c r="R668">
        <v>2</v>
      </c>
      <c r="S668">
        <v>62</v>
      </c>
      <c r="T668">
        <v>157</v>
      </c>
      <c r="U668">
        <v>72</v>
      </c>
      <c r="V668">
        <v>10</v>
      </c>
      <c r="W668">
        <v>2</v>
      </c>
      <c r="X668">
        <v>25.153150229218223</v>
      </c>
      <c r="Y668">
        <v>29.210109943608259</v>
      </c>
      <c r="Z668">
        <v>4.056959714390036</v>
      </c>
      <c r="AA668">
        <v>3</v>
      </c>
      <c r="AB668">
        <v>3</v>
      </c>
      <c r="AC668" t="s">
        <v>50</v>
      </c>
      <c r="AD668">
        <v>2</v>
      </c>
      <c r="AE668">
        <v>1</v>
      </c>
      <c r="AF668" t="s">
        <v>476</v>
      </c>
      <c r="AG668">
        <v>1</v>
      </c>
      <c r="AH668">
        <v>1</v>
      </c>
      <c r="AI668" t="s">
        <v>258</v>
      </c>
      <c r="AJ668" t="s">
        <v>258</v>
      </c>
      <c r="AK668">
        <v>7</v>
      </c>
      <c r="AL668">
        <v>1</v>
      </c>
      <c r="AM668" t="s">
        <v>258</v>
      </c>
      <c r="AN668" t="s">
        <v>507</v>
      </c>
      <c r="AO668">
        <v>0</v>
      </c>
      <c r="AW668" t="s">
        <v>821</v>
      </c>
      <c r="AX668">
        <v>0</v>
      </c>
      <c r="BE668" t="s">
        <v>258</v>
      </c>
      <c r="BF668" t="s">
        <v>821</v>
      </c>
      <c r="BG668">
        <v>1</v>
      </c>
      <c r="BH668">
        <v>7</v>
      </c>
      <c r="BI668">
        <v>1</v>
      </c>
      <c r="BJ668" t="s">
        <v>49</v>
      </c>
      <c r="BK668">
        <v>5</v>
      </c>
      <c r="BL668">
        <v>1</v>
      </c>
      <c r="BM668">
        <v>1</v>
      </c>
      <c r="BN668" t="s">
        <v>30</v>
      </c>
      <c r="BO668">
        <v>1</v>
      </c>
      <c r="BP668">
        <v>42</v>
      </c>
      <c r="BQ668">
        <v>0.13</v>
      </c>
      <c r="BR668">
        <v>0.5</v>
      </c>
      <c r="BS668">
        <v>6.5000000000000002E-2</v>
      </c>
      <c r="BT668" t="e">
        <f>BS668+BD668+AU668+AM668</f>
        <v>#VALUE!</v>
      </c>
      <c r="BU668">
        <v>1</v>
      </c>
      <c r="BV668">
        <v>2</v>
      </c>
      <c r="BW668">
        <v>293</v>
      </c>
      <c r="BX668">
        <f>BW668/7</f>
        <v>41.857142857142854</v>
      </c>
      <c r="BY668">
        <f>0.77*BX668</f>
        <v>32.229999999999997</v>
      </c>
      <c r="BZ668" t="e">
        <f t="shared" si="10"/>
        <v>#VALUE!</v>
      </c>
    </row>
    <row r="669" spans="1:78">
      <c r="A669" s="1">
        <v>45213.832028067132</v>
      </c>
      <c r="C669">
        <v>668</v>
      </c>
      <c r="D669" s="10">
        <v>35572</v>
      </c>
      <c r="E669">
        <v>26</v>
      </c>
      <c r="F669">
        <v>1</v>
      </c>
      <c r="G669">
        <v>13</v>
      </c>
      <c r="H669">
        <v>3</v>
      </c>
      <c r="I669" s="10">
        <v>44923</v>
      </c>
      <c r="J669">
        <v>2</v>
      </c>
      <c r="K669">
        <v>0</v>
      </c>
      <c r="L669">
        <v>2</v>
      </c>
      <c r="M669">
        <v>3200</v>
      </c>
      <c r="N669">
        <v>2</v>
      </c>
      <c r="O669" s="10">
        <v>44652</v>
      </c>
      <c r="P669">
        <v>0</v>
      </c>
      <c r="Q669">
        <v>38.714285714285715</v>
      </c>
      <c r="R669">
        <v>2</v>
      </c>
      <c r="S669">
        <v>88</v>
      </c>
      <c r="T669">
        <v>152</v>
      </c>
      <c r="U669">
        <v>86</v>
      </c>
      <c r="V669">
        <v>-2</v>
      </c>
      <c r="W669">
        <v>1</v>
      </c>
      <c r="X669">
        <v>38.088642659279778</v>
      </c>
      <c r="Y669">
        <v>37.222991689750693</v>
      </c>
      <c r="Z669">
        <v>-0.86565096952908505</v>
      </c>
      <c r="AA669">
        <v>4</v>
      </c>
      <c r="AB669">
        <v>4</v>
      </c>
      <c r="AC669" t="s">
        <v>50</v>
      </c>
      <c r="AD669">
        <v>2</v>
      </c>
      <c r="AE669">
        <v>0</v>
      </c>
      <c r="AG669">
        <v>5</v>
      </c>
      <c r="AH669">
        <v>0</v>
      </c>
      <c r="AI669">
        <v>0</v>
      </c>
      <c r="AN669" t="s">
        <v>121</v>
      </c>
      <c r="AO669">
        <v>0</v>
      </c>
      <c r="AW669" t="s">
        <v>231</v>
      </c>
      <c r="AX669">
        <v>1</v>
      </c>
      <c r="AY669" t="s">
        <v>231</v>
      </c>
      <c r="AZ669">
        <v>12</v>
      </c>
      <c r="BA669">
        <v>0.4</v>
      </c>
      <c r="BB669">
        <v>4</v>
      </c>
      <c r="BC669">
        <v>1</v>
      </c>
      <c r="BD669">
        <f>BA669*BB669*1/7</f>
        <v>0.22857142857142859</v>
      </c>
      <c r="BE669">
        <f>AM669+AU669+BD669</f>
        <v>0.22857142857142859</v>
      </c>
      <c r="BF669" t="s">
        <v>231</v>
      </c>
      <c r="BG669">
        <v>0</v>
      </c>
      <c r="BH669">
        <v>4</v>
      </c>
      <c r="BI669">
        <v>1</v>
      </c>
      <c r="BJ669" t="s">
        <v>51</v>
      </c>
      <c r="BK669">
        <v>1</v>
      </c>
      <c r="BL669">
        <v>1</v>
      </c>
      <c r="BM669">
        <v>1</v>
      </c>
      <c r="BN669" t="s">
        <v>55</v>
      </c>
      <c r="BO669">
        <v>2</v>
      </c>
      <c r="BP669">
        <v>67</v>
      </c>
      <c r="BQ669">
        <v>0.1</v>
      </c>
      <c r="BR669">
        <v>1</v>
      </c>
      <c r="BS669">
        <v>0.1</v>
      </c>
      <c r="BT669">
        <f>BS669+BD669+AU669+AM669</f>
        <v>0.32857142857142863</v>
      </c>
      <c r="BU669">
        <v>1</v>
      </c>
      <c r="BV669">
        <v>2</v>
      </c>
      <c r="BW669">
        <v>293</v>
      </c>
      <c r="BX669">
        <f>BW669/7</f>
        <v>41.857142857142854</v>
      </c>
      <c r="BY669">
        <f>0.77*BX669</f>
        <v>32.229999999999997</v>
      </c>
      <c r="BZ669">
        <f t="shared" si="10"/>
        <v>32.558571428571426</v>
      </c>
    </row>
    <row r="670" spans="1:78">
      <c r="A670" s="1">
        <v>45213.873635185184</v>
      </c>
      <c r="B670" t="s">
        <v>870</v>
      </c>
      <c r="C670">
        <v>669</v>
      </c>
      <c r="D670" s="10">
        <v>31420</v>
      </c>
      <c r="E670">
        <v>37</v>
      </c>
      <c r="F670">
        <v>1</v>
      </c>
      <c r="G670">
        <v>1</v>
      </c>
      <c r="H670">
        <v>4</v>
      </c>
      <c r="I670" s="10">
        <v>44639</v>
      </c>
      <c r="J670">
        <v>2</v>
      </c>
      <c r="K670">
        <v>0</v>
      </c>
      <c r="L670">
        <v>2</v>
      </c>
      <c r="M670">
        <v>1690</v>
      </c>
      <c r="N670">
        <v>1</v>
      </c>
      <c r="O670" s="10">
        <v>44639</v>
      </c>
      <c r="P670">
        <v>0</v>
      </c>
      <c r="R670">
        <v>5</v>
      </c>
      <c r="S670">
        <v>90</v>
      </c>
      <c r="T670">
        <v>168</v>
      </c>
      <c r="U670">
        <v>96</v>
      </c>
      <c r="V670">
        <v>6</v>
      </c>
      <c r="W670">
        <v>1</v>
      </c>
      <c r="X670">
        <v>31.887755102040821</v>
      </c>
      <c r="Y670">
        <v>34.013605442176875</v>
      </c>
      <c r="Z670">
        <v>2.1258503401360542</v>
      </c>
      <c r="AA670">
        <v>4</v>
      </c>
      <c r="AB670">
        <v>4</v>
      </c>
      <c r="AC670" t="s">
        <v>127</v>
      </c>
      <c r="AD670">
        <v>4</v>
      </c>
      <c r="AE670">
        <v>0</v>
      </c>
      <c r="AG670">
        <v>5</v>
      </c>
      <c r="AH670">
        <v>1</v>
      </c>
      <c r="AI670">
        <v>13</v>
      </c>
      <c r="AJ670">
        <v>1</v>
      </c>
      <c r="AK670">
        <v>7</v>
      </c>
      <c r="AL670">
        <v>1</v>
      </c>
      <c r="AM670">
        <f>AJ670*AK670*AL670/7</f>
        <v>1</v>
      </c>
      <c r="AN670" t="s">
        <v>79</v>
      </c>
      <c r="AO670">
        <v>0</v>
      </c>
      <c r="AV670">
        <f>AU670+AM670</f>
        <v>1</v>
      </c>
      <c r="AX670">
        <v>0</v>
      </c>
      <c r="BE670">
        <f>AM670+AU670+BD670</f>
        <v>1</v>
      </c>
      <c r="BG670">
        <v>0</v>
      </c>
      <c r="BJ670" t="s">
        <v>114</v>
      </c>
      <c r="BK670">
        <v>6</v>
      </c>
      <c r="BL670">
        <v>1</v>
      </c>
      <c r="BM670">
        <v>1</v>
      </c>
      <c r="BN670" t="s">
        <v>37</v>
      </c>
      <c r="BO670">
        <v>4</v>
      </c>
      <c r="BP670">
        <v>110</v>
      </c>
      <c r="BQ670">
        <v>0.05</v>
      </c>
      <c r="BR670">
        <v>2</v>
      </c>
      <c r="BS670">
        <v>0.1</v>
      </c>
      <c r="BT670">
        <f>BS670+BD670+AU670+AM670</f>
        <v>1.1000000000000001</v>
      </c>
      <c r="BU670">
        <v>1</v>
      </c>
      <c r="BV670">
        <v>1</v>
      </c>
      <c r="BW670">
        <v>146.5</v>
      </c>
      <c r="BX670">
        <f>BW670/7</f>
        <v>20.928571428571427</v>
      </c>
      <c r="BY670">
        <f>0.77*BX670</f>
        <v>16.114999999999998</v>
      </c>
      <c r="BZ670">
        <f t="shared" si="10"/>
        <v>17.215</v>
      </c>
    </row>
    <row r="671" spans="1:78">
      <c r="A671" s="1">
        <v>45213.886674398149</v>
      </c>
      <c r="C671">
        <v>670</v>
      </c>
      <c r="D671" s="10">
        <v>32326</v>
      </c>
      <c r="E671">
        <v>35</v>
      </c>
      <c r="F671">
        <v>1</v>
      </c>
      <c r="G671">
        <v>1</v>
      </c>
      <c r="H671">
        <v>5</v>
      </c>
      <c r="I671" s="10">
        <v>43382</v>
      </c>
      <c r="J671">
        <v>1</v>
      </c>
      <c r="K671">
        <v>1</v>
      </c>
      <c r="L671">
        <v>1</v>
      </c>
      <c r="M671">
        <v>2850</v>
      </c>
      <c r="N671">
        <v>2</v>
      </c>
      <c r="O671" s="10">
        <v>43123</v>
      </c>
      <c r="P671">
        <v>0</v>
      </c>
      <c r="Q671">
        <v>37</v>
      </c>
      <c r="R671">
        <v>2</v>
      </c>
      <c r="S671">
        <v>53</v>
      </c>
      <c r="T671">
        <v>160</v>
      </c>
      <c r="U671">
        <v>63</v>
      </c>
      <c r="V671">
        <v>10</v>
      </c>
      <c r="W671">
        <v>1</v>
      </c>
      <c r="X671">
        <v>20.703124999999996</v>
      </c>
      <c r="Y671">
        <v>24.609374999999996</v>
      </c>
      <c r="Z671">
        <v>3.90625</v>
      </c>
      <c r="AA671">
        <v>2</v>
      </c>
      <c r="AB671">
        <v>2</v>
      </c>
      <c r="AC671" t="s">
        <v>33</v>
      </c>
      <c r="AD671">
        <v>3</v>
      </c>
      <c r="AE671">
        <v>0</v>
      </c>
      <c r="AG671">
        <v>5</v>
      </c>
      <c r="AH671">
        <v>1</v>
      </c>
      <c r="AI671">
        <v>4</v>
      </c>
      <c r="AJ671">
        <v>1</v>
      </c>
      <c r="AK671">
        <v>6</v>
      </c>
      <c r="AL671">
        <v>1</v>
      </c>
      <c r="AM671">
        <f>AJ671*AK671*AL671/7</f>
        <v>0.8571428571428571</v>
      </c>
      <c r="AN671" t="s">
        <v>43</v>
      </c>
      <c r="AO671">
        <v>0</v>
      </c>
      <c r="AV671">
        <f>AU671+AM671</f>
        <v>0.8571428571428571</v>
      </c>
      <c r="AW671" t="s">
        <v>58</v>
      </c>
      <c r="AX671">
        <v>1</v>
      </c>
      <c r="AY671" t="s">
        <v>58</v>
      </c>
      <c r="AZ671">
        <v>1</v>
      </c>
      <c r="BA671">
        <v>0.8</v>
      </c>
      <c r="BB671">
        <v>7</v>
      </c>
      <c r="BC671">
        <v>1</v>
      </c>
      <c r="BD671">
        <f>BA671*BB671*1/7</f>
        <v>0.8</v>
      </c>
      <c r="BE671">
        <f>AM671+AU671+BD671</f>
        <v>1.657142857142857</v>
      </c>
      <c r="BF671" t="s">
        <v>58</v>
      </c>
      <c r="BG671">
        <v>0</v>
      </c>
      <c r="BH671">
        <v>7</v>
      </c>
      <c r="BI671">
        <v>1</v>
      </c>
      <c r="BJ671" t="s">
        <v>49</v>
      </c>
      <c r="BK671">
        <v>5</v>
      </c>
      <c r="BL671">
        <v>1</v>
      </c>
      <c r="BM671">
        <v>1</v>
      </c>
      <c r="BN671" t="s">
        <v>59</v>
      </c>
      <c r="BO671">
        <v>3</v>
      </c>
      <c r="BP671">
        <v>28</v>
      </c>
      <c r="BQ671">
        <v>0.08</v>
      </c>
      <c r="BR671">
        <v>0.5</v>
      </c>
      <c r="BS671">
        <v>0.04</v>
      </c>
      <c r="BT671">
        <f>BS671+BD671+AU671+AM671</f>
        <v>1.6971428571428571</v>
      </c>
      <c r="BU671">
        <v>1</v>
      </c>
      <c r="BV671">
        <v>1</v>
      </c>
      <c r="BW671">
        <v>146.5</v>
      </c>
      <c r="BX671">
        <f>BW671/7</f>
        <v>20.928571428571427</v>
      </c>
      <c r="BY671">
        <f>0.77*BX671</f>
        <v>16.114999999999998</v>
      </c>
      <c r="BZ671">
        <f t="shared" si="10"/>
        <v>17.812142857142856</v>
      </c>
    </row>
    <row r="672" spans="1:78">
      <c r="A672" s="1">
        <v>45213.887511701389</v>
      </c>
      <c r="B672" t="s">
        <v>865</v>
      </c>
      <c r="C672">
        <v>671</v>
      </c>
      <c r="D672" s="10">
        <v>30435</v>
      </c>
      <c r="E672">
        <v>40</v>
      </c>
      <c r="F672">
        <v>1</v>
      </c>
      <c r="G672">
        <v>1</v>
      </c>
      <c r="H672">
        <v>4</v>
      </c>
      <c r="I672" s="10">
        <v>43101</v>
      </c>
      <c r="J672">
        <v>1</v>
      </c>
      <c r="K672">
        <v>1</v>
      </c>
      <c r="L672">
        <v>1</v>
      </c>
      <c r="M672">
        <v>2750</v>
      </c>
      <c r="N672">
        <v>2</v>
      </c>
      <c r="O672" s="10">
        <v>42835</v>
      </c>
      <c r="P672">
        <v>0</v>
      </c>
      <c r="Q672">
        <v>38</v>
      </c>
      <c r="R672">
        <v>2</v>
      </c>
      <c r="S672">
        <v>62</v>
      </c>
      <c r="T672">
        <v>158</v>
      </c>
      <c r="U672">
        <v>67</v>
      </c>
      <c r="V672">
        <v>5</v>
      </c>
      <c r="W672">
        <v>1</v>
      </c>
      <c r="X672">
        <v>24.835763499439189</v>
      </c>
      <c r="Y672">
        <v>26.83864765261977</v>
      </c>
      <c r="Z672">
        <v>2.002884153180581</v>
      </c>
      <c r="AA672">
        <v>2</v>
      </c>
      <c r="AB672">
        <v>3</v>
      </c>
      <c r="AC672" t="s">
        <v>44</v>
      </c>
      <c r="AD672">
        <v>1</v>
      </c>
      <c r="AE672">
        <v>0</v>
      </c>
      <c r="AG672">
        <v>5</v>
      </c>
      <c r="AH672">
        <v>1</v>
      </c>
      <c r="AI672">
        <v>13</v>
      </c>
      <c r="AJ672">
        <v>1</v>
      </c>
      <c r="AK672">
        <v>7</v>
      </c>
      <c r="AL672">
        <v>1</v>
      </c>
      <c r="AM672">
        <f>AJ672*AK672*AL672/7</f>
        <v>1</v>
      </c>
      <c r="AN672" t="s">
        <v>79</v>
      </c>
      <c r="AO672">
        <v>0</v>
      </c>
      <c r="AV672">
        <f>AU672+AM672</f>
        <v>1</v>
      </c>
      <c r="AW672" t="s">
        <v>632</v>
      </c>
      <c r="AX672">
        <v>1</v>
      </c>
      <c r="AY672" t="s">
        <v>632</v>
      </c>
      <c r="AZ672">
        <v>16</v>
      </c>
      <c r="BA672" t="s">
        <v>258</v>
      </c>
      <c r="BB672">
        <v>7</v>
      </c>
      <c r="BC672">
        <v>1</v>
      </c>
      <c r="BE672">
        <f>AM672+AU672+BD672</f>
        <v>1</v>
      </c>
      <c r="BF672" t="s">
        <v>632</v>
      </c>
      <c r="BG672" t="s">
        <v>258</v>
      </c>
      <c r="BH672">
        <v>7</v>
      </c>
      <c r="BI672">
        <v>1</v>
      </c>
      <c r="BJ672" t="s">
        <v>42</v>
      </c>
      <c r="BK672">
        <v>6</v>
      </c>
      <c r="BL672">
        <v>4</v>
      </c>
      <c r="BM672">
        <v>1</v>
      </c>
      <c r="BN672" t="s">
        <v>59</v>
      </c>
      <c r="BO672">
        <v>3</v>
      </c>
      <c r="BP672">
        <v>112</v>
      </c>
      <c r="BQ672">
        <v>0.08</v>
      </c>
      <c r="BR672">
        <v>2</v>
      </c>
      <c r="BS672">
        <v>0.16</v>
      </c>
      <c r="BT672">
        <f>BS672+BD672+AU672+AM672</f>
        <v>1.1599999999999999</v>
      </c>
      <c r="BU672">
        <v>1</v>
      </c>
      <c r="BV672">
        <v>0.5</v>
      </c>
      <c r="BW672">
        <v>73.25</v>
      </c>
      <c r="BX672">
        <f>BW672/7</f>
        <v>10.464285714285714</v>
      </c>
      <c r="BY672">
        <f>0.77*BX672</f>
        <v>8.0574999999999992</v>
      </c>
      <c r="BZ672">
        <f t="shared" si="10"/>
        <v>9.2174999999999994</v>
      </c>
    </row>
    <row r="673" spans="1:78">
      <c r="A673" s="1">
        <v>45213.901934583337</v>
      </c>
      <c r="C673">
        <v>672</v>
      </c>
      <c r="D673" s="10">
        <v>34334</v>
      </c>
      <c r="E673">
        <v>29</v>
      </c>
      <c r="F673">
        <v>1</v>
      </c>
      <c r="G673">
        <v>2</v>
      </c>
      <c r="H673">
        <v>4</v>
      </c>
      <c r="I673" s="10">
        <v>44616</v>
      </c>
      <c r="J673">
        <v>1</v>
      </c>
      <c r="K673">
        <v>1</v>
      </c>
      <c r="L673">
        <v>2</v>
      </c>
      <c r="M673">
        <v>3390</v>
      </c>
      <c r="N673">
        <v>2</v>
      </c>
      <c r="O673" s="10">
        <v>44329</v>
      </c>
      <c r="P673">
        <v>1</v>
      </c>
      <c r="Q673">
        <v>41</v>
      </c>
      <c r="R673">
        <v>2</v>
      </c>
      <c r="S673">
        <v>56</v>
      </c>
      <c r="T673">
        <v>150</v>
      </c>
      <c r="U673">
        <v>62</v>
      </c>
      <c r="V673">
        <v>6</v>
      </c>
      <c r="W673">
        <v>1</v>
      </c>
      <c r="X673">
        <v>24.888888888888889</v>
      </c>
      <c r="Y673">
        <v>27.555555555555557</v>
      </c>
      <c r="Z673">
        <v>2.6666666666666679</v>
      </c>
      <c r="AA673">
        <v>2</v>
      </c>
      <c r="AB673">
        <v>3</v>
      </c>
      <c r="AC673" t="s">
        <v>33</v>
      </c>
      <c r="AD673">
        <v>3</v>
      </c>
      <c r="AE673">
        <v>0</v>
      </c>
      <c r="AG673">
        <v>5</v>
      </c>
      <c r="AH673">
        <v>1</v>
      </c>
      <c r="AI673">
        <v>13</v>
      </c>
      <c r="AJ673">
        <v>1</v>
      </c>
      <c r="AK673">
        <v>7</v>
      </c>
      <c r="AL673">
        <v>1</v>
      </c>
      <c r="AM673">
        <f>AJ673*AK673*AL673/7</f>
        <v>1</v>
      </c>
      <c r="AN673" t="s">
        <v>79</v>
      </c>
      <c r="AO673">
        <v>0</v>
      </c>
      <c r="AV673">
        <f>AU673+AM673</f>
        <v>1</v>
      </c>
      <c r="AW673" t="s">
        <v>440</v>
      </c>
      <c r="AX673">
        <v>0</v>
      </c>
      <c r="BE673">
        <f>AM673+AU673+BD673</f>
        <v>1</v>
      </c>
      <c r="BG673">
        <v>0</v>
      </c>
      <c r="BJ673" t="s">
        <v>49</v>
      </c>
      <c r="BK673">
        <v>5</v>
      </c>
      <c r="BL673">
        <v>3</v>
      </c>
      <c r="BM673">
        <v>1</v>
      </c>
      <c r="BN673" t="s">
        <v>30</v>
      </c>
      <c r="BO673">
        <v>1</v>
      </c>
      <c r="BP673">
        <v>84</v>
      </c>
      <c r="BQ673">
        <v>0.13</v>
      </c>
      <c r="BR673">
        <v>1</v>
      </c>
      <c r="BS673">
        <v>0.13</v>
      </c>
      <c r="BT673">
        <f>BS673+BD673+AU673+AM673</f>
        <v>1.1299999999999999</v>
      </c>
      <c r="BU673">
        <v>1</v>
      </c>
      <c r="BV673">
        <v>1</v>
      </c>
      <c r="BW673">
        <v>146.5</v>
      </c>
      <c r="BX673">
        <f>BW673/7</f>
        <v>20.928571428571427</v>
      </c>
      <c r="BY673">
        <f>0.77*BX673</f>
        <v>16.114999999999998</v>
      </c>
      <c r="BZ673">
        <f t="shared" si="10"/>
        <v>17.244999999999997</v>
      </c>
    </row>
    <row r="674" spans="1:78">
      <c r="A674" s="1">
        <v>45213.909841180561</v>
      </c>
      <c r="C674">
        <v>673</v>
      </c>
      <c r="D674" s="10">
        <v>31968</v>
      </c>
      <c r="E674">
        <v>36</v>
      </c>
      <c r="F674">
        <v>1</v>
      </c>
      <c r="G674">
        <v>1</v>
      </c>
      <c r="H674">
        <v>3</v>
      </c>
      <c r="I674" s="10">
        <v>44487</v>
      </c>
      <c r="J674">
        <v>2</v>
      </c>
      <c r="K674">
        <v>0</v>
      </c>
      <c r="L674">
        <v>2</v>
      </c>
      <c r="M674">
        <v>3680</v>
      </c>
      <c r="N674">
        <v>2</v>
      </c>
      <c r="O674" s="10">
        <v>44213</v>
      </c>
      <c r="P674">
        <v>1</v>
      </c>
      <c r="Q674">
        <v>39.142857142857146</v>
      </c>
      <c r="R674">
        <v>2</v>
      </c>
      <c r="S674">
        <v>72</v>
      </c>
      <c r="T674">
        <v>154</v>
      </c>
      <c r="U674">
        <v>85</v>
      </c>
      <c r="V674">
        <v>13</v>
      </c>
      <c r="W674">
        <v>3</v>
      </c>
      <c r="X674">
        <v>30.359251138471919</v>
      </c>
      <c r="Y674">
        <v>35.840782594029349</v>
      </c>
      <c r="Z674">
        <v>5.4815314555574304</v>
      </c>
      <c r="AA674">
        <v>4</v>
      </c>
      <c r="AB674">
        <v>4</v>
      </c>
      <c r="AC674" t="s">
        <v>33</v>
      </c>
      <c r="AD674">
        <v>3</v>
      </c>
      <c r="AE674">
        <v>0</v>
      </c>
      <c r="AG674">
        <v>5</v>
      </c>
      <c r="AH674">
        <v>1</v>
      </c>
      <c r="AI674">
        <v>1</v>
      </c>
      <c r="AJ674">
        <v>1</v>
      </c>
      <c r="AK674">
        <v>7</v>
      </c>
      <c r="AL674">
        <v>1</v>
      </c>
      <c r="AM674">
        <f>AJ674*AK674*AL674/7</f>
        <v>1</v>
      </c>
      <c r="AN674" t="s">
        <v>56</v>
      </c>
      <c r="AO674">
        <v>0</v>
      </c>
      <c r="AV674">
        <f>AU674+AM674</f>
        <v>1</v>
      </c>
      <c r="AX674">
        <v>0</v>
      </c>
      <c r="BE674">
        <f>AM674+AU674+BD674</f>
        <v>1</v>
      </c>
      <c r="BG674">
        <v>0</v>
      </c>
      <c r="BJ674" t="s">
        <v>49</v>
      </c>
      <c r="BK674">
        <v>5</v>
      </c>
      <c r="BL674">
        <v>3</v>
      </c>
      <c r="BM674">
        <v>1</v>
      </c>
      <c r="BN674" t="s">
        <v>30</v>
      </c>
      <c r="BO674">
        <v>1</v>
      </c>
      <c r="BP674">
        <v>84</v>
      </c>
      <c r="BQ674">
        <v>0.13</v>
      </c>
      <c r="BR674">
        <v>1</v>
      </c>
      <c r="BS674">
        <v>0.13</v>
      </c>
      <c r="BT674">
        <f>BS674+BD674+AU674+AM674</f>
        <v>1.1299999999999999</v>
      </c>
      <c r="BU674">
        <v>1</v>
      </c>
      <c r="BV674">
        <v>2</v>
      </c>
      <c r="BW674">
        <v>293</v>
      </c>
      <c r="BX674">
        <f>BW674/7</f>
        <v>41.857142857142854</v>
      </c>
      <c r="BY674">
        <f>0.77*BX674</f>
        <v>32.229999999999997</v>
      </c>
      <c r="BZ674">
        <f t="shared" si="10"/>
        <v>33.36</v>
      </c>
    </row>
    <row r="675" spans="1:78">
      <c r="A675" s="1">
        <v>45213.913427129628</v>
      </c>
      <c r="C675">
        <v>674</v>
      </c>
      <c r="D675" s="10">
        <v>31947</v>
      </c>
      <c r="E675">
        <v>36</v>
      </c>
      <c r="F675">
        <v>1</v>
      </c>
      <c r="G675">
        <v>14</v>
      </c>
      <c r="H675">
        <v>4</v>
      </c>
      <c r="I675" s="10">
        <v>43579</v>
      </c>
      <c r="J675">
        <v>2</v>
      </c>
      <c r="K675">
        <v>0</v>
      </c>
      <c r="L675">
        <v>1</v>
      </c>
      <c r="M675">
        <v>2490</v>
      </c>
      <c r="N675">
        <v>1</v>
      </c>
      <c r="O675" s="10">
        <v>43306</v>
      </c>
      <c r="P675">
        <v>0</v>
      </c>
      <c r="Q675">
        <v>39</v>
      </c>
      <c r="R675">
        <v>2</v>
      </c>
      <c r="S675">
        <v>59.5</v>
      </c>
      <c r="T675">
        <v>157</v>
      </c>
      <c r="U675">
        <v>71</v>
      </c>
      <c r="V675">
        <v>11.5</v>
      </c>
      <c r="W675">
        <v>2</v>
      </c>
      <c r="X675">
        <v>24.138910300620715</v>
      </c>
      <c r="Y675">
        <v>28.804413972169254</v>
      </c>
      <c r="Z675">
        <v>4.6655036715485387</v>
      </c>
      <c r="AA675">
        <v>2</v>
      </c>
      <c r="AB675">
        <v>3</v>
      </c>
      <c r="AC675" t="s">
        <v>33</v>
      </c>
      <c r="AD675">
        <v>3</v>
      </c>
      <c r="AE675">
        <v>0</v>
      </c>
      <c r="AG675">
        <v>5</v>
      </c>
      <c r="AH675">
        <v>1</v>
      </c>
      <c r="AI675">
        <v>5</v>
      </c>
      <c r="AJ675">
        <v>5</v>
      </c>
      <c r="AK675">
        <v>7</v>
      </c>
      <c r="AL675">
        <v>1</v>
      </c>
      <c r="AM675">
        <f>AJ675*AK675*AL675/7</f>
        <v>5</v>
      </c>
      <c r="AN675" t="s">
        <v>27</v>
      </c>
      <c r="AO675">
        <v>0</v>
      </c>
      <c r="AV675">
        <f>AU675+AM675</f>
        <v>5</v>
      </c>
      <c r="AX675">
        <v>0</v>
      </c>
      <c r="BE675">
        <f>AM675+AU675+BD675</f>
        <v>5</v>
      </c>
      <c r="BG675">
        <v>0</v>
      </c>
      <c r="BJ675" t="s">
        <v>49</v>
      </c>
      <c r="BK675">
        <v>5</v>
      </c>
      <c r="BL675">
        <v>1</v>
      </c>
      <c r="BM675">
        <v>1</v>
      </c>
      <c r="BN675" t="s">
        <v>55</v>
      </c>
      <c r="BO675">
        <v>2</v>
      </c>
      <c r="BP675">
        <v>134</v>
      </c>
      <c r="BQ675">
        <v>0.1</v>
      </c>
      <c r="BR675">
        <v>2</v>
      </c>
      <c r="BS675">
        <v>0.2</v>
      </c>
      <c r="BT675">
        <f>BS675+BD675+AU675+AM675</f>
        <v>5.2</v>
      </c>
      <c r="BU675">
        <v>1</v>
      </c>
      <c r="BV675">
        <v>2</v>
      </c>
      <c r="BW675">
        <v>293</v>
      </c>
      <c r="BX675">
        <f>BW675/7</f>
        <v>41.857142857142854</v>
      </c>
      <c r="BY675">
        <f>0.77*BX675</f>
        <v>32.229999999999997</v>
      </c>
      <c r="BZ675">
        <f t="shared" si="10"/>
        <v>37.43</v>
      </c>
    </row>
    <row r="676" spans="1:78">
      <c r="A676" s="1">
        <v>45213.915782581018</v>
      </c>
      <c r="C676">
        <v>675</v>
      </c>
      <c r="D676" s="10">
        <v>28587</v>
      </c>
      <c r="E676">
        <v>45</v>
      </c>
      <c r="F676">
        <v>1</v>
      </c>
      <c r="G676">
        <v>16</v>
      </c>
      <c r="H676">
        <v>4</v>
      </c>
      <c r="I676" s="10">
        <v>43282</v>
      </c>
      <c r="J676">
        <v>3</v>
      </c>
      <c r="K676">
        <v>0</v>
      </c>
      <c r="L676">
        <v>1</v>
      </c>
      <c r="M676">
        <v>2440</v>
      </c>
      <c r="N676">
        <v>1</v>
      </c>
      <c r="O676" s="10">
        <v>43044</v>
      </c>
      <c r="P676">
        <v>0</v>
      </c>
      <c r="Q676">
        <v>34</v>
      </c>
      <c r="R676">
        <v>3</v>
      </c>
      <c r="S676">
        <v>70</v>
      </c>
      <c r="T676">
        <v>165</v>
      </c>
      <c r="U676">
        <v>78</v>
      </c>
      <c r="V676">
        <v>8</v>
      </c>
      <c r="W676">
        <v>2</v>
      </c>
      <c r="X676">
        <v>25.711662075298442</v>
      </c>
      <c r="Y676">
        <v>28.650137741046834</v>
      </c>
      <c r="Z676">
        <v>2.9384756657483919</v>
      </c>
      <c r="AA676">
        <v>3</v>
      </c>
      <c r="AB676">
        <v>3</v>
      </c>
      <c r="AC676" t="s">
        <v>33</v>
      </c>
      <c r="AD676">
        <v>3</v>
      </c>
      <c r="AE676">
        <v>0</v>
      </c>
      <c r="AG676">
        <v>5</v>
      </c>
      <c r="AH676">
        <v>1</v>
      </c>
      <c r="AI676">
        <v>4</v>
      </c>
      <c r="AJ676">
        <v>1</v>
      </c>
      <c r="AK676">
        <v>7</v>
      </c>
      <c r="AL676">
        <v>1</v>
      </c>
      <c r="AM676">
        <f>AJ676*AK676*AL676/7</f>
        <v>1</v>
      </c>
      <c r="AN676" t="s">
        <v>43</v>
      </c>
      <c r="AO676">
        <v>0</v>
      </c>
      <c r="AV676">
        <f>AU676+AM676</f>
        <v>1</v>
      </c>
      <c r="AW676" t="s">
        <v>58</v>
      </c>
      <c r="AX676">
        <v>1</v>
      </c>
      <c r="AY676" t="s">
        <v>58</v>
      </c>
      <c r="AZ676">
        <v>1</v>
      </c>
      <c r="BA676">
        <v>0.8</v>
      </c>
      <c r="BB676">
        <v>5</v>
      </c>
      <c r="BC676">
        <v>1</v>
      </c>
      <c r="BD676">
        <f>BA676*BB676*1/7</f>
        <v>0.5714285714285714</v>
      </c>
      <c r="BE676">
        <f>AM676+AU676+BD676</f>
        <v>1.5714285714285714</v>
      </c>
      <c r="BF676" t="s">
        <v>58</v>
      </c>
      <c r="BG676">
        <v>0</v>
      </c>
      <c r="BH676">
        <v>5</v>
      </c>
      <c r="BI676">
        <v>1</v>
      </c>
      <c r="BJ676" t="s">
        <v>28</v>
      </c>
      <c r="BK676">
        <v>3</v>
      </c>
      <c r="BL676">
        <v>1</v>
      </c>
      <c r="BM676">
        <v>1</v>
      </c>
      <c r="BN676" t="s">
        <v>63</v>
      </c>
      <c r="BO676">
        <v>5</v>
      </c>
      <c r="BP676">
        <v>144</v>
      </c>
      <c r="BQ676">
        <v>0.06</v>
      </c>
      <c r="BR676">
        <v>3</v>
      </c>
      <c r="BS676">
        <v>0.18</v>
      </c>
      <c r="BT676">
        <f>BS676+BD676+AU676+AM676</f>
        <v>1.7514285714285713</v>
      </c>
      <c r="BU676">
        <v>1</v>
      </c>
      <c r="BV676">
        <v>1</v>
      </c>
      <c r="BW676">
        <v>146.5</v>
      </c>
      <c r="BX676">
        <f>BW676/7</f>
        <v>20.928571428571427</v>
      </c>
      <c r="BY676">
        <f>0.77*BX676</f>
        <v>16.114999999999998</v>
      </c>
      <c r="BZ676">
        <f t="shared" si="10"/>
        <v>17.866428571428571</v>
      </c>
    </row>
    <row r="677" spans="1:78">
      <c r="A677" s="1">
        <v>45213.917948877315</v>
      </c>
      <c r="C677">
        <v>676</v>
      </c>
      <c r="D677" s="10">
        <v>31570</v>
      </c>
      <c r="E677">
        <v>37</v>
      </c>
      <c r="F677">
        <v>1</v>
      </c>
      <c r="G677">
        <v>1</v>
      </c>
      <c r="H677">
        <v>4</v>
      </c>
      <c r="I677" s="10">
        <v>43158</v>
      </c>
      <c r="J677">
        <v>1</v>
      </c>
      <c r="K677">
        <v>1</v>
      </c>
      <c r="L677">
        <v>1</v>
      </c>
      <c r="M677">
        <v>4000</v>
      </c>
      <c r="N677">
        <v>2</v>
      </c>
      <c r="O677" s="10">
        <v>42883</v>
      </c>
      <c r="P677">
        <v>0</v>
      </c>
      <c r="Q677">
        <v>39.285714285714285</v>
      </c>
      <c r="R677">
        <v>2</v>
      </c>
      <c r="S677">
        <v>65</v>
      </c>
      <c r="T677">
        <v>165</v>
      </c>
      <c r="U677">
        <v>70</v>
      </c>
      <c r="V677">
        <v>5</v>
      </c>
      <c r="W677">
        <v>1</v>
      </c>
      <c r="X677">
        <v>23.875114784205696</v>
      </c>
      <c r="Y677">
        <v>25.711662075298442</v>
      </c>
      <c r="Z677">
        <v>1.8365472910927458</v>
      </c>
      <c r="AA677">
        <v>2</v>
      </c>
      <c r="AB677">
        <v>3</v>
      </c>
      <c r="AC677" t="s">
        <v>33</v>
      </c>
      <c r="AD677">
        <v>3</v>
      </c>
      <c r="AE677">
        <v>0</v>
      </c>
      <c r="AG677">
        <v>5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f>AJ677*AK677*AL677/7</f>
        <v>0.14285714285714285</v>
      </c>
      <c r="AN677" t="s">
        <v>56</v>
      </c>
      <c r="AO677">
        <v>0</v>
      </c>
      <c r="AV677">
        <f>AU677+AM677</f>
        <v>0.14285714285714285</v>
      </c>
      <c r="AW677" t="s">
        <v>442</v>
      </c>
      <c r="AX677">
        <v>0</v>
      </c>
      <c r="BE677">
        <f>AM677+AU677+BD677</f>
        <v>0.14285714285714285</v>
      </c>
      <c r="BF677" t="s">
        <v>442</v>
      </c>
      <c r="BG677">
        <v>1</v>
      </c>
      <c r="BH677">
        <v>7</v>
      </c>
      <c r="BI677">
        <v>1</v>
      </c>
      <c r="BJ677" t="s">
        <v>49</v>
      </c>
      <c r="BK677">
        <v>5</v>
      </c>
      <c r="BL677">
        <v>1</v>
      </c>
      <c r="BM677">
        <v>1</v>
      </c>
      <c r="BN677" t="s">
        <v>55</v>
      </c>
      <c r="BO677">
        <v>2</v>
      </c>
      <c r="BP677">
        <v>134</v>
      </c>
      <c r="BQ677">
        <v>0.1</v>
      </c>
      <c r="BR677">
        <v>2</v>
      </c>
      <c r="BS677">
        <v>0.2</v>
      </c>
      <c r="BT677">
        <f>BS677+BD677+AU677+AM677</f>
        <v>0.34285714285714286</v>
      </c>
      <c r="BU677">
        <v>1</v>
      </c>
      <c r="BV677">
        <v>1</v>
      </c>
      <c r="BW677">
        <v>146.5</v>
      </c>
      <c r="BX677">
        <f>BW677/7</f>
        <v>20.928571428571427</v>
      </c>
      <c r="BY677">
        <f>0.77*BX677</f>
        <v>16.114999999999998</v>
      </c>
      <c r="BZ677">
        <f t="shared" si="10"/>
        <v>16.45785714285714</v>
      </c>
    </row>
    <row r="678" spans="1:78">
      <c r="A678" s="1">
        <v>45213.938769641201</v>
      </c>
      <c r="B678" s="9" t="s">
        <v>866</v>
      </c>
      <c r="C678">
        <v>677</v>
      </c>
      <c r="D678" s="10">
        <v>32204</v>
      </c>
      <c r="E678">
        <v>35</v>
      </c>
      <c r="F678">
        <v>1</v>
      </c>
      <c r="G678">
        <v>3</v>
      </c>
      <c r="H678">
        <v>4</v>
      </c>
      <c r="I678" s="10">
        <v>43639</v>
      </c>
      <c r="J678">
        <v>1</v>
      </c>
      <c r="K678">
        <v>1</v>
      </c>
      <c r="L678">
        <v>2</v>
      </c>
      <c r="M678">
        <v>2980</v>
      </c>
      <c r="N678">
        <v>2</v>
      </c>
      <c r="O678" s="10">
        <v>43380</v>
      </c>
      <c r="P678">
        <v>0</v>
      </c>
      <c r="Q678">
        <v>37</v>
      </c>
      <c r="R678">
        <v>2</v>
      </c>
      <c r="S678">
        <v>50</v>
      </c>
      <c r="T678">
        <v>153</v>
      </c>
      <c r="U678">
        <v>60</v>
      </c>
      <c r="V678">
        <v>10</v>
      </c>
      <c r="W678">
        <v>1</v>
      </c>
      <c r="X678">
        <v>21.35930624973301</v>
      </c>
      <c r="Y678">
        <v>25.631167499679609</v>
      </c>
      <c r="Z678">
        <v>4.2718612499465998</v>
      </c>
      <c r="AA678">
        <v>2</v>
      </c>
      <c r="AB678">
        <v>3</v>
      </c>
      <c r="AC678" t="s">
        <v>44</v>
      </c>
      <c r="AD678">
        <v>1</v>
      </c>
      <c r="AE678">
        <v>0</v>
      </c>
      <c r="AG678">
        <v>5</v>
      </c>
      <c r="AH678">
        <v>1</v>
      </c>
      <c r="AI678" t="s">
        <v>258</v>
      </c>
      <c r="AJ678" t="s">
        <v>258</v>
      </c>
      <c r="AK678">
        <v>7</v>
      </c>
      <c r="AL678">
        <v>1</v>
      </c>
      <c r="AM678" t="s">
        <v>258</v>
      </c>
      <c r="AN678" t="s">
        <v>316</v>
      </c>
      <c r="AO678">
        <v>0</v>
      </c>
      <c r="AX678">
        <v>0</v>
      </c>
      <c r="BE678" t="s">
        <v>258</v>
      </c>
      <c r="BG678">
        <v>0</v>
      </c>
      <c r="BJ678" t="s">
        <v>49</v>
      </c>
      <c r="BK678">
        <v>5</v>
      </c>
      <c r="BL678">
        <v>4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 t="e">
        <f>BS678+BD678+AU678+AM678</f>
        <v>#VALUE!</v>
      </c>
      <c r="BU678">
        <v>1</v>
      </c>
      <c r="BV678">
        <v>0.5</v>
      </c>
      <c r="BW678">
        <v>73.25</v>
      </c>
      <c r="BX678">
        <f>BW678/7</f>
        <v>10.464285714285714</v>
      </c>
      <c r="BY678">
        <f>0.77*BX678</f>
        <v>8.0574999999999992</v>
      </c>
      <c r="BZ678" t="e">
        <f t="shared" si="10"/>
        <v>#VALUE!</v>
      </c>
    </row>
    <row r="679" spans="1:78">
      <c r="A679" s="1">
        <v>45213.944679953704</v>
      </c>
      <c r="C679">
        <v>678</v>
      </c>
      <c r="D679" s="10">
        <v>31924</v>
      </c>
      <c r="E679">
        <v>36</v>
      </c>
      <c r="F679">
        <v>1</v>
      </c>
      <c r="G679">
        <v>15</v>
      </c>
      <c r="H679">
        <v>4</v>
      </c>
      <c r="I679" s="10">
        <v>45041</v>
      </c>
      <c r="J679">
        <v>2</v>
      </c>
      <c r="K679">
        <v>0</v>
      </c>
      <c r="L679">
        <v>1</v>
      </c>
      <c r="M679">
        <v>3240</v>
      </c>
      <c r="N679">
        <v>2</v>
      </c>
      <c r="O679" s="10">
        <v>44775</v>
      </c>
      <c r="P679">
        <v>0</v>
      </c>
      <c r="Q679">
        <v>38</v>
      </c>
      <c r="R679">
        <v>2</v>
      </c>
      <c r="S679">
        <v>58</v>
      </c>
      <c r="T679">
        <v>165</v>
      </c>
      <c r="U679">
        <v>73</v>
      </c>
      <c r="V679">
        <v>15</v>
      </c>
      <c r="W679">
        <v>2</v>
      </c>
      <c r="X679">
        <v>21.30394857667585</v>
      </c>
      <c r="Y679">
        <v>26.813590449954088</v>
      </c>
      <c r="Z679">
        <v>5.5096418732782375</v>
      </c>
      <c r="AA679">
        <v>2</v>
      </c>
      <c r="AB679">
        <v>3</v>
      </c>
      <c r="AC679" t="s">
        <v>33</v>
      </c>
      <c r="AD679">
        <v>3</v>
      </c>
      <c r="AE679">
        <v>0</v>
      </c>
      <c r="AG679">
        <v>5</v>
      </c>
      <c r="AH679">
        <v>1</v>
      </c>
      <c r="AI679">
        <v>4</v>
      </c>
      <c r="AJ679">
        <v>1</v>
      </c>
      <c r="AK679">
        <v>7</v>
      </c>
      <c r="AL679">
        <v>1</v>
      </c>
      <c r="AM679">
        <f>AJ679*AK679*AL679/7</f>
        <v>1</v>
      </c>
      <c r="AN679" t="s">
        <v>43</v>
      </c>
      <c r="AO679">
        <v>0</v>
      </c>
      <c r="AV679">
        <f>AU679+AM679</f>
        <v>1</v>
      </c>
      <c r="AW679" t="s">
        <v>35</v>
      </c>
      <c r="AX679">
        <v>1</v>
      </c>
      <c r="AY679" t="s">
        <v>35</v>
      </c>
      <c r="AZ679">
        <v>12</v>
      </c>
      <c r="BA679">
        <v>0.4</v>
      </c>
      <c r="BB679">
        <v>7</v>
      </c>
      <c r="BC679">
        <v>1</v>
      </c>
      <c r="BD679">
        <f>BA679*BB679*1/7</f>
        <v>0.4</v>
      </c>
      <c r="BE679">
        <f>AM679+AU679+BD679</f>
        <v>1.4</v>
      </c>
      <c r="BF679" t="s">
        <v>35</v>
      </c>
      <c r="BG679">
        <v>0</v>
      </c>
      <c r="BH679">
        <v>7</v>
      </c>
      <c r="BI679">
        <v>1</v>
      </c>
      <c r="BJ679" t="s">
        <v>49</v>
      </c>
      <c r="BK679">
        <v>5</v>
      </c>
      <c r="BL679">
        <v>1</v>
      </c>
      <c r="BM679">
        <v>1</v>
      </c>
      <c r="BN679" t="s">
        <v>59</v>
      </c>
      <c r="BO679">
        <v>3</v>
      </c>
      <c r="BP679">
        <v>224</v>
      </c>
      <c r="BQ679">
        <v>0.08</v>
      </c>
      <c r="BR679">
        <v>4</v>
      </c>
      <c r="BS679">
        <v>0.32</v>
      </c>
      <c r="BT679">
        <f>BS679+BD679+AU679+AM679</f>
        <v>1.72</v>
      </c>
      <c r="BU679">
        <v>1</v>
      </c>
      <c r="BV679">
        <v>5</v>
      </c>
      <c r="BW679">
        <v>732.5</v>
      </c>
      <c r="BX679">
        <f>BW679/7</f>
        <v>104.64285714285714</v>
      </c>
      <c r="BY679">
        <f>0.77*BX679</f>
        <v>80.575000000000003</v>
      </c>
      <c r="BZ679">
        <f t="shared" si="10"/>
        <v>82.295000000000002</v>
      </c>
    </row>
    <row r="680" spans="1:78">
      <c r="A680" s="1">
        <v>45213.950454618054</v>
      </c>
      <c r="B680" t="s">
        <v>869</v>
      </c>
      <c r="C680">
        <v>679</v>
      </c>
      <c r="D680" s="10">
        <v>31052</v>
      </c>
      <c r="E680">
        <v>38</v>
      </c>
      <c r="F680">
        <v>1</v>
      </c>
      <c r="G680">
        <v>1</v>
      </c>
      <c r="H680">
        <v>4</v>
      </c>
      <c r="I680" s="10">
        <v>44497</v>
      </c>
      <c r="J680">
        <v>2</v>
      </c>
      <c r="K680">
        <v>0</v>
      </c>
      <c r="L680">
        <v>2</v>
      </c>
      <c r="M680">
        <v>1010</v>
      </c>
      <c r="N680">
        <v>1</v>
      </c>
      <c r="O680" s="10">
        <v>44294</v>
      </c>
      <c r="P680">
        <v>1</v>
      </c>
      <c r="Q680">
        <v>29</v>
      </c>
      <c r="R680">
        <v>4</v>
      </c>
      <c r="S680">
        <v>57</v>
      </c>
      <c r="T680">
        <v>169</v>
      </c>
      <c r="U680">
        <v>72</v>
      </c>
      <c r="V680">
        <v>15</v>
      </c>
      <c r="W680">
        <v>2</v>
      </c>
      <c r="X680">
        <v>19.957284408809219</v>
      </c>
      <c r="Y680">
        <v>25.209201358495854</v>
      </c>
      <c r="Z680">
        <v>5.2519169496866347</v>
      </c>
      <c r="AA680">
        <v>2</v>
      </c>
      <c r="AB680">
        <v>3</v>
      </c>
      <c r="AC680" t="s">
        <v>25</v>
      </c>
      <c r="AD680">
        <v>1</v>
      </c>
      <c r="AE680">
        <v>1</v>
      </c>
      <c r="AF680" t="s">
        <v>549</v>
      </c>
      <c r="AG680">
        <v>3</v>
      </c>
      <c r="AH680">
        <v>1</v>
      </c>
      <c r="AI680">
        <v>4</v>
      </c>
      <c r="AJ680">
        <v>1</v>
      </c>
      <c r="AK680">
        <v>7</v>
      </c>
      <c r="AL680">
        <v>1</v>
      </c>
      <c r="AM680">
        <f>AJ680*AK680*AL680/7</f>
        <v>1</v>
      </c>
      <c r="AN680" t="s">
        <v>43</v>
      </c>
      <c r="AO680">
        <v>0</v>
      </c>
      <c r="AV680">
        <f>AU680+AM680</f>
        <v>1</v>
      </c>
      <c r="AX680">
        <v>0</v>
      </c>
      <c r="BE680">
        <f>AM680+AU680+BD680</f>
        <v>1</v>
      </c>
      <c r="BG680">
        <v>0</v>
      </c>
      <c r="BJ680" t="s">
        <v>49</v>
      </c>
      <c r="BK680">
        <v>5</v>
      </c>
      <c r="BL680">
        <v>4</v>
      </c>
      <c r="BM680">
        <v>1</v>
      </c>
      <c r="BN680" t="s">
        <v>55</v>
      </c>
      <c r="BO680">
        <v>2</v>
      </c>
      <c r="BP680">
        <v>134</v>
      </c>
      <c r="BQ680">
        <v>0.1</v>
      </c>
      <c r="BR680">
        <v>2</v>
      </c>
      <c r="BS680">
        <v>0.2</v>
      </c>
      <c r="BT680">
        <f>BS680+BD680+AU680+AM680</f>
        <v>1.2</v>
      </c>
      <c r="BU680">
        <v>0</v>
      </c>
      <c r="BW680">
        <v>0</v>
      </c>
      <c r="BX680">
        <f>BW680/7</f>
        <v>0</v>
      </c>
      <c r="BY680">
        <f>0.77*BX680</f>
        <v>0</v>
      </c>
      <c r="BZ680">
        <f t="shared" si="10"/>
        <v>1.2</v>
      </c>
    </row>
    <row r="681" spans="1:78">
      <c r="A681" s="1">
        <v>45213.95695850694</v>
      </c>
      <c r="C681">
        <v>680</v>
      </c>
      <c r="D681" s="10">
        <v>28620</v>
      </c>
      <c r="E681">
        <v>45</v>
      </c>
      <c r="F681">
        <v>1</v>
      </c>
      <c r="G681">
        <v>1</v>
      </c>
      <c r="H681">
        <v>4</v>
      </c>
      <c r="I681" s="10">
        <v>44177</v>
      </c>
      <c r="J681">
        <v>1</v>
      </c>
      <c r="K681">
        <v>1</v>
      </c>
      <c r="L681">
        <v>2</v>
      </c>
      <c r="M681">
        <v>3300</v>
      </c>
      <c r="N681">
        <v>2</v>
      </c>
      <c r="O681" s="10">
        <v>43911</v>
      </c>
      <c r="P681">
        <v>1</v>
      </c>
      <c r="Q681">
        <v>38</v>
      </c>
      <c r="R681">
        <v>2</v>
      </c>
      <c r="S681">
        <v>67</v>
      </c>
      <c r="T681">
        <v>150</v>
      </c>
      <c r="U681">
        <v>69</v>
      </c>
      <c r="V681">
        <v>2</v>
      </c>
      <c r="W681">
        <v>1</v>
      </c>
      <c r="X681">
        <v>29.777777777777779</v>
      </c>
      <c r="Y681">
        <v>30.666666666666668</v>
      </c>
      <c r="Z681">
        <v>0.88888888888888928</v>
      </c>
      <c r="AA681">
        <v>3</v>
      </c>
      <c r="AB681">
        <v>4</v>
      </c>
      <c r="AC681" t="s">
        <v>33</v>
      </c>
      <c r="AD681">
        <v>3</v>
      </c>
      <c r="AE681">
        <v>0</v>
      </c>
      <c r="AG681">
        <v>5</v>
      </c>
      <c r="AH681">
        <v>1</v>
      </c>
      <c r="AI681">
        <v>2</v>
      </c>
      <c r="AJ681">
        <v>5</v>
      </c>
      <c r="AK681">
        <v>7</v>
      </c>
      <c r="AL681">
        <v>1</v>
      </c>
      <c r="AM681">
        <f>AJ681*AK681*AL681/7</f>
        <v>5</v>
      </c>
      <c r="AN681" t="s">
        <v>57</v>
      </c>
      <c r="AO681">
        <v>0</v>
      </c>
      <c r="AV681">
        <f>AU681+AM681</f>
        <v>5</v>
      </c>
      <c r="AX681">
        <v>0</v>
      </c>
      <c r="BE681">
        <f>AM681+AU681+BD681</f>
        <v>5</v>
      </c>
      <c r="BG681">
        <v>0</v>
      </c>
      <c r="BJ681" t="s">
        <v>49</v>
      </c>
      <c r="BK681">
        <v>5</v>
      </c>
      <c r="BL681">
        <v>1</v>
      </c>
      <c r="BM681">
        <v>1</v>
      </c>
      <c r="BN681" t="s">
        <v>30</v>
      </c>
      <c r="BO681">
        <v>1</v>
      </c>
      <c r="BP681">
        <v>168</v>
      </c>
      <c r="BQ681">
        <v>0.13</v>
      </c>
      <c r="BR681">
        <v>2</v>
      </c>
      <c r="BS681">
        <v>0.26</v>
      </c>
      <c r="BT681">
        <f>BS681+BD681+AU681+AM681</f>
        <v>5.26</v>
      </c>
      <c r="BU681">
        <v>1</v>
      </c>
      <c r="BV681">
        <v>1</v>
      </c>
      <c r="BW681">
        <v>146.5</v>
      </c>
      <c r="BX681">
        <f>BW681/7</f>
        <v>20.928571428571427</v>
      </c>
      <c r="BY681">
        <f>0.77*BX681</f>
        <v>16.114999999999998</v>
      </c>
      <c r="BZ681">
        <f t="shared" si="10"/>
        <v>21.375</v>
      </c>
    </row>
    <row r="682" spans="1:78">
      <c r="A682" s="1">
        <v>45213.962294259254</v>
      </c>
      <c r="C682">
        <v>681</v>
      </c>
      <c r="D682" s="10">
        <v>31498</v>
      </c>
      <c r="E682">
        <v>37</v>
      </c>
      <c r="F682">
        <v>1</v>
      </c>
      <c r="G682">
        <v>10</v>
      </c>
      <c r="H682">
        <v>4</v>
      </c>
      <c r="I682" s="10">
        <v>44708</v>
      </c>
      <c r="J682">
        <v>1</v>
      </c>
      <c r="K682">
        <v>1</v>
      </c>
      <c r="L682">
        <v>1</v>
      </c>
      <c r="M682">
        <v>3470</v>
      </c>
      <c r="N682">
        <v>2</v>
      </c>
      <c r="O682" s="10">
        <v>44449</v>
      </c>
      <c r="P682">
        <v>1</v>
      </c>
      <c r="Q682">
        <v>37</v>
      </c>
      <c r="R682">
        <v>2</v>
      </c>
      <c r="S682">
        <v>98</v>
      </c>
      <c r="T682">
        <v>160</v>
      </c>
      <c r="U682">
        <v>96</v>
      </c>
      <c r="V682">
        <v>-2</v>
      </c>
      <c r="W682">
        <v>1</v>
      </c>
      <c r="X682">
        <v>38.281249999999993</v>
      </c>
      <c r="Y682">
        <v>37.499999999999993</v>
      </c>
      <c r="Z682">
        <v>-0.78125</v>
      </c>
      <c r="AA682">
        <v>4</v>
      </c>
      <c r="AB682">
        <v>4</v>
      </c>
      <c r="AC682" t="s">
        <v>25</v>
      </c>
      <c r="AD682">
        <v>1</v>
      </c>
      <c r="AE682">
        <v>0</v>
      </c>
      <c r="AG682">
        <v>5</v>
      </c>
      <c r="AH682">
        <v>1</v>
      </c>
      <c r="AI682">
        <v>7</v>
      </c>
      <c r="AJ682">
        <v>5</v>
      </c>
      <c r="AK682">
        <v>7</v>
      </c>
      <c r="AL682">
        <v>1</v>
      </c>
      <c r="AM682">
        <f>AJ682*AK682*AL682/7</f>
        <v>5</v>
      </c>
      <c r="AN682" t="s">
        <v>206</v>
      </c>
      <c r="AO682">
        <v>0</v>
      </c>
      <c r="AV682">
        <f>AU682+AM682</f>
        <v>5</v>
      </c>
      <c r="AX682">
        <v>0</v>
      </c>
      <c r="BE682">
        <f>AM682+AU682+BD682</f>
        <v>5</v>
      </c>
      <c r="BG682">
        <v>0</v>
      </c>
      <c r="BJ682" t="s">
        <v>54</v>
      </c>
      <c r="BK682">
        <v>2</v>
      </c>
      <c r="BL682">
        <v>3</v>
      </c>
      <c r="BM682">
        <v>1</v>
      </c>
      <c r="BN682" t="s">
        <v>30</v>
      </c>
      <c r="BO682">
        <v>1</v>
      </c>
      <c r="BP682">
        <v>84</v>
      </c>
      <c r="BQ682">
        <v>0.13</v>
      </c>
      <c r="BR682">
        <v>1</v>
      </c>
      <c r="BS682">
        <v>0.13</v>
      </c>
      <c r="BT682">
        <f>BS682+BD682+AU682+AM682</f>
        <v>5.13</v>
      </c>
      <c r="BU682">
        <v>1</v>
      </c>
      <c r="BV682">
        <v>0.5</v>
      </c>
      <c r="BW682">
        <v>73.25</v>
      </c>
      <c r="BX682">
        <f>BW682/7</f>
        <v>10.464285714285714</v>
      </c>
      <c r="BY682">
        <f>0.77*BX682</f>
        <v>8.0574999999999992</v>
      </c>
      <c r="BZ682">
        <f t="shared" si="10"/>
        <v>13.1875</v>
      </c>
    </row>
    <row r="683" spans="1:78">
      <c r="A683" s="1">
        <v>45213.962419710646</v>
      </c>
      <c r="C683">
        <v>682</v>
      </c>
      <c r="D683" s="10">
        <v>33740</v>
      </c>
      <c r="E683">
        <v>31</v>
      </c>
      <c r="F683">
        <v>1</v>
      </c>
      <c r="G683">
        <v>1</v>
      </c>
      <c r="H683">
        <v>4</v>
      </c>
      <c r="I683" s="10">
        <v>44369</v>
      </c>
      <c r="J683">
        <v>2</v>
      </c>
      <c r="K683">
        <v>0</v>
      </c>
      <c r="L683">
        <v>2</v>
      </c>
      <c r="M683">
        <v>3575</v>
      </c>
      <c r="N683">
        <v>2</v>
      </c>
      <c r="O683" s="10">
        <v>44082</v>
      </c>
      <c r="P683">
        <v>1</v>
      </c>
      <c r="Q683">
        <v>41</v>
      </c>
      <c r="R683">
        <v>2</v>
      </c>
      <c r="S683">
        <v>68</v>
      </c>
      <c r="T683">
        <v>162</v>
      </c>
      <c r="U683">
        <v>84</v>
      </c>
      <c r="V683">
        <v>16</v>
      </c>
      <c r="W683">
        <v>3</v>
      </c>
      <c r="X683">
        <v>25.910684346898332</v>
      </c>
      <c r="Y683">
        <v>32.007315957933237</v>
      </c>
      <c r="Z683">
        <v>6.0966316110349048</v>
      </c>
      <c r="AA683">
        <v>3</v>
      </c>
      <c r="AB683">
        <v>4</v>
      </c>
      <c r="AC683" t="s">
        <v>33</v>
      </c>
      <c r="AD683">
        <v>3</v>
      </c>
      <c r="AE683">
        <v>0</v>
      </c>
      <c r="AG683">
        <v>5</v>
      </c>
      <c r="AH683">
        <v>1</v>
      </c>
      <c r="AI683">
        <v>5</v>
      </c>
      <c r="AJ683">
        <v>5</v>
      </c>
      <c r="AK683">
        <v>7</v>
      </c>
      <c r="AL683">
        <v>1</v>
      </c>
      <c r="AM683">
        <f>AJ683*AK683*AL683/7</f>
        <v>5</v>
      </c>
      <c r="AN683" t="s">
        <v>27</v>
      </c>
      <c r="AO683">
        <v>0</v>
      </c>
      <c r="AV683">
        <f>AU683+AM683</f>
        <v>5</v>
      </c>
      <c r="AX683">
        <v>0</v>
      </c>
      <c r="BE683">
        <f>AM683+AU683+BD683</f>
        <v>5</v>
      </c>
      <c r="BG683">
        <v>0</v>
      </c>
      <c r="BJ683" t="s">
        <v>49</v>
      </c>
      <c r="BK683">
        <v>5</v>
      </c>
      <c r="BL683">
        <v>1</v>
      </c>
      <c r="BM683">
        <v>1</v>
      </c>
      <c r="BN683" t="s">
        <v>59</v>
      </c>
      <c r="BO683">
        <v>3</v>
      </c>
      <c r="BP683">
        <v>112</v>
      </c>
      <c r="BQ683">
        <v>0.08</v>
      </c>
      <c r="BR683">
        <v>2</v>
      </c>
      <c r="BS683">
        <v>0.16</v>
      </c>
      <c r="BT683">
        <f>BS683+BD683+AU683+AM683</f>
        <v>5.16</v>
      </c>
      <c r="BU683">
        <v>1</v>
      </c>
      <c r="BV683">
        <v>2</v>
      </c>
      <c r="BW683">
        <v>293</v>
      </c>
      <c r="BX683">
        <f>BW683/7</f>
        <v>41.857142857142854</v>
      </c>
      <c r="BY683">
        <f>0.77*BX683</f>
        <v>32.229999999999997</v>
      </c>
      <c r="BZ683">
        <f t="shared" si="10"/>
        <v>37.39</v>
      </c>
    </row>
    <row r="684" spans="1:78">
      <c r="A684" s="1">
        <v>45213.962762291667</v>
      </c>
      <c r="C684">
        <v>683</v>
      </c>
      <c r="D684" s="10">
        <v>31601</v>
      </c>
      <c r="E684">
        <v>38</v>
      </c>
      <c r="F684">
        <v>1</v>
      </c>
      <c r="G684">
        <v>10</v>
      </c>
      <c r="H684">
        <v>5</v>
      </c>
      <c r="I684" s="10">
        <v>44385</v>
      </c>
      <c r="J684">
        <v>1</v>
      </c>
      <c r="K684">
        <v>1</v>
      </c>
      <c r="L684">
        <v>2</v>
      </c>
      <c r="M684">
        <v>3050</v>
      </c>
      <c r="N684">
        <v>2</v>
      </c>
      <c r="O684" s="10">
        <v>44112</v>
      </c>
      <c r="P684">
        <v>1</v>
      </c>
      <c r="Q684">
        <v>39</v>
      </c>
      <c r="R684">
        <v>2</v>
      </c>
      <c r="S684">
        <v>63</v>
      </c>
      <c r="T684">
        <v>170</v>
      </c>
      <c r="U684">
        <v>69</v>
      </c>
      <c r="V684">
        <v>6</v>
      </c>
      <c r="W684">
        <v>1</v>
      </c>
      <c r="X684">
        <v>21.79930795847751</v>
      </c>
      <c r="Y684">
        <v>23.87543252595156</v>
      </c>
      <c r="Z684">
        <v>2.0761245674740501</v>
      </c>
      <c r="AA684">
        <v>2</v>
      </c>
      <c r="AB684">
        <v>2</v>
      </c>
      <c r="AC684" t="s">
        <v>33</v>
      </c>
      <c r="AD684">
        <v>3</v>
      </c>
      <c r="AE684">
        <v>0</v>
      </c>
      <c r="AG684">
        <v>5</v>
      </c>
      <c r="AH684">
        <v>1</v>
      </c>
      <c r="AI684">
        <v>5</v>
      </c>
      <c r="AJ684">
        <v>5</v>
      </c>
      <c r="AK684">
        <v>7</v>
      </c>
      <c r="AL684">
        <v>1</v>
      </c>
      <c r="AM684">
        <f>AJ684*AK684*AL684/7</f>
        <v>5</v>
      </c>
      <c r="AN684" t="s">
        <v>27</v>
      </c>
      <c r="AO684">
        <v>0</v>
      </c>
      <c r="AV684">
        <f>AU684+AM684</f>
        <v>5</v>
      </c>
      <c r="AW684" t="s">
        <v>444</v>
      </c>
      <c r="AX684">
        <v>1</v>
      </c>
      <c r="AY684" t="s">
        <v>855</v>
      </c>
      <c r="AZ684">
        <v>1</v>
      </c>
      <c r="BA684">
        <v>0.8</v>
      </c>
      <c r="BB684">
        <v>7</v>
      </c>
      <c r="BC684">
        <v>1</v>
      </c>
      <c r="BD684">
        <f>BA684*BB684*1/7</f>
        <v>0.8</v>
      </c>
      <c r="BE684">
        <f>AM684+AU684+BD684</f>
        <v>5.8</v>
      </c>
      <c r="BF684" t="s">
        <v>444</v>
      </c>
      <c r="BG684">
        <v>1</v>
      </c>
      <c r="BH684">
        <v>7</v>
      </c>
      <c r="BI684">
        <v>1</v>
      </c>
      <c r="BJ684" t="s">
        <v>42</v>
      </c>
      <c r="BK684">
        <v>6</v>
      </c>
      <c r="BL684">
        <v>1</v>
      </c>
      <c r="BM684">
        <v>1</v>
      </c>
      <c r="BN684" t="s">
        <v>30</v>
      </c>
      <c r="BO684">
        <v>1</v>
      </c>
      <c r="BP684">
        <v>84</v>
      </c>
      <c r="BQ684">
        <v>0.13</v>
      </c>
      <c r="BR684">
        <v>1</v>
      </c>
      <c r="BS684">
        <v>0.13</v>
      </c>
      <c r="BT684">
        <f>BS684+BD684+AU684+AM684</f>
        <v>5.93</v>
      </c>
      <c r="BU684">
        <v>1</v>
      </c>
      <c r="BV684">
        <v>2</v>
      </c>
      <c r="BW684">
        <v>293</v>
      </c>
      <c r="BX684">
        <f>BW684/7</f>
        <v>41.857142857142854</v>
      </c>
      <c r="BY684">
        <f>0.77*BX684</f>
        <v>32.229999999999997</v>
      </c>
      <c r="BZ684">
        <f t="shared" si="10"/>
        <v>38.159999999999997</v>
      </c>
    </row>
    <row r="685" spans="1:78">
      <c r="A685" s="1">
        <v>45213.965992488425</v>
      </c>
      <c r="C685">
        <v>684</v>
      </c>
      <c r="D685" s="10">
        <v>29406</v>
      </c>
      <c r="E685">
        <v>43</v>
      </c>
      <c r="F685">
        <v>1</v>
      </c>
      <c r="G685">
        <v>1</v>
      </c>
      <c r="H685">
        <v>4</v>
      </c>
      <c r="I685" s="10">
        <v>43371</v>
      </c>
      <c r="J685">
        <v>1</v>
      </c>
      <c r="K685">
        <v>1</v>
      </c>
      <c r="L685">
        <v>1</v>
      </c>
      <c r="M685">
        <v>4350</v>
      </c>
      <c r="N685">
        <v>3</v>
      </c>
      <c r="O685" s="10">
        <v>43098</v>
      </c>
      <c r="P685">
        <v>0</v>
      </c>
      <c r="Q685">
        <v>39</v>
      </c>
      <c r="R685">
        <v>2</v>
      </c>
      <c r="S685">
        <v>110</v>
      </c>
      <c r="T685">
        <v>158</v>
      </c>
      <c r="U685">
        <v>105</v>
      </c>
      <c r="V685">
        <v>-5</v>
      </c>
      <c r="W685">
        <v>1</v>
      </c>
      <c r="X685">
        <v>44.063451369972753</v>
      </c>
      <c r="Y685">
        <v>42.060567216792172</v>
      </c>
      <c r="Z685">
        <v>-2.002884153180581</v>
      </c>
      <c r="AA685">
        <v>4</v>
      </c>
      <c r="AB685">
        <v>4</v>
      </c>
      <c r="AC685" t="s">
        <v>40</v>
      </c>
      <c r="AD685">
        <v>2</v>
      </c>
      <c r="AE685">
        <v>0</v>
      </c>
      <c r="AG685">
        <v>5</v>
      </c>
      <c r="AH685">
        <v>1</v>
      </c>
      <c r="AI685">
        <v>18</v>
      </c>
      <c r="AJ685">
        <v>2</v>
      </c>
      <c r="AK685">
        <v>7</v>
      </c>
      <c r="AL685">
        <v>1</v>
      </c>
      <c r="AM685">
        <f>AJ685*AK685*AL685/7</f>
        <v>2</v>
      </c>
      <c r="AN685" t="s">
        <v>217</v>
      </c>
      <c r="AO685">
        <v>0</v>
      </c>
      <c r="AV685">
        <f>AU685+AM685</f>
        <v>2</v>
      </c>
      <c r="AX685">
        <v>0</v>
      </c>
      <c r="BE685">
        <f>AM685+AU685+BD685</f>
        <v>2</v>
      </c>
      <c r="BG685">
        <v>0</v>
      </c>
      <c r="BJ685" t="s">
        <v>42</v>
      </c>
      <c r="BK685">
        <v>6</v>
      </c>
      <c r="BL685">
        <v>1</v>
      </c>
      <c r="BM685">
        <v>1</v>
      </c>
      <c r="BN685" t="s">
        <v>30</v>
      </c>
      <c r="BO685">
        <v>1</v>
      </c>
      <c r="BP685">
        <v>168</v>
      </c>
      <c r="BQ685">
        <v>0.13</v>
      </c>
      <c r="BR685">
        <v>2</v>
      </c>
      <c r="BS685">
        <v>0.26</v>
      </c>
      <c r="BT685">
        <f>BS685+BD685+AU685+AM685</f>
        <v>2.2599999999999998</v>
      </c>
      <c r="BU685">
        <v>1</v>
      </c>
      <c r="BV685">
        <v>3</v>
      </c>
      <c r="BW685">
        <v>439.5</v>
      </c>
      <c r="BX685">
        <f>BW685/7</f>
        <v>62.785714285714285</v>
      </c>
      <c r="BY685">
        <f>0.77*BX685</f>
        <v>48.344999999999999</v>
      </c>
      <c r="BZ685">
        <f t="shared" si="10"/>
        <v>50.604999999999997</v>
      </c>
    </row>
    <row r="686" spans="1:78">
      <c r="A686" s="1">
        <v>45213.971352499997</v>
      </c>
      <c r="C686">
        <v>685</v>
      </c>
      <c r="D686" s="10">
        <v>31355</v>
      </c>
      <c r="E686">
        <v>37</v>
      </c>
      <c r="F686">
        <v>1</v>
      </c>
      <c r="G686">
        <v>1</v>
      </c>
      <c r="H686">
        <v>3</v>
      </c>
      <c r="I686" s="10">
        <v>42838</v>
      </c>
      <c r="J686">
        <v>1</v>
      </c>
      <c r="K686">
        <v>1</v>
      </c>
      <c r="L686">
        <v>2</v>
      </c>
      <c r="M686">
        <v>3130</v>
      </c>
      <c r="N686">
        <v>2</v>
      </c>
      <c r="O686" s="10">
        <v>42565</v>
      </c>
      <c r="P686">
        <v>0</v>
      </c>
      <c r="Q686">
        <v>39</v>
      </c>
      <c r="R686">
        <v>2</v>
      </c>
      <c r="S686">
        <v>72</v>
      </c>
      <c r="T686">
        <v>173</v>
      </c>
      <c r="U686">
        <v>81</v>
      </c>
      <c r="V686">
        <v>9</v>
      </c>
      <c r="W686">
        <v>1</v>
      </c>
      <c r="X686">
        <v>24.056934745564501</v>
      </c>
      <c r="Y686">
        <v>27.064051588760066</v>
      </c>
      <c r="Z686">
        <v>3.0071168431955648</v>
      </c>
      <c r="AA686">
        <v>2</v>
      </c>
      <c r="AB686">
        <v>3</v>
      </c>
      <c r="AC686" t="s">
        <v>33</v>
      </c>
      <c r="AD686">
        <v>3</v>
      </c>
      <c r="AE686">
        <v>0</v>
      </c>
      <c r="AG686">
        <v>5</v>
      </c>
      <c r="AH686">
        <v>1</v>
      </c>
      <c r="AI686">
        <v>4</v>
      </c>
      <c r="AJ686">
        <v>1</v>
      </c>
      <c r="AK686">
        <v>7</v>
      </c>
      <c r="AL686">
        <v>1</v>
      </c>
      <c r="AM686">
        <f>AJ686*AK686*AL686/7</f>
        <v>1</v>
      </c>
      <c r="AN686" t="s">
        <v>43</v>
      </c>
      <c r="AO686">
        <v>0</v>
      </c>
      <c r="AV686">
        <f>AU686+AM686</f>
        <v>1</v>
      </c>
      <c r="AX686">
        <v>0</v>
      </c>
      <c r="BE686">
        <f>AM686+AU686+BD686</f>
        <v>1</v>
      </c>
      <c r="BG686">
        <v>0</v>
      </c>
      <c r="BJ686" t="s">
        <v>49</v>
      </c>
      <c r="BK686">
        <v>5</v>
      </c>
      <c r="BL686">
        <v>1</v>
      </c>
      <c r="BM686">
        <v>1</v>
      </c>
      <c r="BN686" t="s">
        <v>30</v>
      </c>
      <c r="BO686">
        <v>1</v>
      </c>
      <c r="BP686">
        <v>168</v>
      </c>
      <c r="BQ686">
        <v>0.13</v>
      </c>
      <c r="BR686">
        <v>2</v>
      </c>
      <c r="BS686">
        <v>0.26</v>
      </c>
      <c r="BT686">
        <f>BS686+BD686+AU686+AM686</f>
        <v>1.26</v>
      </c>
      <c r="BU686">
        <v>1</v>
      </c>
      <c r="BV686">
        <v>1</v>
      </c>
      <c r="BW686">
        <v>146.5</v>
      </c>
      <c r="BX686">
        <f>BW686/7</f>
        <v>20.928571428571427</v>
      </c>
      <c r="BY686">
        <f>0.77*BX686</f>
        <v>16.114999999999998</v>
      </c>
      <c r="BZ686">
        <f t="shared" si="10"/>
        <v>17.375</v>
      </c>
    </row>
    <row r="687" spans="1:78">
      <c r="A687" s="1">
        <v>45213.973969710649</v>
      </c>
      <c r="C687">
        <v>686</v>
      </c>
      <c r="D687" s="10">
        <v>30363</v>
      </c>
      <c r="E687">
        <v>40</v>
      </c>
      <c r="F687">
        <v>1</v>
      </c>
      <c r="G687">
        <v>1</v>
      </c>
      <c r="H687">
        <v>4</v>
      </c>
      <c r="I687" s="10">
        <v>43941</v>
      </c>
      <c r="J687">
        <v>1</v>
      </c>
      <c r="K687">
        <v>1</v>
      </c>
      <c r="L687">
        <v>1</v>
      </c>
      <c r="M687">
        <v>3450</v>
      </c>
      <c r="N687">
        <v>2</v>
      </c>
      <c r="O687" s="10">
        <v>43668</v>
      </c>
      <c r="P687">
        <v>0</v>
      </c>
      <c r="Q687">
        <v>39</v>
      </c>
      <c r="R687">
        <v>2</v>
      </c>
      <c r="S687">
        <v>49</v>
      </c>
      <c r="T687">
        <v>153</v>
      </c>
      <c r="U687">
        <v>62.5</v>
      </c>
      <c r="V687">
        <v>13.5</v>
      </c>
      <c r="W687">
        <v>2</v>
      </c>
      <c r="X687">
        <v>20.932120124738347</v>
      </c>
      <c r="Y687">
        <v>26.699132812166262</v>
      </c>
      <c r="Z687">
        <v>5.7670126874279148</v>
      </c>
      <c r="AA687">
        <v>2</v>
      </c>
      <c r="AB687">
        <v>3</v>
      </c>
      <c r="AC687" t="s">
        <v>33</v>
      </c>
      <c r="AD687">
        <v>3</v>
      </c>
      <c r="AE687">
        <v>0</v>
      </c>
      <c r="AG687">
        <v>5</v>
      </c>
      <c r="AH687">
        <v>1</v>
      </c>
      <c r="AI687">
        <v>4</v>
      </c>
      <c r="AJ687">
        <v>1</v>
      </c>
      <c r="AK687">
        <v>7</v>
      </c>
      <c r="AL687">
        <v>1</v>
      </c>
      <c r="AM687">
        <f>AJ687*AK687*AL687/7</f>
        <v>1</v>
      </c>
      <c r="AN687" t="s">
        <v>43</v>
      </c>
      <c r="AO687">
        <v>0</v>
      </c>
      <c r="AV687">
        <f>AU687+AM687</f>
        <v>1</v>
      </c>
      <c r="AW687" t="s">
        <v>58</v>
      </c>
      <c r="AX687">
        <v>1</v>
      </c>
      <c r="AY687" t="s">
        <v>58</v>
      </c>
      <c r="AZ687">
        <v>1</v>
      </c>
      <c r="BA687">
        <v>0.8</v>
      </c>
      <c r="BB687">
        <v>5</v>
      </c>
      <c r="BC687">
        <v>1</v>
      </c>
      <c r="BD687">
        <f>BA687*BB687*1/7</f>
        <v>0.5714285714285714</v>
      </c>
      <c r="BE687">
        <f>AM687+AU687+BD687</f>
        <v>1.5714285714285714</v>
      </c>
      <c r="BF687" t="s">
        <v>58</v>
      </c>
      <c r="BG687">
        <v>0</v>
      </c>
      <c r="BH687">
        <v>5</v>
      </c>
      <c r="BI687">
        <v>1</v>
      </c>
      <c r="BJ687" t="s">
        <v>49</v>
      </c>
      <c r="BK687">
        <v>5</v>
      </c>
      <c r="BL687">
        <v>1</v>
      </c>
      <c r="BM687">
        <v>1</v>
      </c>
      <c r="BN687" t="s">
        <v>30</v>
      </c>
      <c r="BO687">
        <v>1</v>
      </c>
      <c r="BP687">
        <v>84</v>
      </c>
      <c r="BQ687">
        <v>0.13</v>
      </c>
      <c r="BR687">
        <v>1</v>
      </c>
      <c r="BS687">
        <v>0.13</v>
      </c>
      <c r="BT687">
        <f>BS687+BD687+AU687+AM687</f>
        <v>1.7014285714285715</v>
      </c>
      <c r="BU687">
        <v>1</v>
      </c>
      <c r="BV687">
        <v>2</v>
      </c>
      <c r="BW687">
        <v>293</v>
      </c>
      <c r="BX687">
        <f>BW687/7</f>
        <v>41.857142857142854</v>
      </c>
      <c r="BY687">
        <f>0.77*BX687</f>
        <v>32.229999999999997</v>
      </c>
      <c r="BZ687">
        <f t="shared" si="10"/>
        <v>33.931428571428569</v>
      </c>
    </row>
    <row r="688" spans="1:78">
      <c r="A688" s="1">
        <v>45213.992700381947</v>
      </c>
      <c r="B688" s="9" t="s">
        <v>866</v>
      </c>
      <c r="C688">
        <v>687</v>
      </c>
      <c r="D688" s="10">
        <v>29661</v>
      </c>
      <c r="E688">
        <v>42</v>
      </c>
      <c r="F688">
        <v>1</v>
      </c>
      <c r="G688">
        <v>5</v>
      </c>
      <c r="H688">
        <v>4</v>
      </c>
      <c r="I688" s="10">
        <v>43725</v>
      </c>
      <c r="J688">
        <v>1</v>
      </c>
      <c r="K688">
        <v>1</v>
      </c>
      <c r="L688">
        <v>2</v>
      </c>
      <c r="M688">
        <v>3200</v>
      </c>
      <c r="N688">
        <v>2</v>
      </c>
      <c r="O688" s="10">
        <v>43445</v>
      </c>
      <c r="P688">
        <v>0</v>
      </c>
      <c r="Q688">
        <v>40</v>
      </c>
      <c r="R688">
        <v>2</v>
      </c>
      <c r="S688">
        <v>50</v>
      </c>
      <c r="T688">
        <v>160</v>
      </c>
      <c r="U688">
        <v>62</v>
      </c>
      <c r="V688">
        <v>12</v>
      </c>
      <c r="W688">
        <v>2</v>
      </c>
      <c r="X688">
        <v>19.531249999999996</v>
      </c>
      <c r="Y688">
        <v>24.218749999999996</v>
      </c>
      <c r="Z688">
        <v>4.6875</v>
      </c>
      <c r="AA688">
        <v>2</v>
      </c>
      <c r="AB688">
        <v>2</v>
      </c>
      <c r="AC688" t="s">
        <v>33</v>
      </c>
      <c r="AD688">
        <v>3</v>
      </c>
      <c r="AE688">
        <v>0</v>
      </c>
      <c r="AG688">
        <v>5</v>
      </c>
      <c r="AH688">
        <v>1</v>
      </c>
      <c r="AI688" t="s">
        <v>258</v>
      </c>
      <c r="AJ688" t="s">
        <v>258</v>
      </c>
      <c r="AK688">
        <v>7</v>
      </c>
      <c r="AL688">
        <v>1</v>
      </c>
      <c r="AM688" t="s">
        <v>258</v>
      </c>
      <c r="AN688" t="s">
        <v>655</v>
      </c>
      <c r="AO688">
        <v>0</v>
      </c>
      <c r="AW688" t="s">
        <v>721</v>
      </c>
      <c r="AX688">
        <v>1</v>
      </c>
      <c r="AY688" t="s">
        <v>721</v>
      </c>
      <c r="AZ688">
        <v>16</v>
      </c>
      <c r="BA688" t="s">
        <v>258</v>
      </c>
      <c r="BB688">
        <v>7</v>
      </c>
      <c r="BC688">
        <v>1</v>
      </c>
      <c r="BE688" t="s">
        <v>258</v>
      </c>
      <c r="BF688" t="s">
        <v>721</v>
      </c>
      <c r="BG688" t="s">
        <v>258</v>
      </c>
      <c r="BH688">
        <v>7</v>
      </c>
      <c r="BI688">
        <v>1</v>
      </c>
      <c r="BJ688" t="s">
        <v>49</v>
      </c>
      <c r="BK688">
        <v>5</v>
      </c>
      <c r="BL688">
        <v>1</v>
      </c>
      <c r="BM688">
        <v>1</v>
      </c>
      <c r="BN688" t="s">
        <v>55</v>
      </c>
      <c r="BO688">
        <v>2</v>
      </c>
      <c r="BP688">
        <v>67</v>
      </c>
      <c r="BQ688">
        <v>0.1</v>
      </c>
      <c r="BR688">
        <v>1</v>
      </c>
      <c r="BS688">
        <v>0.1</v>
      </c>
      <c r="BT688" t="e">
        <f>BS688+BD688+AU688+AM688</f>
        <v>#VALUE!</v>
      </c>
      <c r="BU688">
        <v>1</v>
      </c>
      <c r="BV688">
        <v>2</v>
      </c>
      <c r="BW688">
        <v>293</v>
      </c>
      <c r="BX688">
        <f>BW688/7</f>
        <v>41.857142857142854</v>
      </c>
      <c r="BY688">
        <f>0.77*BX688</f>
        <v>32.229999999999997</v>
      </c>
      <c r="BZ688" t="e">
        <f t="shared" si="10"/>
        <v>#VALUE!</v>
      </c>
    </row>
    <row r="689" spans="1:78">
      <c r="A689" s="1">
        <v>45214.029515497685</v>
      </c>
      <c r="C689">
        <v>688</v>
      </c>
      <c r="D689" s="10">
        <v>33410</v>
      </c>
      <c r="E689">
        <v>32</v>
      </c>
      <c r="F689">
        <v>1</v>
      </c>
      <c r="G689">
        <v>2</v>
      </c>
      <c r="H689">
        <v>4</v>
      </c>
      <c r="I689" s="10">
        <v>44550</v>
      </c>
      <c r="J689">
        <v>2</v>
      </c>
      <c r="K689">
        <v>0</v>
      </c>
      <c r="L689">
        <v>2</v>
      </c>
      <c r="M689">
        <v>3250</v>
      </c>
      <c r="N689">
        <v>2</v>
      </c>
      <c r="O689" s="10">
        <v>44277</v>
      </c>
      <c r="P689">
        <v>1</v>
      </c>
      <c r="Q689">
        <v>39</v>
      </c>
      <c r="R689">
        <v>2</v>
      </c>
      <c r="S689">
        <v>80</v>
      </c>
      <c r="T689">
        <v>160</v>
      </c>
      <c r="U689">
        <v>83</v>
      </c>
      <c r="V689">
        <v>3</v>
      </c>
      <c r="W689">
        <v>1</v>
      </c>
      <c r="X689">
        <v>31.249999999999993</v>
      </c>
      <c r="Y689">
        <v>32.421874999999993</v>
      </c>
      <c r="Z689">
        <v>1.171875</v>
      </c>
      <c r="AA689">
        <v>4</v>
      </c>
      <c r="AB689">
        <v>4</v>
      </c>
      <c r="AC689" t="s">
        <v>33</v>
      </c>
      <c r="AD689">
        <v>3</v>
      </c>
      <c r="AE689">
        <v>0</v>
      </c>
      <c r="AG689">
        <v>5</v>
      </c>
      <c r="AH689">
        <v>0</v>
      </c>
      <c r="AI689">
        <v>0</v>
      </c>
      <c r="AN689" t="s">
        <v>41</v>
      </c>
      <c r="AO689">
        <v>0</v>
      </c>
      <c r="AW689" t="s">
        <v>58</v>
      </c>
      <c r="AX689">
        <v>1</v>
      </c>
      <c r="AY689" t="s">
        <v>58</v>
      </c>
      <c r="AZ689">
        <v>1</v>
      </c>
      <c r="BA689">
        <v>0.8</v>
      </c>
      <c r="BB689">
        <v>7</v>
      </c>
      <c r="BC689">
        <v>1</v>
      </c>
      <c r="BD689">
        <f>BA689*BB689*1/7</f>
        <v>0.8</v>
      </c>
      <c r="BE689">
        <f>AM689+AU689+BD689</f>
        <v>0.8</v>
      </c>
      <c r="BF689" t="s">
        <v>58</v>
      </c>
      <c r="BG689">
        <v>0</v>
      </c>
      <c r="BH689">
        <v>7</v>
      </c>
      <c r="BI689">
        <v>1</v>
      </c>
      <c r="BJ689" t="s">
        <v>54</v>
      </c>
      <c r="BK689">
        <v>2</v>
      </c>
      <c r="BL689">
        <v>1</v>
      </c>
      <c r="BM689">
        <v>1</v>
      </c>
      <c r="BN689" t="s">
        <v>55</v>
      </c>
      <c r="BO689">
        <v>2</v>
      </c>
      <c r="BP689">
        <v>134</v>
      </c>
      <c r="BQ689">
        <v>0.1</v>
      </c>
      <c r="BR689">
        <v>2</v>
      </c>
      <c r="BS689">
        <v>0.2</v>
      </c>
      <c r="BT689">
        <f>BS689+BD689+AU689+AM689</f>
        <v>1</v>
      </c>
      <c r="BU689">
        <v>1</v>
      </c>
      <c r="BV689">
        <v>2</v>
      </c>
      <c r="BW689">
        <v>293</v>
      </c>
      <c r="BX689">
        <f>BW689/7</f>
        <v>41.857142857142854</v>
      </c>
      <c r="BY689">
        <f>0.77*BX689</f>
        <v>32.229999999999997</v>
      </c>
      <c r="BZ689">
        <f t="shared" si="10"/>
        <v>33.229999999999997</v>
      </c>
    </row>
    <row r="690" spans="1:78">
      <c r="A690" s="1">
        <v>45214.106520925925</v>
      </c>
      <c r="C690">
        <v>689</v>
      </c>
      <c r="D690" s="10">
        <v>29729</v>
      </c>
      <c r="E690">
        <v>42</v>
      </c>
      <c r="F690">
        <v>1</v>
      </c>
      <c r="G690">
        <v>4</v>
      </c>
      <c r="H690">
        <v>4</v>
      </c>
      <c r="I690" s="10">
        <v>43973</v>
      </c>
      <c r="J690">
        <v>1</v>
      </c>
      <c r="K690">
        <v>1</v>
      </c>
      <c r="L690">
        <v>1</v>
      </c>
      <c r="M690">
        <v>3800</v>
      </c>
      <c r="N690">
        <v>2</v>
      </c>
      <c r="O690" s="10">
        <v>43707</v>
      </c>
      <c r="P690">
        <v>0</v>
      </c>
      <c r="Q690">
        <v>38</v>
      </c>
      <c r="R690">
        <v>2</v>
      </c>
      <c r="S690">
        <v>81</v>
      </c>
      <c r="T690">
        <v>159</v>
      </c>
      <c r="U690">
        <v>91</v>
      </c>
      <c r="V690">
        <v>10</v>
      </c>
      <c r="W690">
        <v>2</v>
      </c>
      <c r="X690">
        <v>32.039871840512632</v>
      </c>
      <c r="Y690">
        <v>35.995411573909259</v>
      </c>
      <c r="Z690">
        <v>3.9555397333966269</v>
      </c>
      <c r="AA690">
        <v>4</v>
      </c>
      <c r="AB690">
        <v>4</v>
      </c>
      <c r="AC690" t="s">
        <v>33</v>
      </c>
      <c r="AD690">
        <v>3</v>
      </c>
      <c r="AE690">
        <v>0</v>
      </c>
      <c r="AG690">
        <v>5</v>
      </c>
      <c r="AH690">
        <v>1</v>
      </c>
      <c r="AI690">
        <v>13</v>
      </c>
      <c r="AJ690">
        <v>1</v>
      </c>
      <c r="AK690">
        <v>7</v>
      </c>
      <c r="AL690">
        <v>1</v>
      </c>
      <c r="AM690">
        <f>AJ690*AK690*AL690/7</f>
        <v>1</v>
      </c>
      <c r="AN690" t="s">
        <v>79</v>
      </c>
      <c r="AO690">
        <v>0</v>
      </c>
      <c r="AV690">
        <f>AU690+AM690</f>
        <v>1</v>
      </c>
      <c r="AX690">
        <v>0</v>
      </c>
      <c r="BE690">
        <f>AM690+AU690+BD690</f>
        <v>1</v>
      </c>
      <c r="BG690">
        <v>0</v>
      </c>
      <c r="BJ690" t="s">
        <v>42</v>
      </c>
      <c r="BK690">
        <v>6</v>
      </c>
      <c r="BL690">
        <v>1</v>
      </c>
      <c r="BM690">
        <v>1</v>
      </c>
      <c r="BN690" t="s">
        <v>30</v>
      </c>
      <c r="BO690">
        <v>1</v>
      </c>
      <c r="BP690">
        <v>168</v>
      </c>
      <c r="BQ690">
        <v>0.13</v>
      </c>
      <c r="BR690">
        <v>2</v>
      </c>
      <c r="BS690">
        <v>0.26</v>
      </c>
      <c r="BT690">
        <f>BS690+BD690+AU690+AM690</f>
        <v>1.26</v>
      </c>
      <c r="BU690">
        <v>1</v>
      </c>
      <c r="BV690">
        <v>4</v>
      </c>
      <c r="BW690">
        <v>586</v>
      </c>
      <c r="BX690">
        <f>BW690/7</f>
        <v>83.714285714285708</v>
      </c>
      <c r="BY690">
        <f>0.77*BX690</f>
        <v>64.459999999999994</v>
      </c>
      <c r="BZ690">
        <f t="shared" si="10"/>
        <v>65.72</v>
      </c>
    </row>
    <row r="691" spans="1:78">
      <c r="A691" s="1">
        <v>45214.113029085653</v>
      </c>
      <c r="C691">
        <v>690</v>
      </c>
      <c r="D691" s="10">
        <v>31327</v>
      </c>
      <c r="E691">
        <v>38</v>
      </c>
      <c r="F691">
        <v>1</v>
      </c>
      <c r="G691">
        <v>3</v>
      </c>
      <c r="H691">
        <v>4</v>
      </c>
      <c r="I691" s="10">
        <v>42842</v>
      </c>
      <c r="J691">
        <v>1</v>
      </c>
      <c r="K691">
        <v>1</v>
      </c>
      <c r="L691">
        <v>2</v>
      </c>
      <c r="M691">
        <v>3420</v>
      </c>
      <c r="N691">
        <v>2</v>
      </c>
      <c r="O691" s="10">
        <v>42576</v>
      </c>
      <c r="P691">
        <v>0</v>
      </c>
      <c r="Q691">
        <v>38</v>
      </c>
      <c r="R691">
        <v>2</v>
      </c>
      <c r="S691">
        <v>65</v>
      </c>
      <c r="T691">
        <v>166</v>
      </c>
      <c r="U691">
        <v>82</v>
      </c>
      <c r="V691">
        <v>17</v>
      </c>
      <c r="W691">
        <v>3</v>
      </c>
      <c r="X691">
        <v>23.588329220496444</v>
      </c>
      <c r="Y691">
        <v>29.757584555087824</v>
      </c>
      <c r="Z691">
        <v>6.1692553345913801</v>
      </c>
      <c r="AA691">
        <v>2</v>
      </c>
      <c r="AB691">
        <v>3</v>
      </c>
      <c r="AC691" t="s">
        <v>44</v>
      </c>
      <c r="AD691">
        <v>1</v>
      </c>
      <c r="AE691">
        <v>0</v>
      </c>
      <c r="AG691">
        <v>5</v>
      </c>
      <c r="AH691">
        <v>1</v>
      </c>
      <c r="AI691">
        <v>11</v>
      </c>
      <c r="AJ691">
        <v>5</v>
      </c>
      <c r="AK691">
        <v>7</v>
      </c>
      <c r="AL691">
        <v>1</v>
      </c>
      <c r="AM691">
        <f>AJ691*AK691*AL691/7</f>
        <v>5</v>
      </c>
      <c r="AN691" t="s">
        <v>81</v>
      </c>
      <c r="AO691">
        <v>0</v>
      </c>
      <c r="AV691">
        <f>AU691+AM691</f>
        <v>5</v>
      </c>
      <c r="AX691">
        <v>0</v>
      </c>
      <c r="BE691">
        <f>AM691+AU691+BD691</f>
        <v>5</v>
      </c>
      <c r="BG691">
        <v>0</v>
      </c>
      <c r="BJ691" t="s">
        <v>54</v>
      </c>
      <c r="BK691">
        <v>2</v>
      </c>
      <c r="BL691">
        <v>1</v>
      </c>
      <c r="BM691">
        <v>1</v>
      </c>
      <c r="BN691" t="s">
        <v>55</v>
      </c>
      <c r="BO691">
        <v>2</v>
      </c>
      <c r="BP691">
        <v>134</v>
      </c>
      <c r="BQ691">
        <v>0.1</v>
      </c>
      <c r="BR691">
        <v>2</v>
      </c>
      <c r="BS691">
        <v>0.2</v>
      </c>
      <c r="BT691">
        <f>BS691+BD691+AU691+AM691</f>
        <v>5.2</v>
      </c>
      <c r="BU691">
        <v>1</v>
      </c>
      <c r="BV691">
        <v>1</v>
      </c>
      <c r="BW691">
        <v>146.5</v>
      </c>
      <c r="BX691">
        <f>BW691/7</f>
        <v>20.928571428571427</v>
      </c>
      <c r="BY691">
        <f>0.77*BX691</f>
        <v>16.114999999999998</v>
      </c>
      <c r="BZ691">
        <f t="shared" si="10"/>
        <v>21.314999999999998</v>
      </c>
    </row>
    <row r="692" spans="1:78">
      <c r="A692" s="1">
        <v>45214.113247083333</v>
      </c>
      <c r="C692">
        <v>691</v>
      </c>
      <c r="D692" s="10">
        <v>33369</v>
      </c>
      <c r="E692">
        <v>32</v>
      </c>
      <c r="F692">
        <v>1</v>
      </c>
      <c r="G692">
        <v>1</v>
      </c>
      <c r="H692">
        <v>4</v>
      </c>
      <c r="I692" s="10">
        <v>44638</v>
      </c>
      <c r="J692">
        <v>2</v>
      </c>
      <c r="K692">
        <v>0</v>
      </c>
      <c r="L692">
        <v>2</v>
      </c>
      <c r="M692">
        <v>3820</v>
      </c>
      <c r="N692">
        <v>2</v>
      </c>
      <c r="O692" s="10">
        <v>44356</v>
      </c>
      <c r="P692">
        <v>1</v>
      </c>
      <c r="Q692">
        <v>40.285714285714285</v>
      </c>
      <c r="R692">
        <v>2</v>
      </c>
      <c r="S692">
        <v>59</v>
      </c>
      <c r="T692">
        <v>157</v>
      </c>
      <c r="U692">
        <v>66</v>
      </c>
      <c r="V692">
        <v>7</v>
      </c>
      <c r="W692">
        <v>1</v>
      </c>
      <c r="X692">
        <v>23.936062314901211</v>
      </c>
      <c r="Y692">
        <v>26.775934114974238</v>
      </c>
      <c r="Z692">
        <v>2.839871800073027</v>
      </c>
      <c r="AA692">
        <v>2</v>
      </c>
      <c r="AB692">
        <v>3</v>
      </c>
      <c r="AC692" t="s">
        <v>33</v>
      </c>
      <c r="AD692">
        <v>3</v>
      </c>
      <c r="AE692">
        <v>0</v>
      </c>
      <c r="AG692">
        <v>5</v>
      </c>
      <c r="AH692">
        <v>0</v>
      </c>
      <c r="AI692">
        <v>0</v>
      </c>
      <c r="AN692" t="s">
        <v>121</v>
      </c>
      <c r="AO692">
        <v>0</v>
      </c>
      <c r="AW692" t="s">
        <v>71</v>
      </c>
      <c r="AX692">
        <v>1</v>
      </c>
      <c r="AY692" t="s">
        <v>71</v>
      </c>
      <c r="AZ692">
        <v>5</v>
      </c>
      <c r="BA692">
        <v>0.4</v>
      </c>
      <c r="BB692">
        <v>7</v>
      </c>
      <c r="BC692">
        <v>1</v>
      </c>
      <c r="BD692">
        <f>BA692*BB692*1/7</f>
        <v>0.4</v>
      </c>
      <c r="BE692">
        <f>AM692+AU692+BD692</f>
        <v>0.4</v>
      </c>
      <c r="BF692" t="s">
        <v>71</v>
      </c>
      <c r="BG692">
        <v>0</v>
      </c>
      <c r="BH692">
        <v>7</v>
      </c>
      <c r="BI692">
        <v>1</v>
      </c>
      <c r="BJ692" t="s">
        <v>51</v>
      </c>
      <c r="BK692">
        <v>1</v>
      </c>
      <c r="BL692">
        <v>1</v>
      </c>
      <c r="BM692">
        <v>1</v>
      </c>
      <c r="BN692" t="s">
        <v>30</v>
      </c>
      <c r="BO692">
        <v>1</v>
      </c>
      <c r="BP692">
        <v>84</v>
      </c>
      <c r="BQ692">
        <v>0.13</v>
      </c>
      <c r="BR692">
        <v>1</v>
      </c>
      <c r="BS692">
        <v>0.13</v>
      </c>
      <c r="BT692">
        <f>BS692+BD692+AU692+AM692</f>
        <v>0.53</v>
      </c>
      <c r="BU692">
        <v>1</v>
      </c>
      <c r="BV692">
        <v>1</v>
      </c>
      <c r="BW692">
        <v>146.5</v>
      </c>
      <c r="BX692">
        <f>BW692/7</f>
        <v>20.928571428571427</v>
      </c>
      <c r="BY692">
        <f>0.77*BX692</f>
        <v>16.114999999999998</v>
      </c>
      <c r="BZ692">
        <f t="shared" si="10"/>
        <v>16.645</v>
      </c>
    </row>
    <row r="693" spans="1:78">
      <c r="A693" s="1">
        <v>45214.165495590278</v>
      </c>
      <c r="C693">
        <v>692</v>
      </c>
      <c r="D693" s="10">
        <v>30525</v>
      </c>
      <c r="E693">
        <v>40</v>
      </c>
      <c r="F693">
        <v>1</v>
      </c>
      <c r="G693">
        <v>1</v>
      </c>
      <c r="H693">
        <v>5</v>
      </c>
      <c r="I693" s="10">
        <v>44534</v>
      </c>
      <c r="J693">
        <v>4</v>
      </c>
      <c r="K693">
        <v>0</v>
      </c>
      <c r="L693">
        <v>1</v>
      </c>
      <c r="M693">
        <v>3620</v>
      </c>
      <c r="N693">
        <v>2</v>
      </c>
      <c r="O693" s="10">
        <v>44261</v>
      </c>
      <c r="P693">
        <v>1</v>
      </c>
      <c r="Q693">
        <v>39</v>
      </c>
      <c r="R693">
        <v>2</v>
      </c>
      <c r="S693">
        <v>76.8</v>
      </c>
      <c r="T693">
        <v>172</v>
      </c>
      <c r="U693">
        <v>85</v>
      </c>
      <c r="V693">
        <v>8.2000000000000028</v>
      </c>
      <c r="W693">
        <v>2</v>
      </c>
      <c r="X693">
        <v>25.959978366684695</v>
      </c>
      <c r="Y693">
        <v>28.731746890210928</v>
      </c>
      <c r="Z693">
        <v>2.7717685235262337</v>
      </c>
      <c r="AA693">
        <v>3</v>
      </c>
      <c r="AB693">
        <v>3</v>
      </c>
      <c r="AC693" t="s">
        <v>33</v>
      </c>
      <c r="AD693">
        <v>3</v>
      </c>
      <c r="AE693">
        <v>1</v>
      </c>
      <c r="AF693" t="s">
        <v>445</v>
      </c>
      <c r="AG693" t="e">
        <v>#N/A</v>
      </c>
      <c r="AH693">
        <v>1</v>
      </c>
      <c r="AI693">
        <v>4</v>
      </c>
      <c r="AJ693">
        <v>1</v>
      </c>
      <c r="AK693">
        <v>7</v>
      </c>
      <c r="AL693">
        <v>1</v>
      </c>
      <c r="AM693">
        <f>AJ693*AK693*AL693/7</f>
        <v>1</v>
      </c>
      <c r="AN693" t="s">
        <v>43</v>
      </c>
      <c r="AO693">
        <v>0</v>
      </c>
      <c r="AV693">
        <f>AU693+AM693</f>
        <v>1</v>
      </c>
      <c r="AX693">
        <v>0</v>
      </c>
      <c r="BE693">
        <f>AM693+AU693+BD693</f>
        <v>1</v>
      </c>
      <c r="BG693">
        <v>0</v>
      </c>
      <c r="BJ693" t="s">
        <v>28</v>
      </c>
      <c r="BK693">
        <v>3</v>
      </c>
      <c r="BL693">
        <v>1</v>
      </c>
      <c r="BM693">
        <v>1</v>
      </c>
      <c r="BN693" t="s">
        <v>55</v>
      </c>
      <c r="BO693">
        <v>2</v>
      </c>
      <c r="BP693">
        <v>134</v>
      </c>
      <c r="BQ693">
        <v>0.1</v>
      </c>
      <c r="BR693">
        <v>2</v>
      </c>
      <c r="BS693">
        <v>0.2</v>
      </c>
      <c r="BT693">
        <f>BS693+BD693+AU693+AM693</f>
        <v>1.2</v>
      </c>
      <c r="BU693">
        <v>1</v>
      </c>
      <c r="BV693">
        <v>2</v>
      </c>
      <c r="BW693">
        <v>293</v>
      </c>
      <c r="BX693">
        <f>BW693/7</f>
        <v>41.857142857142854</v>
      </c>
      <c r="BY693">
        <f>0.77*BX693</f>
        <v>32.229999999999997</v>
      </c>
      <c r="BZ693">
        <f t="shared" si="10"/>
        <v>33.43</v>
      </c>
    </row>
    <row r="694" spans="1:78">
      <c r="A694" s="1">
        <v>45214.22782112268</v>
      </c>
      <c r="C694">
        <v>693</v>
      </c>
      <c r="D694" s="10">
        <v>35083</v>
      </c>
      <c r="E694">
        <v>27</v>
      </c>
      <c r="F694">
        <v>1</v>
      </c>
      <c r="G694">
        <v>7</v>
      </c>
      <c r="H694">
        <v>3</v>
      </c>
      <c r="I694" s="10">
        <v>44401</v>
      </c>
      <c r="J694">
        <v>1</v>
      </c>
      <c r="K694">
        <v>1</v>
      </c>
      <c r="L694">
        <v>1</v>
      </c>
      <c r="M694">
        <v>3615</v>
      </c>
      <c r="N694">
        <v>2</v>
      </c>
      <c r="O694" s="10">
        <v>44128</v>
      </c>
      <c r="P694">
        <v>1</v>
      </c>
      <c r="Q694">
        <v>39</v>
      </c>
      <c r="R694">
        <v>2</v>
      </c>
      <c r="S694">
        <v>69</v>
      </c>
      <c r="T694">
        <v>155</v>
      </c>
      <c r="U694">
        <v>78</v>
      </c>
      <c r="V694">
        <v>9</v>
      </c>
      <c r="W694">
        <v>2</v>
      </c>
      <c r="X694">
        <v>28.720083246618103</v>
      </c>
      <c r="Y694">
        <v>32.46618106139438</v>
      </c>
      <c r="Z694">
        <v>3.7460978147762773</v>
      </c>
      <c r="AA694">
        <v>3</v>
      </c>
      <c r="AB694">
        <v>4</v>
      </c>
      <c r="AC694" t="s">
        <v>44</v>
      </c>
      <c r="AD694">
        <v>1</v>
      </c>
      <c r="AE694">
        <v>0</v>
      </c>
      <c r="AG694">
        <v>5</v>
      </c>
      <c r="AH694">
        <v>1</v>
      </c>
      <c r="AI694">
        <v>17</v>
      </c>
      <c r="AJ694">
        <v>0.6</v>
      </c>
      <c r="AK694">
        <v>7</v>
      </c>
      <c r="AL694">
        <v>1</v>
      </c>
      <c r="AM694">
        <f>AJ694*AK694*AL694/7</f>
        <v>0.6</v>
      </c>
      <c r="AN694" t="s">
        <v>446</v>
      </c>
      <c r="AO694">
        <v>0</v>
      </c>
      <c r="AV694">
        <f>AU694+AM694</f>
        <v>0.6</v>
      </c>
      <c r="AX694">
        <v>0</v>
      </c>
      <c r="BE694">
        <f>AM694+AU694+BD694</f>
        <v>0.6</v>
      </c>
      <c r="BG694">
        <v>0</v>
      </c>
      <c r="BJ694" t="s">
        <v>54</v>
      </c>
      <c r="BK694">
        <v>2</v>
      </c>
      <c r="BL694">
        <v>1</v>
      </c>
      <c r="BM694">
        <v>1</v>
      </c>
      <c r="BN694" t="s">
        <v>30</v>
      </c>
      <c r="BO694">
        <v>1</v>
      </c>
      <c r="BP694">
        <v>42</v>
      </c>
      <c r="BQ694">
        <v>0.13</v>
      </c>
      <c r="BR694">
        <v>0.5</v>
      </c>
      <c r="BS694">
        <v>6.5000000000000002E-2</v>
      </c>
      <c r="BT694">
        <f>BS694+BD694+AU694+AM694</f>
        <v>0.66500000000000004</v>
      </c>
      <c r="BU694">
        <v>1</v>
      </c>
      <c r="BV694">
        <v>1</v>
      </c>
      <c r="BW694">
        <v>146.5</v>
      </c>
      <c r="BX694">
        <f>BW694/7</f>
        <v>20.928571428571427</v>
      </c>
      <c r="BY694">
        <f>0.77*BX694</f>
        <v>16.114999999999998</v>
      </c>
      <c r="BZ694">
        <f t="shared" si="10"/>
        <v>16.779999999999998</v>
      </c>
    </row>
    <row r="695" spans="1:78">
      <c r="A695" s="1">
        <v>45214.284735150461</v>
      </c>
      <c r="C695">
        <v>694</v>
      </c>
      <c r="D695" s="10">
        <v>43340</v>
      </c>
      <c r="E695">
        <v>34</v>
      </c>
      <c r="F695">
        <v>1</v>
      </c>
      <c r="G695">
        <v>9</v>
      </c>
      <c r="H695">
        <v>4</v>
      </c>
      <c r="I695" s="10">
        <v>45114</v>
      </c>
      <c r="J695">
        <v>2</v>
      </c>
      <c r="K695">
        <v>0</v>
      </c>
      <c r="L695">
        <v>1</v>
      </c>
      <c r="M695">
        <v>2760</v>
      </c>
      <c r="N695">
        <v>2</v>
      </c>
      <c r="O695" s="10">
        <v>44855</v>
      </c>
      <c r="P695">
        <v>0</v>
      </c>
      <c r="Q695">
        <v>37</v>
      </c>
      <c r="R695">
        <v>2</v>
      </c>
      <c r="S695">
        <v>60</v>
      </c>
      <c r="T695">
        <v>160</v>
      </c>
      <c r="U695">
        <v>80</v>
      </c>
      <c r="V695">
        <v>20</v>
      </c>
      <c r="W695">
        <v>3</v>
      </c>
      <c r="X695">
        <v>23.437499999999996</v>
      </c>
      <c r="Y695">
        <v>31.249999999999993</v>
      </c>
      <c r="Z695">
        <v>7.8124999999999964</v>
      </c>
      <c r="AA695">
        <v>2</v>
      </c>
      <c r="AB695">
        <v>4</v>
      </c>
      <c r="AC695" t="s">
        <v>33</v>
      </c>
      <c r="AD695">
        <v>3</v>
      </c>
      <c r="AE695">
        <v>1</v>
      </c>
      <c r="AG695">
        <v>5</v>
      </c>
      <c r="AH695">
        <v>1</v>
      </c>
      <c r="AI695">
        <v>4</v>
      </c>
      <c r="AJ695">
        <v>1</v>
      </c>
      <c r="AK695">
        <v>7</v>
      </c>
      <c r="AL695">
        <v>1</v>
      </c>
      <c r="AM695">
        <f>AJ695*AK695*AL695/7</f>
        <v>1</v>
      </c>
      <c r="AN695" t="s">
        <v>43</v>
      </c>
      <c r="AO695">
        <v>0</v>
      </c>
      <c r="AV695">
        <f>AU695+AM695</f>
        <v>1</v>
      </c>
      <c r="AW695" t="s">
        <v>71</v>
      </c>
      <c r="AX695">
        <v>1</v>
      </c>
      <c r="AY695" t="s">
        <v>887</v>
      </c>
      <c r="AZ695">
        <v>3</v>
      </c>
      <c r="BA695">
        <v>0.35</v>
      </c>
      <c r="BB695">
        <v>7</v>
      </c>
      <c r="BC695">
        <v>1</v>
      </c>
      <c r="BD695">
        <f>BA695*BB695*1/7</f>
        <v>0.35</v>
      </c>
      <c r="BE695">
        <f>AM695+AU695+BD695</f>
        <v>1.35</v>
      </c>
      <c r="BF695" t="s">
        <v>887</v>
      </c>
      <c r="BG695">
        <v>0</v>
      </c>
      <c r="BH695">
        <v>7</v>
      </c>
      <c r="BI695">
        <v>1</v>
      </c>
      <c r="BJ695" t="s">
        <v>228</v>
      </c>
      <c r="BK695">
        <v>4</v>
      </c>
      <c r="BL695">
        <v>1</v>
      </c>
      <c r="BM695">
        <v>1</v>
      </c>
      <c r="BN695" t="s">
        <v>55</v>
      </c>
      <c r="BO695">
        <v>2</v>
      </c>
      <c r="BP695">
        <v>67</v>
      </c>
      <c r="BQ695">
        <v>0.1</v>
      </c>
      <c r="BR695">
        <v>1</v>
      </c>
      <c r="BS695">
        <v>0.1</v>
      </c>
      <c r="BT695">
        <f>BS695+BD695+AU695+AM695</f>
        <v>1.45</v>
      </c>
      <c r="BU695">
        <v>1</v>
      </c>
      <c r="BV695">
        <v>2</v>
      </c>
      <c r="BW695">
        <v>293</v>
      </c>
      <c r="BX695">
        <f>BW695/7</f>
        <v>41.857142857142854</v>
      </c>
      <c r="BY695">
        <f>0.77*BX695</f>
        <v>32.229999999999997</v>
      </c>
      <c r="BZ695">
        <f t="shared" si="10"/>
        <v>33.68</v>
      </c>
    </row>
    <row r="696" spans="1:78">
      <c r="A696" s="1">
        <v>45214.291238761572</v>
      </c>
      <c r="C696">
        <v>695</v>
      </c>
      <c r="D696" s="10">
        <v>30617</v>
      </c>
      <c r="E696">
        <v>39</v>
      </c>
      <c r="F696">
        <v>1</v>
      </c>
      <c r="G696">
        <v>1</v>
      </c>
      <c r="H696">
        <v>4</v>
      </c>
      <c r="I696" s="10">
        <v>44902</v>
      </c>
      <c r="J696">
        <v>3</v>
      </c>
      <c r="K696">
        <v>0</v>
      </c>
      <c r="L696">
        <v>2</v>
      </c>
      <c r="M696">
        <v>3323</v>
      </c>
      <c r="N696">
        <v>2</v>
      </c>
      <c r="O696" s="10">
        <v>44636</v>
      </c>
      <c r="P696">
        <v>0</v>
      </c>
      <c r="Q696">
        <v>38</v>
      </c>
      <c r="R696">
        <v>2</v>
      </c>
      <c r="S696">
        <v>72</v>
      </c>
      <c r="T696">
        <v>155</v>
      </c>
      <c r="U696">
        <v>82</v>
      </c>
      <c r="V696">
        <v>10</v>
      </c>
      <c r="W696">
        <v>2</v>
      </c>
      <c r="X696">
        <v>29.968782518210194</v>
      </c>
      <c r="Y696">
        <v>34.131113423517164</v>
      </c>
      <c r="Z696">
        <v>4.1623309053069697</v>
      </c>
      <c r="AA696">
        <v>3</v>
      </c>
      <c r="AB696">
        <v>4</v>
      </c>
      <c r="AC696" t="s">
        <v>33</v>
      </c>
      <c r="AD696">
        <v>3</v>
      </c>
      <c r="AE696">
        <v>0</v>
      </c>
      <c r="AG696">
        <v>5</v>
      </c>
      <c r="AH696">
        <v>1</v>
      </c>
      <c r="AI696">
        <v>2</v>
      </c>
      <c r="AJ696">
        <v>5</v>
      </c>
      <c r="AK696">
        <v>7</v>
      </c>
      <c r="AL696">
        <v>1</v>
      </c>
      <c r="AM696">
        <f>AJ696*AK696*AL696/7</f>
        <v>5</v>
      </c>
      <c r="AN696" t="s">
        <v>57</v>
      </c>
      <c r="AO696">
        <v>0</v>
      </c>
      <c r="AV696">
        <f>AU696+AM696</f>
        <v>5</v>
      </c>
      <c r="AW696" t="s">
        <v>314</v>
      </c>
      <c r="AX696">
        <v>1</v>
      </c>
      <c r="AY696" t="s">
        <v>314</v>
      </c>
      <c r="AZ696">
        <v>5</v>
      </c>
      <c r="BA696">
        <v>0.4</v>
      </c>
      <c r="BB696">
        <v>7</v>
      </c>
      <c r="BC696">
        <v>1</v>
      </c>
      <c r="BD696">
        <f>BA696*BB696*1/7</f>
        <v>0.4</v>
      </c>
      <c r="BE696">
        <f>AM696+AU696+BD696</f>
        <v>5.4</v>
      </c>
      <c r="BF696" t="s">
        <v>314</v>
      </c>
      <c r="BG696">
        <v>0</v>
      </c>
      <c r="BH696">
        <v>7</v>
      </c>
      <c r="BI696">
        <v>1</v>
      </c>
      <c r="BJ696" t="s">
        <v>49</v>
      </c>
      <c r="BK696">
        <v>5</v>
      </c>
      <c r="BL696">
        <v>1</v>
      </c>
      <c r="BM696">
        <v>1</v>
      </c>
      <c r="BN696" t="s">
        <v>30</v>
      </c>
      <c r="BO696">
        <v>1</v>
      </c>
      <c r="BP696">
        <v>84</v>
      </c>
      <c r="BQ696">
        <v>0.13</v>
      </c>
      <c r="BR696">
        <v>1</v>
      </c>
      <c r="BS696">
        <v>0.13</v>
      </c>
      <c r="BT696">
        <f>BS696+BD696+AU696+AM696</f>
        <v>5.53</v>
      </c>
      <c r="BU696">
        <v>1</v>
      </c>
      <c r="BV696">
        <v>1</v>
      </c>
      <c r="BW696">
        <v>146.5</v>
      </c>
      <c r="BX696">
        <f>BW696/7</f>
        <v>20.928571428571427</v>
      </c>
      <c r="BY696">
        <f>0.77*BX696</f>
        <v>16.114999999999998</v>
      </c>
      <c r="BZ696">
        <f t="shared" si="10"/>
        <v>21.645</v>
      </c>
    </row>
    <row r="697" spans="1:78">
      <c r="A697" s="1">
        <v>45214.312558831021</v>
      </c>
      <c r="C697">
        <v>696</v>
      </c>
      <c r="D697" s="10">
        <v>30969</v>
      </c>
      <c r="E697">
        <v>39</v>
      </c>
      <c r="F697">
        <v>1</v>
      </c>
      <c r="G697">
        <v>10</v>
      </c>
      <c r="H697">
        <v>4</v>
      </c>
      <c r="I697" s="10">
        <v>43965</v>
      </c>
      <c r="J697">
        <v>2</v>
      </c>
      <c r="K697">
        <v>0</v>
      </c>
      <c r="L697">
        <v>2</v>
      </c>
      <c r="M697">
        <v>3350</v>
      </c>
      <c r="N697">
        <v>2</v>
      </c>
      <c r="O697" s="10">
        <v>43701</v>
      </c>
      <c r="P697">
        <v>0</v>
      </c>
      <c r="Q697">
        <v>37.714285714285715</v>
      </c>
      <c r="R697">
        <v>2</v>
      </c>
      <c r="S697">
        <v>82</v>
      </c>
      <c r="T697">
        <v>169</v>
      </c>
      <c r="U697">
        <v>96</v>
      </c>
      <c r="V697">
        <v>14</v>
      </c>
      <c r="W697">
        <v>3</v>
      </c>
      <c r="X697">
        <v>28.71047932495361</v>
      </c>
      <c r="Y697">
        <v>33.612268477994469</v>
      </c>
      <c r="Z697">
        <v>4.901789153040859</v>
      </c>
      <c r="AA697">
        <v>3</v>
      </c>
      <c r="AB697">
        <v>4</v>
      </c>
      <c r="AC697" t="s">
        <v>33</v>
      </c>
      <c r="AD697">
        <v>3</v>
      </c>
      <c r="AE697">
        <v>0</v>
      </c>
      <c r="AG697">
        <v>5</v>
      </c>
      <c r="AH697">
        <v>1</v>
      </c>
      <c r="AI697">
        <v>2</v>
      </c>
      <c r="AJ697">
        <v>5</v>
      </c>
      <c r="AK697">
        <v>7</v>
      </c>
      <c r="AL697">
        <v>1</v>
      </c>
      <c r="AM697">
        <f>AJ697*AK697*AL697/7</f>
        <v>5</v>
      </c>
      <c r="AN697" t="s">
        <v>57</v>
      </c>
      <c r="AO697">
        <v>0</v>
      </c>
      <c r="AV697">
        <f>AU697+AM697</f>
        <v>5</v>
      </c>
      <c r="AW697" t="s">
        <v>58</v>
      </c>
      <c r="AX697">
        <v>1</v>
      </c>
      <c r="AY697" t="s">
        <v>58</v>
      </c>
      <c r="AZ697">
        <v>1</v>
      </c>
      <c r="BA697">
        <v>0.8</v>
      </c>
      <c r="BB697">
        <v>7</v>
      </c>
      <c r="BC697">
        <v>1</v>
      </c>
      <c r="BD697">
        <f>BA697*BB697*1/7</f>
        <v>0.8</v>
      </c>
      <c r="BE697">
        <f>AM697+AU697+BD697</f>
        <v>5.8</v>
      </c>
      <c r="BF697" t="s">
        <v>58</v>
      </c>
      <c r="BG697">
        <v>0</v>
      </c>
      <c r="BH697">
        <v>7</v>
      </c>
      <c r="BI697">
        <v>1</v>
      </c>
      <c r="BJ697" t="s">
        <v>36</v>
      </c>
      <c r="BK697">
        <v>4</v>
      </c>
      <c r="BL697">
        <v>3</v>
      </c>
      <c r="BM697">
        <v>1</v>
      </c>
      <c r="BN697" t="s">
        <v>30</v>
      </c>
      <c r="BO697">
        <v>1</v>
      </c>
      <c r="BP697">
        <v>84</v>
      </c>
      <c r="BQ697">
        <v>0.13</v>
      </c>
      <c r="BR697">
        <v>1</v>
      </c>
      <c r="BS697">
        <v>0.13</v>
      </c>
      <c r="BT697">
        <f>BS697+BD697+AU697+AM697</f>
        <v>5.93</v>
      </c>
      <c r="BU697">
        <v>1</v>
      </c>
      <c r="BV697">
        <v>1</v>
      </c>
      <c r="BW697">
        <v>146.5</v>
      </c>
      <c r="BX697">
        <f>BW697/7</f>
        <v>20.928571428571427</v>
      </c>
      <c r="BY697">
        <f>0.77*BX697</f>
        <v>16.114999999999998</v>
      </c>
      <c r="BZ697">
        <f t="shared" si="10"/>
        <v>22.044999999999998</v>
      </c>
    </row>
    <row r="698" spans="1:78">
      <c r="A698" s="1">
        <v>45214.327409513891</v>
      </c>
      <c r="C698">
        <v>697</v>
      </c>
      <c r="D698" s="10">
        <v>31834</v>
      </c>
      <c r="E698">
        <v>36</v>
      </c>
      <c r="F698">
        <v>1</v>
      </c>
      <c r="G698">
        <v>8</v>
      </c>
      <c r="H698">
        <v>3</v>
      </c>
      <c r="I698" s="10">
        <v>43306</v>
      </c>
      <c r="J698">
        <v>2</v>
      </c>
      <c r="K698">
        <v>0</v>
      </c>
      <c r="L698">
        <v>1</v>
      </c>
      <c r="M698">
        <v>3385</v>
      </c>
      <c r="N698">
        <v>2</v>
      </c>
      <c r="O698" s="10">
        <v>43034</v>
      </c>
      <c r="P698">
        <v>0</v>
      </c>
      <c r="Q698">
        <v>38.857142857142854</v>
      </c>
      <c r="R698">
        <v>2</v>
      </c>
      <c r="S698">
        <v>80</v>
      </c>
      <c r="T698">
        <v>168</v>
      </c>
      <c r="U698">
        <v>80</v>
      </c>
      <c r="V698">
        <v>0</v>
      </c>
      <c r="W698">
        <v>1</v>
      </c>
      <c r="X698">
        <v>28.344671201814062</v>
      </c>
      <c r="Y698">
        <v>28.344671201814062</v>
      </c>
      <c r="Z698">
        <v>0</v>
      </c>
      <c r="AA698">
        <v>3</v>
      </c>
      <c r="AB698">
        <v>3</v>
      </c>
      <c r="AC698" t="s">
        <v>33</v>
      </c>
      <c r="AD698">
        <v>3</v>
      </c>
      <c r="AE698">
        <v>0</v>
      </c>
      <c r="AG698">
        <v>5</v>
      </c>
      <c r="AH698">
        <v>0</v>
      </c>
      <c r="AI698">
        <v>0</v>
      </c>
      <c r="AO698">
        <v>0</v>
      </c>
      <c r="AX698">
        <v>0</v>
      </c>
      <c r="BG698">
        <v>0</v>
      </c>
      <c r="BJ698" t="s">
        <v>51</v>
      </c>
      <c r="BK698">
        <v>1</v>
      </c>
      <c r="BL698">
        <v>1</v>
      </c>
      <c r="BM698">
        <v>1</v>
      </c>
      <c r="BN698" t="s">
        <v>30</v>
      </c>
      <c r="BO698">
        <v>1</v>
      </c>
      <c r="BP698">
        <v>168</v>
      </c>
      <c r="BQ698">
        <v>0.13</v>
      </c>
      <c r="BR698">
        <v>2</v>
      </c>
      <c r="BS698">
        <v>0.26</v>
      </c>
      <c r="BT698">
        <f>BS698+BD698+AU698+AM698</f>
        <v>0.26</v>
      </c>
      <c r="BU698">
        <v>1</v>
      </c>
      <c r="BV698">
        <v>1</v>
      </c>
      <c r="BW698">
        <v>146.5</v>
      </c>
      <c r="BX698">
        <f>BW698/7</f>
        <v>20.928571428571427</v>
      </c>
      <c r="BY698">
        <f>0.77*BX698</f>
        <v>16.114999999999998</v>
      </c>
      <c r="BZ698">
        <f t="shared" si="10"/>
        <v>16.375</v>
      </c>
    </row>
    <row r="699" spans="1:78">
      <c r="A699" s="1">
        <v>45214.380556377313</v>
      </c>
      <c r="C699">
        <v>698</v>
      </c>
      <c r="D699" s="10">
        <v>32908</v>
      </c>
      <c r="E699">
        <v>33</v>
      </c>
      <c r="F699">
        <v>1</v>
      </c>
      <c r="G699">
        <v>1</v>
      </c>
      <c r="H699">
        <v>4</v>
      </c>
      <c r="I699" s="10">
        <v>43280</v>
      </c>
      <c r="J699">
        <v>1</v>
      </c>
      <c r="K699">
        <v>1</v>
      </c>
      <c r="L699">
        <v>1</v>
      </c>
      <c r="M699">
        <v>3210</v>
      </c>
      <c r="N699">
        <v>2</v>
      </c>
      <c r="O699" s="10">
        <v>42993</v>
      </c>
      <c r="P699">
        <v>0</v>
      </c>
      <c r="Q699">
        <v>41</v>
      </c>
      <c r="R699">
        <v>2</v>
      </c>
      <c r="S699">
        <v>69</v>
      </c>
      <c r="T699">
        <v>153</v>
      </c>
      <c r="U699">
        <v>79</v>
      </c>
      <c r="V699">
        <v>10</v>
      </c>
      <c r="W699">
        <v>2</v>
      </c>
      <c r="X699">
        <v>29.475842624631554</v>
      </c>
      <c r="Y699">
        <v>33.747703874578157</v>
      </c>
      <c r="Z699">
        <v>4.2718612499466033</v>
      </c>
      <c r="AA699">
        <v>3</v>
      </c>
      <c r="AB699">
        <v>4</v>
      </c>
      <c r="AC699" t="s">
        <v>33</v>
      </c>
      <c r="AD699">
        <v>3</v>
      </c>
      <c r="AE699">
        <v>0</v>
      </c>
      <c r="AG699">
        <v>5</v>
      </c>
      <c r="AH699">
        <v>1</v>
      </c>
      <c r="AI699">
        <v>5</v>
      </c>
      <c r="AJ699">
        <v>5</v>
      </c>
      <c r="AK699">
        <v>3</v>
      </c>
      <c r="AL699">
        <v>1</v>
      </c>
      <c r="AM699">
        <f>AJ699*AK699*AL699/7</f>
        <v>2.1428571428571428</v>
      </c>
      <c r="AN699" t="s">
        <v>27</v>
      </c>
      <c r="AO699">
        <v>0</v>
      </c>
      <c r="AV699">
        <f>AU699+AM699</f>
        <v>2.1428571428571428</v>
      </c>
      <c r="AX699">
        <v>0</v>
      </c>
      <c r="BE699">
        <f>AM699+AU699+BD699</f>
        <v>2.1428571428571428</v>
      </c>
      <c r="BG699">
        <v>0</v>
      </c>
      <c r="BJ699" t="s">
        <v>49</v>
      </c>
      <c r="BK699">
        <v>5</v>
      </c>
      <c r="BL699">
        <v>1</v>
      </c>
      <c r="BM699">
        <v>1</v>
      </c>
      <c r="BN699" t="s">
        <v>30</v>
      </c>
      <c r="BO699">
        <v>1</v>
      </c>
      <c r="BP699">
        <v>84</v>
      </c>
      <c r="BQ699">
        <v>0.13</v>
      </c>
      <c r="BR699">
        <v>1</v>
      </c>
      <c r="BS699">
        <v>0.13</v>
      </c>
      <c r="BT699">
        <f>BS699+BD699+AU699+AM699</f>
        <v>2.2728571428571427</v>
      </c>
      <c r="BU699">
        <v>1</v>
      </c>
      <c r="BV699">
        <v>2</v>
      </c>
      <c r="BW699">
        <v>293</v>
      </c>
      <c r="BX699">
        <f>BW699/7</f>
        <v>41.857142857142854</v>
      </c>
      <c r="BY699">
        <f>0.77*BX699</f>
        <v>32.229999999999997</v>
      </c>
      <c r="BZ699">
        <f t="shared" si="10"/>
        <v>34.502857142857138</v>
      </c>
    </row>
    <row r="700" spans="1:78">
      <c r="A700" s="1">
        <v>45214.384644618054</v>
      </c>
      <c r="C700">
        <v>699</v>
      </c>
      <c r="D700" s="10">
        <v>30313</v>
      </c>
      <c r="E700">
        <v>40</v>
      </c>
      <c r="F700">
        <v>1</v>
      </c>
      <c r="G700">
        <v>1</v>
      </c>
      <c r="H700">
        <v>5</v>
      </c>
      <c r="I700" s="10">
        <v>43914</v>
      </c>
      <c r="J700">
        <v>1</v>
      </c>
      <c r="K700">
        <v>1</v>
      </c>
      <c r="L700">
        <v>2</v>
      </c>
      <c r="M700">
        <v>2760</v>
      </c>
      <c r="N700">
        <v>2</v>
      </c>
      <c r="O700" s="10">
        <v>43635</v>
      </c>
      <c r="P700">
        <v>0</v>
      </c>
      <c r="Q700">
        <v>39.857142857142854</v>
      </c>
      <c r="R700">
        <v>2</v>
      </c>
      <c r="S700">
        <v>73</v>
      </c>
      <c r="T700">
        <v>169</v>
      </c>
      <c r="U700">
        <v>82.6</v>
      </c>
      <c r="V700">
        <v>9.5999999999999943</v>
      </c>
      <c r="W700">
        <v>2</v>
      </c>
      <c r="X700">
        <v>25.559329155141629</v>
      </c>
      <c r="Y700">
        <v>28.920556002941076</v>
      </c>
      <c r="Z700">
        <v>3.3612268477994469</v>
      </c>
      <c r="AA700">
        <v>3</v>
      </c>
      <c r="AB700">
        <v>3</v>
      </c>
      <c r="AC700" t="s">
        <v>33</v>
      </c>
      <c r="AD700">
        <v>3</v>
      </c>
      <c r="AE700">
        <v>0</v>
      </c>
      <c r="AG700">
        <v>5</v>
      </c>
      <c r="AH700">
        <v>1</v>
      </c>
      <c r="AI700">
        <v>2</v>
      </c>
      <c r="AJ700">
        <v>5</v>
      </c>
      <c r="AK700">
        <v>7</v>
      </c>
      <c r="AL700">
        <v>1</v>
      </c>
      <c r="AM700">
        <f>AJ700*AK700*AL700/7</f>
        <v>5</v>
      </c>
      <c r="AN700" t="s">
        <v>57</v>
      </c>
      <c r="AO700">
        <v>0</v>
      </c>
      <c r="AV700">
        <f>AU700+AM700</f>
        <v>5</v>
      </c>
      <c r="AX700">
        <v>0</v>
      </c>
      <c r="BE700">
        <f>AM700+AU700+BD700</f>
        <v>5</v>
      </c>
      <c r="BG700">
        <v>0</v>
      </c>
      <c r="BJ700" t="s">
        <v>42</v>
      </c>
      <c r="BK700">
        <v>6</v>
      </c>
      <c r="BL700">
        <v>3</v>
      </c>
      <c r="BM700">
        <v>1</v>
      </c>
      <c r="BN700" t="s">
        <v>448</v>
      </c>
      <c r="BO700">
        <v>13</v>
      </c>
      <c r="BP700">
        <v>45</v>
      </c>
      <c r="BQ700">
        <v>0.05</v>
      </c>
      <c r="BR700">
        <v>1</v>
      </c>
      <c r="BS700">
        <v>0.05</v>
      </c>
      <c r="BT700">
        <f>BS700+BD700+AU700+AM700</f>
        <v>5.05</v>
      </c>
      <c r="BU700">
        <v>1</v>
      </c>
      <c r="BV700">
        <v>0.5</v>
      </c>
      <c r="BW700">
        <v>73.25</v>
      </c>
      <c r="BX700">
        <f>BW700/7</f>
        <v>10.464285714285714</v>
      </c>
      <c r="BY700">
        <f>0.77*BX700</f>
        <v>8.0574999999999992</v>
      </c>
      <c r="BZ700">
        <f t="shared" si="10"/>
        <v>13.107499999999998</v>
      </c>
    </row>
    <row r="701" spans="1:78">
      <c r="A701" s="1">
        <v>45214.463233541668</v>
      </c>
      <c r="C701">
        <v>700</v>
      </c>
      <c r="D701" s="10">
        <v>33026</v>
      </c>
      <c r="E701">
        <v>33</v>
      </c>
      <c r="F701">
        <v>1</v>
      </c>
      <c r="G701">
        <v>1</v>
      </c>
      <c r="H701">
        <v>5</v>
      </c>
      <c r="I701" s="10">
        <v>43313</v>
      </c>
      <c r="J701">
        <v>1</v>
      </c>
      <c r="K701">
        <v>1</v>
      </c>
      <c r="L701">
        <v>1</v>
      </c>
      <c r="M701">
        <v>3100</v>
      </c>
      <c r="N701">
        <v>2</v>
      </c>
      <c r="O701" s="10">
        <v>43040</v>
      </c>
      <c r="P701">
        <v>0</v>
      </c>
      <c r="Q701">
        <v>39</v>
      </c>
      <c r="R701">
        <v>2</v>
      </c>
      <c r="S701">
        <v>80</v>
      </c>
      <c r="T701">
        <v>165</v>
      </c>
      <c r="U701">
        <v>90</v>
      </c>
      <c r="V701">
        <v>10</v>
      </c>
      <c r="W701">
        <v>2</v>
      </c>
      <c r="X701">
        <v>29.384756657483933</v>
      </c>
      <c r="Y701">
        <v>33.057851239669425</v>
      </c>
      <c r="Z701">
        <v>3.6730945821854917</v>
      </c>
      <c r="AA701">
        <v>3</v>
      </c>
      <c r="AB701">
        <v>4</v>
      </c>
      <c r="AC701" t="s">
        <v>25</v>
      </c>
      <c r="AD701">
        <v>1</v>
      </c>
      <c r="AE701">
        <v>0</v>
      </c>
      <c r="AG701">
        <v>5</v>
      </c>
      <c r="AH701">
        <v>1</v>
      </c>
      <c r="AI701">
        <v>5</v>
      </c>
      <c r="AJ701">
        <v>5</v>
      </c>
      <c r="AK701">
        <v>7</v>
      </c>
      <c r="AL701">
        <v>1</v>
      </c>
      <c r="AM701">
        <f>AJ701*AK701*AL701/7</f>
        <v>5</v>
      </c>
      <c r="AN701" t="s">
        <v>27</v>
      </c>
      <c r="AO701">
        <v>0</v>
      </c>
      <c r="AV701">
        <f>AU701+AM701</f>
        <v>5</v>
      </c>
      <c r="AW701" t="s">
        <v>58</v>
      </c>
      <c r="AX701">
        <v>1</v>
      </c>
      <c r="AY701" t="s">
        <v>58</v>
      </c>
      <c r="AZ701">
        <v>1</v>
      </c>
      <c r="BA701">
        <v>0.8</v>
      </c>
      <c r="BB701">
        <v>7</v>
      </c>
      <c r="BC701">
        <v>1</v>
      </c>
      <c r="BD701">
        <f>BA701*BB701*1/7</f>
        <v>0.8</v>
      </c>
      <c r="BE701">
        <f>AM701+AU701+BD701</f>
        <v>5.8</v>
      </c>
      <c r="BF701" t="s">
        <v>58</v>
      </c>
      <c r="BG701">
        <v>0</v>
      </c>
      <c r="BH701">
        <v>7</v>
      </c>
      <c r="BI701">
        <v>1</v>
      </c>
      <c r="BJ701" t="s">
        <v>49</v>
      </c>
      <c r="BK701">
        <v>5</v>
      </c>
      <c r="BL701">
        <v>3</v>
      </c>
      <c r="BM701">
        <v>1</v>
      </c>
      <c r="BN701" t="s">
        <v>30</v>
      </c>
      <c r="BO701">
        <v>1</v>
      </c>
      <c r="BP701">
        <v>168</v>
      </c>
      <c r="BQ701">
        <v>0.13</v>
      </c>
      <c r="BR701">
        <v>2</v>
      </c>
      <c r="BS701">
        <v>0.26</v>
      </c>
      <c r="BT701">
        <f>BS701+BD701+AU701+AM701</f>
        <v>6.0600000000000005</v>
      </c>
      <c r="BU701">
        <v>1</v>
      </c>
      <c r="BV701">
        <v>1</v>
      </c>
      <c r="BW701">
        <v>146.5</v>
      </c>
      <c r="BX701">
        <f>BW701/7</f>
        <v>20.928571428571427</v>
      </c>
      <c r="BY701">
        <f>0.77*BX701</f>
        <v>16.114999999999998</v>
      </c>
      <c r="BZ701">
        <f t="shared" si="10"/>
        <v>22.174999999999997</v>
      </c>
    </row>
    <row r="702" spans="1:78">
      <c r="A702" s="1">
        <v>45214.498548275464</v>
      </c>
      <c r="C702">
        <v>701</v>
      </c>
      <c r="D702" s="10">
        <v>32695</v>
      </c>
      <c r="E702">
        <v>34</v>
      </c>
      <c r="F702">
        <v>1</v>
      </c>
      <c r="G702">
        <v>1</v>
      </c>
      <c r="H702">
        <v>4</v>
      </c>
      <c r="I702" s="10">
        <v>44587</v>
      </c>
      <c r="J702">
        <v>1</v>
      </c>
      <c r="K702">
        <v>1</v>
      </c>
      <c r="L702">
        <v>1</v>
      </c>
      <c r="M702">
        <v>3180</v>
      </c>
      <c r="N702">
        <v>2</v>
      </c>
      <c r="O702" s="10">
        <v>44313</v>
      </c>
      <c r="P702">
        <v>1</v>
      </c>
      <c r="Q702">
        <v>39.142857142857146</v>
      </c>
      <c r="R702">
        <v>2</v>
      </c>
      <c r="S702">
        <v>64</v>
      </c>
      <c r="T702">
        <v>161</v>
      </c>
      <c r="U702">
        <v>79</v>
      </c>
      <c r="V702">
        <v>15</v>
      </c>
      <c r="W702">
        <v>2</v>
      </c>
      <c r="X702">
        <v>24.690405462752206</v>
      </c>
      <c r="Y702">
        <v>30.477219243084754</v>
      </c>
      <c r="Z702">
        <v>5.7868137803325475</v>
      </c>
      <c r="AA702">
        <v>2</v>
      </c>
      <c r="AB702">
        <v>4</v>
      </c>
      <c r="AC702" t="s">
        <v>33</v>
      </c>
      <c r="AD702">
        <v>3</v>
      </c>
      <c r="AE702">
        <v>0</v>
      </c>
      <c r="AG702">
        <v>5</v>
      </c>
      <c r="AH702">
        <v>0</v>
      </c>
      <c r="AI702">
        <v>0</v>
      </c>
      <c r="AN702" t="s">
        <v>213</v>
      </c>
      <c r="AO702">
        <v>0</v>
      </c>
      <c r="AW702" t="s">
        <v>213</v>
      </c>
      <c r="AX702">
        <v>1</v>
      </c>
      <c r="AY702" t="s">
        <v>213</v>
      </c>
      <c r="AZ702">
        <v>5</v>
      </c>
      <c r="BA702">
        <v>0.4</v>
      </c>
      <c r="BB702">
        <v>7</v>
      </c>
      <c r="BC702">
        <v>1</v>
      </c>
      <c r="BD702">
        <f>BA702*BB702*1/7</f>
        <v>0.4</v>
      </c>
      <c r="BE702">
        <f>AM702+AU702+BD702</f>
        <v>0.4</v>
      </c>
      <c r="BF702" t="s">
        <v>213</v>
      </c>
      <c r="BG702">
        <v>0</v>
      </c>
      <c r="BH702">
        <v>7</v>
      </c>
      <c r="BI702">
        <v>1</v>
      </c>
      <c r="BJ702" t="s">
        <v>42</v>
      </c>
      <c r="BK702">
        <v>6</v>
      </c>
      <c r="BL702">
        <v>1</v>
      </c>
      <c r="BM702">
        <v>1</v>
      </c>
      <c r="BN702" t="s">
        <v>30</v>
      </c>
      <c r="BO702">
        <v>1</v>
      </c>
      <c r="BP702">
        <v>84</v>
      </c>
      <c r="BQ702">
        <v>0.13</v>
      </c>
      <c r="BR702">
        <v>1</v>
      </c>
      <c r="BS702">
        <v>0.13</v>
      </c>
      <c r="BT702">
        <f>BS702+BD702+AU702+AM702</f>
        <v>0.53</v>
      </c>
      <c r="BU702">
        <v>1</v>
      </c>
      <c r="BV702">
        <v>1</v>
      </c>
      <c r="BW702">
        <v>146.5</v>
      </c>
      <c r="BX702">
        <f>BW702/7</f>
        <v>20.928571428571427</v>
      </c>
      <c r="BY702">
        <f>0.77*BX702</f>
        <v>16.114999999999998</v>
      </c>
      <c r="BZ702">
        <f t="shared" si="10"/>
        <v>16.645</v>
      </c>
    </row>
    <row r="703" spans="1:78">
      <c r="A703" s="1">
        <v>45214.517538912041</v>
      </c>
      <c r="C703">
        <v>702</v>
      </c>
      <c r="D703" s="10">
        <v>33041</v>
      </c>
      <c r="E703">
        <v>33</v>
      </c>
      <c r="F703">
        <v>1</v>
      </c>
      <c r="G703">
        <v>12</v>
      </c>
      <c r="H703">
        <v>5</v>
      </c>
      <c r="I703" s="10">
        <v>44308</v>
      </c>
      <c r="J703">
        <v>1</v>
      </c>
      <c r="K703">
        <v>1</v>
      </c>
      <c r="L703">
        <v>2</v>
      </c>
      <c r="M703">
        <v>2570</v>
      </c>
      <c r="N703">
        <v>2</v>
      </c>
      <c r="O703" s="10">
        <v>44049</v>
      </c>
      <c r="P703">
        <v>1</v>
      </c>
      <c r="Q703">
        <v>37</v>
      </c>
      <c r="R703">
        <v>2</v>
      </c>
      <c r="S703">
        <v>71</v>
      </c>
      <c r="T703">
        <v>155</v>
      </c>
      <c r="U703">
        <v>92</v>
      </c>
      <c r="V703">
        <v>21</v>
      </c>
      <c r="W703">
        <v>3</v>
      </c>
      <c r="X703">
        <v>29.552549427679498</v>
      </c>
      <c r="Y703">
        <v>38.293444328824137</v>
      </c>
      <c r="Z703">
        <v>8.7408949011446389</v>
      </c>
      <c r="AA703">
        <v>3</v>
      </c>
      <c r="AB703">
        <v>4</v>
      </c>
      <c r="AC703" t="s">
        <v>33</v>
      </c>
      <c r="AD703">
        <v>3</v>
      </c>
      <c r="AE703">
        <v>0</v>
      </c>
      <c r="AG703">
        <v>5</v>
      </c>
      <c r="AH703">
        <v>0</v>
      </c>
      <c r="AI703">
        <v>0</v>
      </c>
      <c r="AN703" t="s">
        <v>71</v>
      </c>
      <c r="AO703">
        <v>0</v>
      </c>
      <c r="AW703" t="s">
        <v>71</v>
      </c>
      <c r="AX703">
        <v>1</v>
      </c>
      <c r="AY703" t="s">
        <v>71</v>
      </c>
      <c r="AZ703">
        <v>5</v>
      </c>
      <c r="BA703">
        <v>0.4</v>
      </c>
      <c r="BB703">
        <v>7</v>
      </c>
      <c r="BC703">
        <v>1</v>
      </c>
      <c r="BD703">
        <f>BA703*BB703*1/7</f>
        <v>0.4</v>
      </c>
      <c r="BE703">
        <f>AM703+AU703+BD703</f>
        <v>0.4</v>
      </c>
      <c r="BF703" t="s">
        <v>71</v>
      </c>
      <c r="BG703">
        <v>0</v>
      </c>
      <c r="BH703">
        <v>7</v>
      </c>
      <c r="BI703">
        <v>1</v>
      </c>
      <c r="BJ703" t="s">
        <v>28</v>
      </c>
      <c r="BK703">
        <v>3</v>
      </c>
      <c r="BL703">
        <v>1</v>
      </c>
      <c r="BM703">
        <v>1</v>
      </c>
      <c r="BN703" t="s">
        <v>30</v>
      </c>
      <c r="BO703">
        <v>1</v>
      </c>
      <c r="BP703">
        <v>168</v>
      </c>
      <c r="BQ703">
        <v>0.13</v>
      </c>
      <c r="BR703">
        <v>2</v>
      </c>
      <c r="BS703">
        <v>0.26</v>
      </c>
      <c r="BT703">
        <f>BS703+BD703+AU703+AM703</f>
        <v>0.66</v>
      </c>
      <c r="BU703">
        <v>1</v>
      </c>
      <c r="BV703">
        <v>2</v>
      </c>
      <c r="BW703">
        <v>293</v>
      </c>
      <c r="BX703">
        <f>BW703/7</f>
        <v>41.857142857142854</v>
      </c>
      <c r="BY703">
        <f>0.77*BX703</f>
        <v>32.229999999999997</v>
      </c>
      <c r="BZ703">
        <f t="shared" si="10"/>
        <v>32.889999999999993</v>
      </c>
    </row>
    <row r="704" spans="1:78">
      <c r="A704" s="1">
        <v>45214.522930208332</v>
      </c>
      <c r="C704">
        <v>703</v>
      </c>
      <c r="D704" s="10">
        <v>32088</v>
      </c>
      <c r="E704">
        <v>35</v>
      </c>
      <c r="F704">
        <v>1</v>
      </c>
      <c r="G704">
        <v>1</v>
      </c>
      <c r="H704">
        <v>4</v>
      </c>
      <c r="I704" s="10">
        <v>44753</v>
      </c>
      <c r="J704">
        <v>2</v>
      </c>
      <c r="K704">
        <v>0</v>
      </c>
      <c r="L704">
        <v>1</v>
      </c>
      <c r="M704">
        <v>3250</v>
      </c>
      <c r="N704">
        <v>2</v>
      </c>
      <c r="O704" s="10">
        <v>44487</v>
      </c>
      <c r="P704">
        <v>1</v>
      </c>
      <c r="Q704">
        <v>38</v>
      </c>
      <c r="R704">
        <v>2</v>
      </c>
      <c r="S704">
        <v>54</v>
      </c>
      <c r="T704">
        <v>153</v>
      </c>
      <c r="U704">
        <v>66</v>
      </c>
      <c r="V704">
        <v>12</v>
      </c>
      <c r="W704">
        <v>2</v>
      </c>
      <c r="X704">
        <v>23.068050749711649</v>
      </c>
      <c r="Y704">
        <v>28.194284249647573</v>
      </c>
      <c r="Z704">
        <v>5.1262334999359247</v>
      </c>
      <c r="AA704">
        <v>2</v>
      </c>
      <c r="AB704">
        <v>3</v>
      </c>
      <c r="AC704" t="s">
        <v>106</v>
      </c>
      <c r="AD704">
        <v>2</v>
      </c>
      <c r="AE704">
        <v>0</v>
      </c>
      <c r="AG704">
        <v>5</v>
      </c>
      <c r="AH704">
        <v>1</v>
      </c>
      <c r="AI704">
        <v>5</v>
      </c>
      <c r="AJ704">
        <v>5</v>
      </c>
      <c r="AK704">
        <v>7</v>
      </c>
      <c r="AL704">
        <v>1</v>
      </c>
      <c r="AM704">
        <f>AJ704*AK704*AL704/7</f>
        <v>5</v>
      </c>
      <c r="AN704" t="s">
        <v>27</v>
      </c>
      <c r="AO704">
        <v>0</v>
      </c>
      <c r="AV704">
        <f>AU704+AM704</f>
        <v>5</v>
      </c>
      <c r="AW704" t="s">
        <v>58</v>
      </c>
      <c r="AX704">
        <v>1</v>
      </c>
      <c r="AY704" t="s">
        <v>58</v>
      </c>
      <c r="AZ704">
        <v>1</v>
      </c>
      <c r="BA704">
        <v>0.8</v>
      </c>
      <c r="BB704">
        <v>7</v>
      </c>
      <c r="BC704">
        <v>1</v>
      </c>
      <c r="BD704">
        <f>BA704*BB704*1/7</f>
        <v>0.8</v>
      </c>
      <c r="BE704">
        <f>AM704+AU704+BD704</f>
        <v>5.8</v>
      </c>
      <c r="BF704" t="s">
        <v>58</v>
      </c>
      <c r="BG704">
        <v>0</v>
      </c>
      <c r="BH704">
        <v>7</v>
      </c>
      <c r="BI704">
        <v>1</v>
      </c>
      <c r="BJ704" t="s">
        <v>28</v>
      </c>
      <c r="BK704">
        <v>3</v>
      </c>
      <c r="BL704">
        <v>4</v>
      </c>
      <c r="BM704">
        <v>1</v>
      </c>
      <c r="BN704" t="s">
        <v>59</v>
      </c>
      <c r="BO704">
        <v>3</v>
      </c>
      <c r="BP704">
        <v>112</v>
      </c>
      <c r="BQ704">
        <v>0.08</v>
      </c>
      <c r="BR704">
        <v>2</v>
      </c>
      <c r="BS704">
        <v>0.16</v>
      </c>
      <c r="BT704">
        <f>BS704+BD704+AU704+AM704</f>
        <v>5.96</v>
      </c>
      <c r="BU704">
        <v>1</v>
      </c>
      <c r="BV704">
        <v>3</v>
      </c>
      <c r="BW704">
        <v>439.5</v>
      </c>
      <c r="BX704">
        <f>BW704/7</f>
        <v>62.785714285714285</v>
      </c>
      <c r="BY704">
        <f>0.77*BX704</f>
        <v>48.344999999999999</v>
      </c>
      <c r="BZ704">
        <f t="shared" si="10"/>
        <v>54.305</v>
      </c>
    </row>
    <row r="705" spans="1:78">
      <c r="A705" s="1">
        <v>45214.546000740738</v>
      </c>
      <c r="C705">
        <v>704</v>
      </c>
      <c r="D705" s="10">
        <v>33513</v>
      </c>
      <c r="E705">
        <v>32</v>
      </c>
      <c r="F705">
        <v>1</v>
      </c>
      <c r="G705">
        <v>13</v>
      </c>
      <c r="H705">
        <v>4</v>
      </c>
      <c r="I705" s="10">
        <v>44021</v>
      </c>
      <c r="J705">
        <v>2</v>
      </c>
      <c r="K705">
        <v>0</v>
      </c>
      <c r="L705">
        <v>1</v>
      </c>
      <c r="M705">
        <v>3450</v>
      </c>
      <c r="N705">
        <v>2</v>
      </c>
      <c r="O705" s="10">
        <v>43748</v>
      </c>
      <c r="P705">
        <v>0</v>
      </c>
      <c r="Q705">
        <v>39</v>
      </c>
      <c r="R705">
        <v>2</v>
      </c>
      <c r="S705">
        <v>70</v>
      </c>
      <c r="T705">
        <v>158</v>
      </c>
      <c r="U705">
        <v>76</v>
      </c>
      <c r="V705">
        <v>6</v>
      </c>
      <c r="W705">
        <v>1</v>
      </c>
      <c r="X705">
        <v>28.040378144528116</v>
      </c>
      <c r="Y705">
        <v>30.443839128344813</v>
      </c>
      <c r="Z705">
        <v>2.4034609838166965</v>
      </c>
      <c r="AA705">
        <v>3</v>
      </c>
      <c r="AB705">
        <v>4</v>
      </c>
      <c r="AC705" t="s">
        <v>33</v>
      </c>
      <c r="AD705">
        <v>3</v>
      </c>
      <c r="AE705">
        <v>0</v>
      </c>
      <c r="AG705">
        <v>5</v>
      </c>
      <c r="AH705">
        <v>1</v>
      </c>
      <c r="AI705">
        <v>2</v>
      </c>
      <c r="AJ705">
        <v>5</v>
      </c>
      <c r="AK705">
        <v>1</v>
      </c>
      <c r="AL705">
        <v>1</v>
      </c>
      <c r="AM705">
        <f>AJ705*AK705*AL705/7</f>
        <v>0.7142857142857143</v>
      </c>
      <c r="AN705" t="s">
        <v>57</v>
      </c>
      <c r="AO705">
        <v>0</v>
      </c>
      <c r="AV705">
        <f>AU705+AM705</f>
        <v>0.7142857142857143</v>
      </c>
      <c r="AW705" t="s">
        <v>58</v>
      </c>
      <c r="AX705">
        <v>1</v>
      </c>
      <c r="AY705" t="s">
        <v>58</v>
      </c>
      <c r="AZ705">
        <v>1</v>
      </c>
      <c r="BA705">
        <v>0.8</v>
      </c>
      <c r="BB705">
        <v>1</v>
      </c>
      <c r="BC705">
        <v>1</v>
      </c>
      <c r="BD705">
        <f>BA705*BB705*1/7</f>
        <v>0.1142857142857143</v>
      </c>
      <c r="BE705">
        <f>AM705+AU705+BD705</f>
        <v>0.82857142857142863</v>
      </c>
      <c r="BF705" t="s">
        <v>58</v>
      </c>
      <c r="BG705">
        <v>0</v>
      </c>
      <c r="BH705">
        <v>1</v>
      </c>
      <c r="BI705">
        <v>1</v>
      </c>
      <c r="BJ705" t="s">
        <v>49</v>
      </c>
      <c r="BK705">
        <v>5</v>
      </c>
      <c r="BL705">
        <v>1</v>
      </c>
      <c r="BM705">
        <v>1</v>
      </c>
      <c r="BN705" t="s">
        <v>37</v>
      </c>
      <c r="BO705">
        <v>4</v>
      </c>
      <c r="BP705">
        <v>110</v>
      </c>
      <c r="BQ705">
        <v>0.05</v>
      </c>
      <c r="BR705">
        <v>2</v>
      </c>
      <c r="BS705">
        <v>0.1</v>
      </c>
      <c r="BT705">
        <f>BS705+BD705+AU705+AM705</f>
        <v>0.9285714285714286</v>
      </c>
      <c r="BU705">
        <v>1</v>
      </c>
      <c r="BV705">
        <v>1</v>
      </c>
      <c r="BW705">
        <v>146.5</v>
      </c>
      <c r="BX705">
        <f>BW705/7</f>
        <v>20.928571428571427</v>
      </c>
      <c r="BY705">
        <f>0.77*BX705</f>
        <v>16.114999999999998</v>
      </c>
      <c r="BZ705">
        <f t="shared" si="10"/>
        <v>17.043571428571425</v>
      </c>
    </row>
    <row r="706" spans="1:78">
      <c r="A706" s="1">
        <v>45214.57930331018</v>
      </c>
      <c r="C706">
        <v>705</v>
      </c>
      <c r="D706" s="10">
        <v>33325</v>
      </c>
      <c r="E706">
        <v>32</v>
      </c>
      <c r="F706">
        <v>1</v>
      </c>
      <c r="G706">
        <v>12</v>
      </c>
      <c r="H706">
        <v>4</v>
      </c>
      <c r="I706" s="10">
        <v>43783</v>
      </c>
      <c r="J706">
        <v>2</v>
      </c>
      <c r="K706">
        <v>0</v>
      </c>
      <c r="L706">
        <v>2</v>
      </c>
      <c r="M706">
        <v>3500</v>
      </c>
      <c r="N706">
        <v>2</v>
      </c>
      <c r="O706" s="10">
        <v>43517</v>
      </c>
      <c r="P706">
        <v>0</v>
      </c>
      <c r="Q706">
        <v>38</v>
      </c>
      <c r="R706">
        <v>2</v>
      </c>
      <c r="S706">
        <v>100</v>
      </c>
      <c r="T706">
        <v>174</v>
      </c>
      <c r="U706">
        <v>116</v>
      </c>
      <c r="V706">
        <v>16</v>
      </c>
      <c r="W706">
        <v>3</v>
      </c>
      <c r="X706">
        <v>33.029462280354075</v>
      </c>
      <c r="Y706">
        <v>38.314176245210724</v>
      </c>
      <c r="Z706">
        <v>5.2847139648566497</v>
      </c>
      <c r="AA706">
        <v>4</v>
      </c>
      <c r="AB706">
        <v>4</v>
      </c>
      <c r="AC706" t="s">
        <v>127</v>
      </c>
      <c r="AD706">
        <v>3</v>
      </c>
      <c r="AE706">
        <v>0</v>
      </c>
      <c r="AG706">
        <v>5</v>
      </c>
      <c r="AH706">
        <v>1</v>
      </c>
      <c r="AI706">
        <v>13</v>
      </c>
      <c r="AJ706">
        <v>1</v>
      </c>
      <c r="AK706">
        <v>7</v>
      </c>
      <c r="AL706">
        <v>1</v>
      </c>
      <c r="AM706">
        <f>AJ706*AK706*AL706/7</f>
        <v>1</v>
      </c>
      <c r="AN706" t="s">
        <v>79</v>
      </c>
      <c r="AO706">
        <v>0</v>
      </c>
      <c r="AV706">
        <f>AU706+AM706</f>
        <v>1</v>
      </c>
      <c r="AX706">
        <v>0</v>
      </c>
      <c r="BE706">
        <f>AM706+AU706+BD706</f>
        <v>1</v>
      </c>
      <c r="BG706">
        <v>0</v>
      </c>
      <c r="BJ706" t="s">
        <v>49</v>
      </c>
      <c r="BK706">
        <v>5</v>
      </c>
      <c r="BL706">
        <v>1</v>
      </c>
      <c r="BM706">
        <v>1</v>
      </c>
      <c r="BN706" t="s">
        <v>55</v>
      </c>
      <c r="BO706">
        <v>2</v>
      </c>
      <c r="BP706">
        <v>134</v>
      </c>
      <c r="BQ706">
        <v>0.1</v>
      </c>
      <c r="BR706">
        <v>2</v>
      </c>
      <c r="BS706">
        <v>0.2</v>
      </c>
      <c r="BT706">
        <f>BS706+BD706+AU706+AM706</f>
        <v>1.2</v>
      </c>
      <c r="BU706">
        <v>1</v>
      </c>
      <c r="BV706">
        <v>2</v>
      </c>
      <c r="BW706">
        <v>293</v>
      </c>
      <c r="BX706">
        <f>BW706/7</f>
        <v>41.857142857142854</v>
      </c>
      <c r="BY706">
        <f>0.77*BX706</f>
        <v>32.229999999999997</v>
      </c>
      <c r="BZ706">
        <f t="shared" si="10"/>
        <v>33.43</v>
      </c>
    </row>
    <row r="707" spans="1:78">
      <c r="A707" s="1">
        <v>45214.5990394213</v>
      </c>
      <c r="C707">
        <v>706</v>
      </c>
      <c r="D707" s="10">
        <v>33447</v>
      </c>
      <c r="E707">
        <v>32</v>
      </c>
      <c r="F707">
        <v>1</v>
      </c>
      <c r="G707">
        <v>1</v>
      </c>
      <c r="H707">
        <v>2</v>
      </c>
      <c r="I707" s="10">
        <v>43142</v>
      </c>
      <c r="J707">
        <v>2</v>
      </c>
      <c r="K707">
        <v>0</v>
      </c>
      <c r="L707">
        <v>1</v>
      </c>
      <c r="M707">
        <v>3500</v>
      </c>
      <c r="N707">
        <v>2</v>
      </c>
      <c r="O707" s="10">
        <v>42869</v>
      </c>
      <c r="P707">
        <v>0</v>
      </c>
      <c r="Q707">
        <v>39</v>
      </c>
      <c r="R707">
        <v>2</v>
      </c>
      <c r="S707">
        <v>60</v>
      </c>
      <c r="T707">
        <v>156</v>
      </c>
      <c r="U707">
        <v>88</v>
      </c>
      <c r="V707">
        <v>28</v>
      </c>
      <c r="W707">
        <v>3</v>
      </c>
      <c r="X707">
        <v>24.654832347140037</v>
      </c>
      <c r="Y707">
        <v>36.160420775805385</v>
      </c>
      <c r="Z707">
        <v>11.505588428665348</v>
      </c>
      <c r="AA707">
        <v>2</v>
      </c>
      <c r="AB707">
        <v>4</v>
      </c>
      <c r="AC707" t="s">
        <v>123</v>
      </c>
      <c r="AD707">
        <v>2</v>
      </c>
      <c r="AE707">
        <v>0</v>
      </c>
      <c r="AG707">
        <v>5</v>
      </c>
      <c r="AH707">
        <v>1</v>
      </c>
      <c r="AI707">
        <v>5</v>
      </c>
      <c r="AJ707">
        <v>5</v>
      </c>
      <c r="AK707">
        <v>7</v>
      </c>
      <c r="AL707">
        <v>1</v>
      </c>
      <c r="AM707">
        <f>AJ707*AK707*AL707/7</f>
        <v>5</v>
      </c>
      <c r="AN707" t="s">
        <v>27</v>
      </c>
      <c r="AO707">
        <v>0</v>
      </c>
      <c r="AV707">
        <f>AU707+AM707</f>
        <v>5</v>
      </c>
      <c r="AW707" t="s">
        <v>58</v>
      </c>
      <c r="AX707">
        <v>1</v>
      </c>
      <c r="AY707" t="s">
        <v>58</v>
      </c>
      <c r="AZ707">
        <v>1</v>
      </c>
      <c r="BA707">
        <v>0.8</v>
      </c>
      <c r="BB707">
        <v>7</v>
      </c>
      <c r="BC707">
        <v>1</v>
      </c>
      <c r="BD707">
        <f>BA707*BB707*1/7</f>
        <v>0.8</v>
      </c>
      <c r="BE707">
        <f>AM707+AU707+BD707</f>
        <v>5.8</v>
      </c>
      <c r="BF707" t="s">
        <v>58</v>
      </c>
      <c r="BG707">
        <v>0</v>
      </c>
      <c r="BH707">
        <v>7</v>
      </c>
      <c r="BI707">
        <v>1</v>
      </c>
      <c r="BJ707" t="s">
        <v>49</v>
      </c>
      <c r="BK707">
        <v>5</v>
      </c>
      <c r="BL707">
        <v>1</v>
      </c>
      <c r="BM707">
        <v>1</v>
      </c>
      <c r="BN707" t="s">
        <v>30</v>
      </c>
      <c r="BO707">
        <v>1</v>
      </c>
      <c r="BP707">
        <v>84</v>
      </c>
      <c r="BQ707">
        <v>0.13</v>
      </c>
      <c r="BR707">
        <v>1</v>
      </c>
      <c r="BS707">
        <v>0.13</v>
      </c>
      <c r="BT707">
        <f>BS707+BD707+AU707+AM707</f>
        <v>5.93</v>
      </c>
      <c r="BU707">
        <v>1</v>
      </c>
      <c r="BV707">
        <v>3</v>
      </c>
      <c r="BW707">
        <v>439.5</v>
      </c>
      <c r="BX707">
        <f>BW707/7</f>
        <v>62.785714285714285</v>
      </c>
      <c r="BY707">
        <f>0.77*BX707</f>
        <v>48.344999999999999</v>
      </c>
      <c r="BZ707">
        <f t="shared" si="10"/>
        <v>54.274999999999999</v>
      </c>
    </row>
    <row r="708" spans="1:78">
      <c r="A708" s="1">
        <v>45214.604056400465</v>
      </c>
      <c r="B708" s="9" t="s">
        <v>866</v>
      </c>
      <c r="C708">
        <v>707</v>
      </c>
      <c r="D708" s="10">
        <v>30985</v>
      </c>
      <c r="E708">
        <v>38</v>
      </c>
      <c r="F708">
        <v>1</v>
      </c>
      <c r="G708">
        <v>12</v>
      </c>
      <c r="H708">
        <v>5</v>
      </c>
      <c r="I708" s="10">
        <v>44464</v>
      </c>
      <c r="J708">
        <v>1</v>
      </c>
      <c r="K708">
        <v>1</v>
      </c>
      <c r="L708">
        <v>1</v>
      </c>
      <c r="M708">
        <v>2950</v>
      </c>
      <c r="N708">
        <v>2</v>
      </c>
      <c r="O708" s="10">
        <v>44205</v>
      </c>
      <c r="P708">
        <v>1</v>
      </c>
      <c r="Q708">
        <v>37</v>
      </c>
      <c r="R708">
        <v>2</v>
      </c>
      <c r="S708">
        <v>68</v>
      </c>
      <c r="T708">
        <v>160</v>
      </c>
      <c r="U708">
        <v>77</v>
      </c>
      <c r="V708">
        <v>9</v>
      </c>
      <c r="W708">
        <v>2</v>
      </c>
      <c r="X708">
        <v>26.562499999999996</v>
      </c>
      <c r="Y708">
        <v>30.078124999999993</v>
      </c>
      <c r="Z708">
        <v>3.5156249999999964</v>
      </c>
      <c r="AA708">
        <v>3</v>
      </c>
      <c r="AB708">
        <v>4</v>
      </c>
      <c r="AC708" t="s">
        <v>33</v>
      </c>
      <c r="AD708">
        <v>3</v>
      </c>
      <c r="AE708">
        <v>0</v>
      </c>
      <c r="AG708">
        <v>5</v>
      </c>
      <c r="AH708">
        <v>1</v>
      </c>
      <c r="AI708" t="s">
        <v>258</v>
      </c>
      <c r="AJ708" t="s">
        <v>258</v>
      </c>
      <c r="AK708" t="s">
        <v>258</v>
      </c>
      <c r="AL708" t="s">
        <v>258</v>
      </c>
      <c r="AM708" t="s">
        <v>258</v>
      </c>
      <c r="AN708" t="s">
        <v>95</v>
      </c>
      <c r="AO708">
        <v>0</v>
      </c>
      <c r="AX708">
        <v>0</v>
      </c>
      <c r="BE708" t="s">
        <v>258</v>
      </c>
      <c r="BG708">
        <v>0</v>
      </c>
      <c r="BJ708" t="s">
        <v>49</v>
      </c>
      <c r="BK708">
        <v>5</v>
      </c>
      <c r="BL708">
        <v>1</v>
      </c>
      <c r="BM708">
        <v>1</v>
      </c>
      <c r="BN708" t="s">
        <v>55</v>
      </c>
      <c r="BO708">
        <v>2</v>
      </c>
      <c r="BP708">
        <v>134</v>
      </c>
      <c r="BQ708">
        <v>0.1</v>
      </c>
      <c r="BR708">
        <v>2</v>
      </c>
      <c r="BS708">
        <v>0.2</v>
      </c>
      <c r="BT708" t="e">
        <f>BS708+BD708+AU708+AM708</f>
        <v>#VALUE!</v>
      </c>
      <c r="BU708">
        <v>1</v>
      </c>
      <c r="BV708">
        <v>2</v>
      </c>
      <c r="BW708">
        <v>293</v>
      </c>
      <c r="BX708">
        <f>BW708/7</f>
        <v>41.857142857142854</v>
      </c>
      <c r="BY708">
        <f>0.77*BX708</f>
        <v>32.229999999999997</v>
      </c>
      <c r="BZ708" t="e">
        <f t="shared" ref="BZ708:BZ771" si="11">BS708+BD708+AU708+AM708+BY708</f>
        <v>#VALUE!</v>
      </c>
    </row>
    <row r="709" spans="1:78">
      <c r="A709" s="1">
        <v>45214.636910092595</v>
      </c>
      <c r="C709">
        <v>708</v>
      </c>
      <c r="D709" s="10">
        <v>34222</v>
      </c>
      <c r="E709">
        <v>30</v>
      </c>
      <c r="F709">
        <v>1</v>
      </c>
      <c r="G709">
        <v>1</v>
      </c>
      <c r="H709">
        <v>2</v>
      </c>
      <c r="I709" s="10">
        <v>43886</v>
      </c>
      <c r="J709">
        <v>1</v>
      </c>
      <c r="K709">
        <v>1</v>
      </c>
      <c r="L709">
        <v>2</v>
      </c>
      <c r="M709">
        <v>3715</v>
      </c>
      <c r="N709">
        <v>2</v>
      </c>
      <c r="O709" s="10">
        <v>43613</v>
      </c>
      <c r="P709">
        <v>0</v>
      </c>
      <c r="Q709">
        <v>39</v>
      </c>
      <c r="R709">
        <v>2</v>
      </c>
      <c r="S709">
        <v>91</v>
      </c>
      <c r="T709">
        <v>163</v>
      </c>
      <c r="U709">
        <v>94</v>
      </c>
      <c r="V709">
        <v>3</v>
      </c>
      <c r="W709">
        <v>1</v>
      </c>
      <c r="X709">
        <v>34.250442244721292</v>
      </c>
      <c r="Y709">
        <v>35.379577703338477</v>
      </c>
      <c r="Z709">
        <v>1.1291354586171849</v>
      </c>
      <c r="AA709">
        <v>4</v>
      </c>
      <c r="AB709">
        <v>4</v>
      </c>
      <c r="AC709" t="s">
        <v>33</v>
      </c>
      <c r="AD709">
        <v>3</v>
      </c>
      <c r="AE709">
        <v>0</v>
      </c>
      <c r="AG709">
        <v>5</v>
      </c>
      <c r="AH709">
        <v>1</v>
      </c>
      <c r="AI709">
        <v>4</v>
      </c>
      <c r="AJ709">
        <v>1</v>
      </c>
      <c r="AK709">
        <v>7</v>
      </c>
      <c r="AL709">
        <v>1</v>
      </c>
      <c r="AM709">
        <f>AJ709*AK709*AL709/7</f>
        <v>1</v>
      </c>
      <c r="AN709" t="s">
        <v>43</v>
      </c>
      <c r="AO709">
        <v>0</v>
      </c>
      <c r="AV709">
        <f>AU709+AM709</f>
        <v>1</v>
      </c>
      <c r="AX709">
        <v>0</v>
      </c>
      <c r="BE709">
        <f>AM709+AU709+BD709</f>
        <v>1</v>
      </c>
      <c r="BG709">
        <v>0</v>
      </c>
      <c r="BJ709" t="s">
        <v>36</v>
      </c>
      <c r="BK709">
        <v>4</v>
      </c>
      <c r="BL709">
        <v>1</v>
      </c>
      <c r="BM709">
        <v>1</v>
      </c>
      <c r="BN709" t="s">
        <v>55</v>
      </c>
      <c r="BO709">
        <v>2</v>
      </c>
      <c r="BP709">
        <v>134</v>
      </c>
      <c r="BQ709">
        <v>0.1</v>
      </c>
      <c r="BR709">
        <v>2</v>
      </c>
      <c r="BS709">
        <v>0.2</v>
      </c>
      <c r="BT709">
        <f>BS709+BD709+AU709+AM709</f>
        <v>1.2</v>
      </c>
      <c r="BU709">
        <v>1</v>
      </c>
      <c r="BV709">
        <v>2</v>
      </c>
      <c r="BW709">
        <v>293</v>
      </c>
      <c r="BX709">
        <f>BW709/7</f>
        <v>41.857142857142854</v>
      </c>
      <c r="BY709">
        <f>0.77*BX709</f>
        <v>32.229999999999997</v>
      </c>
      <c r="BZ709">
        <f t="shared" si="11"/>
        <v>33.43</v>
      </c>
    </row>
    <row r="710" spans="1:78">
      <c r="A710" s="1">
        <v>45214.64120106482</v>
      </c>
      <c r="C710">
        <v>709</v>
      </c>
      <c r="D710" s="10">
        <v>32981</v>
      </c>
      <c r="E710">
        <v>33</v>
      </c>
      <c r="F710">
        <v>1</v>
      </c>
      <c r="G710">
        <v>1</v>
      </c>
      <c r="H710">
        <v>4</v>
      </c>
      <c r="I710" s="10">
        <v>44727</v>
      </c>
      <c r="J710">
        <v>2</v>
      </c>
      <c r="K710">
        <v>0</v>
      </c>
      <c r="L710">
        <v>2</v>
      </c>
      <c r="M710">
        <v>3350</v>
      </c>
      <c r="N710">
        <v>2</v>
      </c>
      <c r="O710" s="10">
        <v>44447</v>
      </c>
      <c r="P710">
        <v>1</v>
      </c>
      <c r="Q710">
        <v>40</v>
      </c>
      <c r="R710">
        <v>2</v>
      </c>
      <c r="S710">
        <v>67</v>
      </c>
      <c r="T710">
        <v>161</v>
      </c>
      <c r="U710">
        <v>73</v>
      </c>
      <c r="V710">
        <v>6</v>
      </c>
      <c r="W710">
        <v>1</v>
      </c>
      <c r="X710">
        <v>25.847768218818715</v>
      </c>
      <c r="Y710">
        <v>28.162493730951734</v>
      </c>
      <c r="Z710">
        <v>2.3147255121330197</v>
      </c>
      <c r="AA710">
        <v>3</v>
      </c>
      <c r="AB710">
        <v>3</v>
      </c>
      <c r="AC710" t="s">
        <v>33</v>
      </c>
      <c r="AD710">
        <v>3</v>
      </c>
      <c r="AE710">
        <v>0</v>
      </c>
      <c r="AG710">
        <v>5</v>
      </c>
      <c r="AH710">
        <v>1</v>
      </c>
      <c r="AI710">
        <v>2</v>
      </c>
      <c r="AJ710">
        <v>5</v>
      </c>
      <c r="AK710">
        <v>7</v>
      </c>
      <c r="AL710">
        <v>1</v>
      </c>
      <c r="AM710">
        <f>AJ710*AK710*AL710/7</f>
        <v>5</v>
      </c>
      <c r="AN710" t="s">
        <v>57</v>
      </c>
      <c r="AO710">
        <v>0</v>
      </c>
      <c r="AV710">
        <f>AU710+AM710</f>
        <v>5</v>
      </c>
      <c r="AW710" t="s">
        <v>451</v>
      </c>
      <c r="AX710">
        <v>0</v>
      </c>
      <c r="BE710">
        <f>AM710+AU710+BD710</f>
        <v>5</v>
      </c>
      <c r="BF710" t="s">
        <v>451</v>
      </c>
      <c r="BG710">
        <v>1</v>
      </c>
      <c r="BH710">
        <v>7</v>
      </c>
      <c r="BI710">
        <v>1</v>
      </c>
      <c r="BJ710" t="s">
        <v>114</v>
      </c>
      <c r="BK710">
        <v>6</v>
      </c>
      <c r="BL710">
        <v>1</v>
      </c>
      <c r="BM710">
        <v>1</v>
      </c>
      <c r="BN710" t="s">
        <v>30</v>
      </c>
      <c r="BO710">
        <v>1</v>
      </c>
      <c r="BP710">
        <v>42</v>
      </c>
      <c r="BQ710">
        <v>0.13</v>
      </c>
      <c r="BR710">
        <v>0.5</v>
      </c>
      <c r="BS710">
        <v>6.5000000000000002E-2</v>
      </c>
      <c r="BT710">
        <f>BS710+BD710+AU710+AM710</f>
        <v>5.0650000000000004</v>
      </c>
      <c r="BU710">
        <v>1</v>
      </c>
      <c r="BV710">
        <v>0.5</v>
      </c>
      <c r="BW710">
        <v>73.25</v>
      </c>
      <c r="BX710">
        <f>BW710/7</f>
        <v>10.464285714285714</v>
      </c>
      <c r="BY710">
        <f>0.77*BX710</f>
        <v>8.0574999999999992</v>
      </c>
      <c r="BZ710">
        <f t="shared" si="11"/>
        <v>13.122499999999999</v>
      </c>
    </row>
    <row r="711" spans="1:78">
      <c r="A711" s="1">
        <v>45214.646016134255</v>
      </c>
      <c r="C711">
        <v>710</v>
      </c>
      <c r="D711" s="10">
        <v>32232</v>
      </c>
      <c r="E711">
        <v>35</v>
      </c>
      <c r="F711">
        <v>1</v>
      </c>
      <c r="G711">
        <v>3</v>
      </c>
      <c r="H711">
        <v>5</v>
      </c>
      <c r="I711" s="10">
        <v>43105</v>
      </c>
      <c r="J711">
        <v>1</v>
      </c>
      <c r="K711">
        <v>1</v>
      </c>
      <c r="L711">
        <v>1</v>
      </c>
      <c r="M711">
        <v>3340</v>
      </c>
      <c r="N711">
        <v>2</v>
      </c>
      <c r="O711" s="10">
        <v>42839</v>
      </c>
      <c r="P711">
        <v>0</v>
      </c>
      <c r="Q711">
        <v>38</v>
      </c>
      <c r="R711">
        <v>2</v>
      </c>
      <c r="S711">
        <v>52.5</v>
      </c>
      <c r="T711">
        <v>154</v>
      </c>
      <c r="U711">
        <v>65</v>
      </c>
      <c r="V711">
        <v>12.5</v>
      </c>
      <c r="W711">
        <v>2</v>
      </c>
      <c r="X711">
        <v>22.136953955135773</v>
      </c>
      <c r="Y711">
        <v>27.407657277787148</v>
      </c>
      <c r="Z711">
        <v>5.2707033226513751</v>
      </c>
      <c r="AA711">
        <v>2</v>
      </c>
      <c r="AB711">
        <v>3</v>
      </c>
      <c r="AC711" t="s">
        <v>33</v>
      </c>
      <c r="AD711">
        <v>3</v>
      </c>
      <c r="AE711">
        <v>0</v>
      </c>
      <c r="AG711">
        <v>5</v>
      </c>
      <c r="AH711">
        <v>1</v>
      </c>
      <c r="AI711">
        <v>5</v>
      </c>
      <c r="AJ711">
        <v>5</v>
      </c>
      <c r="AK711">
        <v>7</v>
      </c>
      <c r="AL711">
        <v>1</v>
      </c>
      <c r="AM711">
        <f>AJ711*AK711*AL711/7</f>
        <v>5</v>
      </c>
      <c r="AN711" t="s">
        <v>27</v>
      </c>
      <c r="AO711">
        <v>0</v>
      </c>
      <c r="AV711">
        <f>AU711+AM711</f>
        <v>5</v>
      </c>
      <c r="AX711">
        <v>0</v>
      </c>
      <c r="BE711">
        <f>AM711+AU711+BD711</f>
        <v>5</v>
      </c>
      <c r="BG711">
        <v>0</v>
      </c>
      <c r="BJ711" t="s">
        <v>42</v>
      </c>
      <c r="BK711">
        <v>6</v>
      </c>
      <c r="BL711">
        <v>4</v>
      </c>
      <c r="BM711">
        <v>1</v>
      </c>
      <c r="BN711" t="s">
        <v>55</v>
      </c>
      <c r="BO711">
        <v>2</v>
      </c>
      <c r="BP711">
        <v>134</v>
      </c>
      <c r="BQ711">
        <v>0.1</v>
      </c>
      <c r="BR711">
        <v>2</v>
      </c>
      <c r="BS711">
        <v>0.2</v>
      </c>
      <c r="BT711">
        <f>BS711+BD711+AU711+AM711</f>
        <v>5.2</v>
      </c>
      <c r="BU711">
        <v>1</v>
      </c>
      <c r="BV711">
        <v>0.5</v>
      </c>
      <c r="BW711">
        <v>73.25</v>
      </c>
      <c r="BX711">
        <f>BW711/7</f>
        <v>10.464285714285714</v>
      </c>
      <c r="BY711">
        <f>0.77*BX711</f>
        <v>8.0574999999999992</v>
      </c>
      <c r="BZ711">
        <f t="shared" si="11"/>
        <v>13.2575</v>
      </c>
    </row>
    <row r="712" spans="1:78">
      <c r="A712" s="1">
        <v>45214.651264918983</v>
      </c>
      <c r="B712" t="s">
        <v>865</v>
      </c>
      <c r="C712">
        <v>711</v>
      </c>
      <c r="D712" s="10">
        <v>30812</v>
      </c>
      <c r="E712">
        <v>39</v>
      </c>
      <c r="F712">
        <v>1</v>
      </c>
      <c r="G712">
        <v>1</v>
      </c>
      <c r="H712">
        <v>4</v>
      </c>
      <c r="I712" s="10">
        <v>44584</v>
      </c>
      <c r="J712">
        <v>2</v>
      </c>
      <c r="K712">
        <v>0</v>
      </c>
      <c r="L712">
        <v>2</v>
      </c>
      <c r="M712">
        <v>3150</v>
      </c>
      <c r="N712">
        <v>2</v>
      </c>
      <c r="O712" s="10">
        <v>44318</v>
      </c>
      <c r="P712">
        <v>1</v>
      </c>
      <c r="Q712">
        <v>38</v>
      </c>
      <c r="R712">
        <v>2</v>
      </c>
      <c r="S712">
        <v>53</v>
      </c>
      <c r="T712">
        <v>157</v>
      </c>
      <c r="U712">
        <v>63</v>
      </c>
      <c r="V712">
        <v>10</v>
      </c>
      <c r="W712">
        <v>1</v>
      </c>
      <c r="X712">
        <v>21.501886486267189</v>
      </c>
      <c r="Y712">
        <v>25.558846200657225</v>
      </c>
      <c r="Z712">
        <v>4.056959714390036</v>
      </c>
      <c r="AA712">
        <v>2</v>
      </c>
      <c r="AB712">
        <v>3</v>
      </c>
      <c r="AC712" t="s">
        <v>33</v>
      </c>
      <c r="AD712">
        <v>3</v>
      </c>
      <c r="AE712">
        <v>0</v>
      </c>
      <c r="AG712">
        <v>5</v>
      </c>
      <c r="AH712">
        <v>1</v>
      </c>
      <c r="AI712">
        <v>4</v>
      </c>
      <c r="AJ712">
        <v>1</v>
      </c>
      <c r="AK712">
        <v>7</v>
      </c>
      <c r="AL712">
        <v>1</v>
      </c>
      <c r="AM712">
        <f>AJ712*AK712*AL712/7</f>
        <v>1</v>
      </c>
      <c r="AN712" t="s">
        <v>43</v>
      </c>
      <c r="AO712">
        <v>0</v>
      </c>
      <c r="AV712">
        <f>AU712+AM712</f>
        <v>1</v>
      </c>
      <c r="AW712" t="s">
        <v>95</v>
      </c>
      <c r="AX712">
        <v>1</v>
      </c>
      <c r="AY712" t="s">
        <v>878</v>
      </c>
      <c r="AZ712">
        <v>16</v>
      </c>
      <c r="BA712" t="s">
        <v>258</v>
      </c>
      <c r="BB712">
        <v>7</v>
      </c>
      <c r="BC712">
        <v>1</v>
      </c>
      <c r="BE712">
        <f>AM712+AU712+BD712</f>
        <v>1</v>
      </c>
      <c r="BF712" t="s">
        <v>878</v>
      </c>
      <c r="BG712" t="s">
        <v>258</v>
      </c>
      <c r="BH712">
        <v>7</v>
      </c>
      <c r="BI712">
        <v>1</v>
      </c>
      <c r="BJ712" t="s">
        <v>49</v>
      </c>
      <c r="BK712">
        <v>5</v>
      </c>
      <c r="BL712">
        <v>1</v>
      </c>
      <c r="BM712">
        <v>1</v>
      </c>
      <c r="BN712" t="s">
        <v>30</v>
      </c>
      <c r="BO712">
        <v>1</v>
      </c>
      <c r="BP712">
        <v>168</v>
      </c>
      <c r="BQ712">
        <v>0.13</v>
      </c>
      <c r="BR712">
        <v>2</v>
      </c>
      <c r="BS712">
        <v>0.26</v>
      </c>
      <c r="BT712">
        <f>BS712+BD712+AU712+AM712</f>
        <v>1.26</v>
      </c>
      <c r="BU712">
        <v>1</v>
      </c>
      <c r="BV712">
        <v>1</v>
      </c>
      <c r="BW712">
        <v>146.5</v>
      </c>
      <c r="BX712">
        <f>BW712/7</f>
        <v>20.928571428571427</v>
      </c>
      <c r="BY712">
        <f>0.77*BX712</f>
        <v>16.114999999999998</v>
      </c>
      <c r="BZ712">
        <f t="shared" si="11"/>
        <v>17.375</v>
      </c>
    </row>
    <row r="713" spans="1:78">
      <c r="A713" s="1">
        <v>45214.655474976855</v>
      </c>
      <c r="C713">
        <v>712</v>
      </c>
      <c r="D713" s="10">
        <v>28613</v>
      </c>
      <c r="E713">
        <v>45</v>
      </c>
      <c r="F713">
        <v>1</v>
      </c>
      <c r="G713">
        <v>1</v>
      </c>
      <c r="H713">
        <v>2</v>
      </c>
      <c r="I713" s="10">
        <v>44438</v>
      </c>
      <c r="J713">
        <v>5</v>
      </c>
      <c r="K713">
        <v>0</v>
      </c>
      <c r="L713">
        <v>1</v>
      </c>
      <c r="M713">
        <v>2626</v>
      </c>
      <c r="N713">
        <v>2</v>
      </c>
      <c r="O713" s="10">
        <v>44172</v>
      </c>
      <c r="P713">
        <v>1</v>
      </c>
      <c r="Q713">
        <v>38</v>
      </c>
      <c r="R713">
        <v>2</v>
      </c>
      <c r="S713">
        <v>78</v>
      </c>
      <c r="T713">
        <v>151</v>
      </c>
      <c r="U713">
        <v>83</v>
      </c>
      <c r="V713">
        <v>5</v>
      </c>
      <c r="W713">
        <v>1</v>
      </c>
      <c r="X713">
        <v>34.209025919915796</v>
      </c>
      <c r="Y713">
        <v>36.401912196833472</v>
      </c>
      <c r="Z713">
        <v>2.192886276917676</v>
      </c>
      <c r="AA713">
        <v>4</v>
      </c>
      <c r="AB713">
        <v>4</v>
      </c>
      <c r="AC713" t="s">
        <v>33</v>
      </c>
      <c r="AD713">
        <v>3</v>
      </c>
      <c r="AE713">
        <v>0</v>
      </c>
      <c r="AG713">
        <v>5</v>
      </c>
      <c r="AH713">
        <v>1</v>
      </c>
      <c r="AI713">
        <v>4</v>
      </c>
      <c r="AJ713">
        <v>1</v>
      </c>
      <c r="AK713">
        <v>7</v>
      </c>
      <c r="AL713">
        <v>1</v>
      </c>
      <c r="AM713">
        <f>AJ713*AK713*AL713/7</f>
        <v>1</v>
      </c>
      <c r="AN713" t="s">
        <v>43</v>
      </c>
      <c r="AO713">
        <v>0</v>
      </c>
      <c r="AV713">
        <f>AU713+AM713</f>
        <v>1</v>
      </c>
      <c r="AX713">
        <v>0</v>
      </c>
      <c r="BE713">
        <f>AM713+AU713+BD713</f>
        <v>1</v>
      </c>
      <c r="BG713">
        <v>0</v>
      </c>
      <c r="BJ713" t="s">
        <v>42</v>
      </c>
      <c r="BK713">
        <v>6</v>
      </c>
      <c r="BL713">
        <v>1</v>
      </c>
      <c r="BM713">
        <v>1</v>
      </c>
      <c r="BN713" t="s">
        <v>30</v>
      </c>
      <c r="BO713">
        <v>1</v>
      </c>
      <c r="BP713">
        <v>168</v>
      </c>
      <c r="BQ713">
        <v>0.13</v>
      </c>
      <c r="BR713">
        <v>2</v>
      </c>
      <c r="BS713">
        <v>0.26</v>
      </c>
      <c r="BT713">
        <f>BS713+BD713+AU713+AM713</f>
        <v>1.26</v>
      </c>
      <c r="BU713">
        <v>1</v>
      </c>
      <c r="BV713">
        <v>2</v>
      </c>
      <c r="BW713">
        <v>293</v>
      </c>
      <c r="BX713">
        <f>BW713/7</f>
        <v>41.857142857142854</v>
      </c>
      <c r="BY713">
        <f>0.77*BX713</f>
        <v>32.229999999999997</v>
      </c>
      <c r="BZ713">
        <f t="shared" si="11"/>
        <v>33.489999999999995</v>
      </c>
    </row>
    <row r="714" spans="1:78">
      <c r="A714" s="1">
        <v>45214.656871168976</v>
      </c>
      <c r="C714">
        <v>713</v>
      </c>
      <c r="D714" s="10">
        <v>34831</v>
      </c>
      <c r="E714">
        <v>28</v>
      </c>
      <c r="F714">
        <v>1</v>
      </c>
      <c r="G714">
        <v>10</v>
      </c>
      <c r="H714">
        <v>4</v>
      </c>
      <c r="I714" s="10">
        <v>45099</v>
      </c>
      <c r="J714">
        <v>3</v>
      </c>
      <c r="K714">
        <v>0</v>
      </c>
      <c r="L714">
        <v>2</v>
      </c>
      <c r="M714">
        <v>3485</v>
      </c>
      <c r="N714">
        <v>2</v>
      </c>
      <c r="O714" s="10">
        <v>44833</v>
      </c>
      <c r="P714">
        <v>0</v>
      </c>
      <c r="Q714">
        <v>38</v>
      </c>
      <c r="R714">
        <v>2</v>
      </c>
      <c r="S714">
        <v>81</v>
      </c>
      <c r="T714">
        <v>167</v>
      </c>
      <c r="U714">
        <v>86.4</v>
      </c>
      <c r="V714">
        <v>5.4000000000000057</v>
      </c>
      <c r="W714">
        <v>1</v>
      </c>
      <c r="X714">
        <v>29.043708989207214</v>
      </c>
      <c r="Y714">
        <v>30.979956255154363</v>
      </c>
      <c r="Z714">
        <v>1.9362472659471486</v>
      </c>
      <c r="AA714">
        <v>3</v>
      </c>
      <c r="AB714">
        <v>4</v>
      </c>
      <c r="AC714" t="s">
        <v>33</v>
      </c>
      <c r="AD714">
        <v>3</v>
      </c>
      <c r="AE714">
        <v>0</v>
      </c>
      <c r="AG714">
        <v>5</v>
      </c>
      <c r="AH714">
        <v>1</v>
      </c>
      <c r="AI714">
        <v>19</v>
      </c>
      <c r="AJ714">
        <v>1.25</v>
      </c>
      <c r="AK714">
        <v>6.6</v>
      </c>
      <c r="AL714">
        <v>1</v>
      </c>
      <c r="AM714">
        <f>AJ714*AK714*AL714/7</f>
        <v>1.1785714285714286</v>
      </c>
      <c r="AN714" t="s">
        <v>275</v>
      </c>
      <c r="AO714">
        <v>0</v>
      </c>
      <c r="AV714">
        <f>AU714+AM714</f>
        <v>1.1785714285714286</v>
      </c>
      <c r="AW714" t="s">
        <v>119</v>
      </c>
      <c r="AX714">
        <v>0</v>
      </c>
      <c r="BE714">
        <f>AM714+AU714+BD714</f>
        <v>1.1785714285714286</v>
      </c>
      <c r="BG714">
        <v>0</v>
      </c>
      <c r="BJ714" t="s">
        <v>28</v>
      </c>
      <c r="BK714">
        <v>3</v>
      </c>
      <c r="BL714">
        <v>3</v>
      </c>
      <c r="BM714">
        <v>1</v>
      </c>
      <c r="BN714" t="s">
        <v>55</v>
      </c>
      <c r="BO714">
        <v>2</v>
      </c>
      <c r="BP714">
        <v>67</v>
      </c>
      <c r="BQ714">
        <v>0.1</v>
      </c>
      <c r="BR714">
        <v>1</v>
      </c>
      <c r="BS714">
        <v>0.1</v>
      </c>
      <c r="BT714">
        <f>BS714+BD714+AU714+AM714</f>
        <v>1.2785714285714287</v>
      </c>
      <c r="BU714">
        <v>1</v>
      </c>
      <c r="BV714">
        <v>1</v>
      </c>
      <c r="BW714">
        <v>146.5</v>
      </c>
      <c r="BX714">
        <f>BW714/7</f>
        <v>20.928571428571427</v>
      </c>
      <c r="BY714">
        <f>0.77*BX714</f>
        <v>16.114999999999998</v>
      </c>
      <c r="BZ714">
        <f t="shared" si="11"/>
        <v>17.393571428571427</v>
      </c>
    </row>
    <row r="715" spans="1:78">
      <c r="A715" s="1">
        <v>45214.676459085647</v>
      </c>
      <c r="C715">
        <v>714</v>
      </c>
      <c r="D715" s="10">
        <v>30772</v>
      </c>
      <c r="E715">
        <v>39</v>
      </c>
      <c r="F715">
        <v>1</v>
      </c>
      <c r="G715">
        <v>1</v>
      </c>
      <c r="H715">
        <v>5</v>
      </c>
      <c r="I715" s="10">
        <v>44427</v>
      </c>
      <c r="J715">
        <v>1</v>
      </c>
      <c r="K715">
        <v>1</v>
      </c>
      <c r="L715">
        <v>1</v>
      </c>
      <c r="M715">
        <v>3830</v>
      </c>
      <c r="N715">
        <v>2</v>
      </c>
      <c r="O715" s="10">
        <v>44141</v>
      </c>
      <c r="P715">
        <v>1</v>
      </c>
      <c r="Q715">
        <v>40.857142857142854</v>
      </c>
      <c r="R715">
        <v>2</v>
      </c>
      <c r="S715">
        <v>65.7</v>
      </c>
      <c r="T715">
        <v>164</v>
      </c>
      <c r="U715">
        <v>80</v>
      </c>
      <c r="V715">
        <v>14.299999999999997</v>
      </c>
      <c r="W715">
        <v>2</v>
      </c>
      <c r="X715">
        <v>24.427424152290307</v>
      </c>
      <c r="Y715">
        <v>29.744199881023206</v>
      </c>
      <c r="Z715">
        <v>5.3167757287328996</v>
      </c>
      <c r="AA715">
        <v>2</v>
      </c>
      <c r="AB715">
        <v>3</v>
      </c>
      <c r="AC715" t="s">
        <v>33</v>
      </c>
      <c r="AD715">
        <v>3</v>
      </c>
      <c r="AE715">
        <v>0</v>
      </c>
      <c r="AG715">
        <v>5</v>
      </c>
      <c r="AH715">
        <v>1</v>
      </c>
      <c r="AI715">
        <v>4</v>
      </c>
      <c r="AJ715">
        <v>1</v>
      </c>
      <c r="AK715">
        <v>7</v>
      </c>
      <c r="AL715">
        <v>1</v>
      </c>
      <c r="AM715">
        <f>AJ715*AK715*AL715/7</f>
        <v>1</v>
      </c>
      <c r="AN715" t="s">
        <v>43</v>
      </c>
      <c r="AO715">
        <v>0</v>
      </c>
      <c r="AV715">
        <f>AU715+AM715</f>
        <v>1</v>
      </c>
      <c r="AX715">
        <v>0</v>
      </c>
      <c r="BE715">
        <f>AM715+AU715+BD715</f>
        <v>1</v>
      </c>
      <c r="BG715">
        <v>0</v>
      </c>
      <c r="BJ715" t="s">
        <v>28</v>
      </c>
      <c r="BK715">
        <v>3</v>
      </c>
      <c r="BL715">
        <v>1</v>
      </c>
      <c r="BM715">
        <v>1</v>
      </c>
      <c r="BN715" t="s">
        <v>55</v>
      </c>
      <c r="BO715">
        <v>2</v>
      </c>
      <c r="BP715">
        <v>134</v>
      </c>
      <c r="BQ715">
        <v>0.1</v>
      </c>
      <c r="BR715">
        <v>2</v>
      </c>
      <c r="BS715">
        <v>0.2</v>
      </c>
      <c r="BT715">
        <f>BS715+BD715+AU715+AM715</f>
        <v>1.2</v>
      </c>
      <c r="BU715">
        <v>1</v>
      </c>
      <c r="BV715">
        <v>1</v>
      </c>
      <c r="BW715">
        <v>146.5</v>
      </c>
      <c r="BX715">
        <f>BW715/7</f>
        <v>20.928571428571427</v>
      </c>
      <c r="BY715">
        <f>0.77*BX715</f>
        <v>16.114999999999998</v>
      </c>
      <c r="BZ715">
        <f t="shared" si="11"/>
        <v>17.314999999999998</v>
      </c>
    </row>
    <row r="716" spans="1:78">
      <c r="A716" s="1">
        <v>45214.681575740746</v>
      </c>
      <c r="C716">
        <v>715</v>
      </c>
      <c r="D716" s="10">
        <v>36379</v>
      </c>
      <c r="E716">
        <v>24</v>
      </c>
      <c r="F716">
        <v>1</v>
      </c>
      <c r="G716">
        <v>8</v>
      </c>
      <c r="H716">
        <v>3</v>
      </c>
      <c r="I716" s="10">
        <v>43850</v>
      </c>
      <c r="J716">
        <v>1</v>
      </c>
      <c r="K716">
        <v>1</v>
      </c>
      <c r="L716">
        <v>2</v>
      </c>
      <c r="M716">
        <v>3330</v>
      </c>
      <c r="N716">
        <v>2</v>
      </c>
      <c r="O716" s="10">
        <v>43570</v>
      </c>
      <c r="P716">
        <v>0</v>
      </c>
      <c r="Q716">
        <v>40</v>
      </c>
      <c r="R716">
        <v>2</v>
      </c>
      <c r="S716">
        <v>62</v>
      </c>
      <c r="T716">
        <v>150</v>
      </c>
      <c r="U716">
        <v>70</v>
      </c>
      <c r="V716">
        <v>8</v>
      </c>
      <c r="W716">
        <v>2</v>
      </c>
      <c r="X716">
        <v>27.555555555555557</v>
      </c>
      <c r="Y716">
        <v>31.111111111111111</v>
      </c>
      <c r="Z716">
        <v>3.5555555555555536</v>
      </c>
      <c r="AA716">
        <v>3</v>
      </c>
      <c r="AB716">
        <v>4</v>
      </c>
      <c r="AC716" t="s">
        <v>33</v>
      </c>
      <c r="AD716">
        <v>3</v>
      </c>
      <c r="AE716">
        <v>0</v>
      </c>
      <c r="AG716">
        <v>5</v>
      </c>
      <c r="AH716">
        <v>1</v>
      </c>
      <c r="AI716">
        <v>13</v>
      </c>
      <c r="AJ716">
        <v>1</v>
      </c>
      <c r="AK716">
        <v>7</v>
      </c>
      <c r="AL716">
        <v>1</v>
      </c>
      <c r="AM716">
        <f>AJ716*AK716*AL716/7</f>
        <v>1</v>
      </c>
      <c r="AN716" t="s">
        <v>79</v>
      </c>
      <c r="AO716">
        <v>0</v>
      </c>
      <c r="AV716">
        <f>AU716+AM716</f>
        <v>1</v>
      </c>
      <c r="AX716">
        <v>0</v>
      </c>
      <c r="BE716">
        <f>AM716+AU716+BD716</f>
        <v>1</v>
      </c>
      <c r="BG716">
        <v>0</v>
      </c>
      <c r="BJ716" t="s">
        <v>49</v>
      </c>
      <c r="BK716">
        <v>5</v>
      </c>
      <c r="BL716">
        <v>1</v>
      </c>
      <c r="BM716">
        <v>1</v>
      </c>
      <c r="BN716" t="s">
        <v>30</v>
      </c>
      <c r="BO716">
        <v>1</v>
      </c>
      <c r="BP716">
        <v>168</v>
      </c>
      <c r="BQ716">
        <v>0.13</v>
      </c>
      <c r="BR716">
        <v>2</v>
      </c>
      <c r="BS716">
        <v>0.26</v>
      </c>
      <c r="BT716">
        <f>BS716+BD716+AU716+AM716</f>
        <v>1.26</v>
      </c>
      <c r="BU716">
        <v>1</v>
      </c>
      <c r="BV716">
        <v>4</v>
      </c>
      <c r="BW716">
        <v>586</v>
      </c>
      <c r="BX716">
        <f>BW716/7</f>
        <v>83.714285714285708</v>
      </c>
      <c r="BY716">
        <f>0.77*BX716</f>
        <v>64.459999999999994</v>
      </c>
      <c r="BZ716">
        <f t="shared" si="11"/>
        <v>65.72</v>
      </c>
    </row>
    <row r="717" spans="1:78">
      <c r="A717" s="1">
        <v>45214.683481365741</v>
      </c>
      <c r="C717">
        <v>716</v>
      </c>
      <c r="D717" s="10">
        <v>32043</v>
      </c>
      <c r="E717">
        <v>36</v>
      </c>
      <c r="F717">
        <v>1</v>
      </c>
      <c r="G717">
        <v>2</v>
      </c>
      <c r="H717">
        <v>4</v>
      </c>
      <c r="I717" s="10">
        <v>44659</v>
      </c>
      <c r="J717">
        <v>2</v>
      </c>
      <c r="K717">
        <v>0</v>
      </c>
      <c r="L717">
        <v>1</v>
      </c>
      <c r="M717">
        <v>3500</v>
      </c>
      <c r="N717">
        <v>2</v>
      </c>
      <c r="O717" s="10">
        <v>44386</v>
      </c>
      <c r="P717">
        <v>1</v>
      </c>
      <c r="Q717">
        <v>39</v>
      </c>
      <c r="R717">
        <v>2</v>
      </c>
      <c r="S717">
        <v>70</v>
      </c>
      <c r="T717">
        <v>165</v>
      </c>
      <c r="U717">
        <v>84</v>
      </c>
      <c r="V717">
        <v>14</v>
      </c>
      <c r="W717">
        <v>3</v>
      </c>
      <c r="X717">
        <v>25.711662075298442</v>
      </c>
      <c r="Y717">
        <v>30.853994490358129</v>
      </c>
      <c r="Z717">
        <v>5.1423324150596876</v>
      </c>
      <c r="AA717">
        <v>3</v>
      </c>
      <c r="AB717">
        <v>4</v>
      </c>
      <c r="AC717" t="s">
        <v>33</v>
      </c>
      <c r="AD717">
        <v>3</v>
      </c>
      <c r="AE717">
        <v>0</v>
      </c>
      <c r="AG717">
        <v>5</v>
      </c>
      <c r="AH717">
        <v>1</v>
      </c>
      <c r="AI717">
        <v>2</v>
      </c>
      <c r="AJ717">
        <v>5</v>
      </c>
      <c r="AK717">
        <v>7</v>
      </c>
      <c r="AL717">
        <v>1</v>
      </c>
      <c r="AM717">
        <f>AJ717*AK717*AL717/7</f>
        <v>5</v>
      </c>
      <c r="AN717" t="s">
        <v>57</v>
      </c>
      <c r="AO717">
        <v>0</v>
      </c>
      <c r="AV717">
        <f>AU717+AM717</f>
        <v>5</v>
      </c>
      <c r="AX717">
        <v>0</v>
      </c>
      <c r="BE717">
        <f>AM717+AU717+BD717</f>
        <v>5</v>
      </c>
      <c r="BG717">
        <v>0</v>
      </c>
      <c r="BJ717" t="s">
        <v>28</v>
      </c>
      <c r="BK717">
        <v>3</v>
      </c>
      <c r="BL717">
        <v>3</v>
      </c>
      <c r="BM717">
        <v>1</v>
      </c>
      <c r="BN717" t="s">
        <v>30</v>
      </c>
      <c r="BO717">
        <v>1</v>
      </c>
      <c r="BP717">
        <v>252</v>
      </c>
      <c r="BQ717">
        <v>0.13</v>
      </c>
      <c r="BR717">
        <v>3</v>
      </c>
      <c r="BS717">
        <v>0.39</v>
      </c>
      <c r="BT717">
        <f>BS717+BD717+AU717+AM717</f>
        <v>5.39</v>
      </c>
      <c r="BU717">
        <v>1</v>
      </c>
      <c r="BV717">
        <v>3</v>
      </c>
      <c r="BW717">
        <v>439.5</v>
      </c>
      <c r="BX717">
        <f>BW717/7</f>
        <v>62.785714285714285</v>
      </c>
      <c r="BY717">
        <f>0.77*BX717</f>
        <v>48.344999999999999</v>
      </c>
      <c r="BZ717">
        <f t="shared" si="11"/>
        <v>53.734999999999999</v>
      </c>
    </row>
    <row r="718" spans="1:78">
      <c r="A718" s="1">
        <v>45214.684952337964</v>
      </c>
      <c r="B718" t="s">
        <v>865</v>
      </c>
      <c r="C718">
        <v>717</v>
      </c>
      <c r="D718" s="10">
        <v>32341</v>
      </c>
      <c r="E718">
        <v>35</v>
      </c>
      <c r="F718">
        <v>1</v>
      </c>
      <c r="G718">
        <v>13</v>
      </c>
      <c r="H718">
        <v>3</v>
      </c>
      <c r="I718" s="10">
        <v>43394</v>
      </c>
      <c r="J718">
        <v>2</v>
      </c>
      <c r="K718">
        <v>0</v>
      </c>
      <c r="L718">
        <v>2</v>
      </c>
      <c r="M718">
        <v>2210</v>
      </c>
      <c r="N718">
        <v>1</v>
      </c>
      <c r="O718" s="10">
        <v>43156</v>
      </c>
      <c r="P718">
        <v>0</v>
      </c>
      <c r="Q718">
        <v>34</v>
      </c>
      <c r="R718">
        <v>3</v>
      </c>
      <c r="S718">
        <v>44</v>
      </c>
      <c r="T718">
        <v>149</v>
      </c>
      <c r="U718">
        <v>52</v>
      </c>
      <c r="V718">
        <v>8</v>
      </c>
      <c r="W718">
        <v>1</v>
      </c>
      <c r="X718">
        <v>19.818927075356967</v>
      </c>
      <c r="Y718">
        <v>23.422368361785505</v>
      </c>
      <c r="Z718">
        <v>3.6034412864285379</v>
      </c>
      <c r="AA718">
        <v>2</v>
      </c>
      <c r="AB718">
        <v>2</v>
      </c>
      <c r="AC718" t="s">
        <v>50</v>
      </c>
      <c r="AD718">
        <v>2</v>
      </c>
      <c r="AE718">
        <v>0</v>
      </c>
      <c r="AG718">
        <v>5</v>
      </c>
      <c r="AH718">
        <v>1</v>
      </c>
      <c r="AI718">
        <v>13</v>
      </c>
      <c r="AJ718">
        <v>1</v>
      </c>
      <c r="AK718">
        <v>7</v>
      </c>
      <c r="AL718">
        <v>1</v>
      </c>
      <c r="AM718">
        <f>AJ718*AK718*AL718/7</f>
        <v>1</v>
      </c>
      <c r="AN718" t="s">
        <v>79</v>
      </c>
      <c r="AO718">
        <v>0</v>
      </c>
      <c r="AV718">
        <f>AU718+AM718</f>
        <v>1</v>
      </c>
      <c r="AW718" t="s">
        <v>632</v>
      </c>
      <c r="AX718">
        <v>1</v>
      </c>
      <c r="AY718" t="s">
        <v>632</v>
      </c>
      <c r="AZ718">
        <v>16</v>
      </c>
      <c r="BA718" t="s">
        <v>258</v>
      </c>
      <c r="BB718">
        <v>7</v>
      </c>
      <c r="BC718">
        <v>1</v>
      </c>
      <c r="BE718">
        <f>AM718+AU718+BD718</f>
        <v>1</v>
      </c>
      <c r="BF718" t="s">
        <v>632</v>
      </c>
      <c r="BG718" t="s">
        <v>258</v>
      </c>
      <c r="BH718">
        <v>7</v>
      </c>
      <c r="BI718">
        <v>1</v>
      </c>
      <c r="BJ718" t="s">
        <v>42</v>
      </c>
      <c r="BK718">
        <v>6</v>
      </c>
      <c r="BL718">
        <v>1</v>
      </c>
      <c r="BM718">
        <v>1</v>
      </c>
      <c r="BN718" t="s">
        <v>30</v>
      </c>
      <c r="BO718">
        <v>1</v>
      </c>
      <c r="BP718">
        <v>168</v>
      </c>
      <c r="BQ718">
        <v>0.13</v>
      </c>
      <c r="BR718">
        <v>2</v>
      </c>
      <c r="BS718">
        <v>0.26</v>
      </c>
      <c r="BT718">
        <f>BS718+BD718+AU718+AM718</f>
        <v>1.26</v>
      </c>
      <c r="BU718">
        <v>1</v>
      </c>
      <c r="BV718">
        <v>1</v>
      </c>
      <c r="BW718">
        <v>146.5</v>
      </c>
      <c r="BX718">
        <f>BW718/7</f>
        <v>20.928571428571427</v>
      </c>
      <c r="BY718">
        <f>0.77*BX718</f>
        <v>16.114999999999998</v>
      </c>
      <c r="BZ718">
        <f t="shared" si="11"/>
        <v>17.375</v>
      </c>
    </row>
    <row r="719" spans="1:78">
      <c r="A719" s="1">
        <v>45214.704255694443</v>
      </c>
      <c r="C719">
        <v>718</v>
      </c>
      <c r="D719" s="10">
        <v>34030</v>
      </c>
      <c r="E719">
        <v>30</v>
      </c>
      <c r="F719">
        <v>1</v>
      </c>
      <c r="G719">
        <v>2</v>
      </c>
      <c r="H719">
        <v>4</v>
      </c>
      <c r="I719" s="10">
        <v>44401</v>
      </c>
      <c r="J719">
        <v>1</v>
      </c>
      <c r="K719">
        <v>1</v>
      </c>
      <c r="L719">
        <v>1</v>
      </c>
      <c r="M719">
        <v>4000</v>
      </c>
      <c r="N719">
        <v>2</v>
      </c>
      <c r="O719" s="10">
        <v>44128</v>
      </c>
      <c r="P719">
        <v>1</v>
      </c>
      <c r="Q719">
        <v>39</v>
      </c>
      <c r="R719">
        <v>2</v>
      </c>
      <c r="S719">
        <v>88</v>
      </c>
      <c r="T719">
        <v>156</v>
      </c>
      <c r="U719">
        <v>91</v>
      </c>
      <c r="V719">
        <v>3</v>
      </c>
      <c r="W719">
        <v>1</v>
      </c>
      <c r="X719">
        <v>36.160420775805385</v>
      </c>
      <c r="Y719">
        <v>37.393162393162392</v>
      </c>
      <c r="Z719">
        <v>1.2327416173570072</v>
      </c>
      <c r="AA719">
        <v>4</v>
      </c>
      <c r="AB719">
        <v>4</v>
      </c>
      <c r="AC719" t="s">
        <v>33</v>
      </c>
      <c r="AD719">
        <v>3</v>
      </c>
      <c r="AE719">
        <v>0</v>
      </c>
      <c r="AG719">
        <v>5</v>
      </c>
      <c r="AH719">
        <v>1</v>
      </c>
      <c r="AI719">
        <v>13</v>
      </c>
      <c r="AJ719">
        <v>1</v>
      </c>
      <c r="AK719">
        <v>2</v>
      </c>
      <c r="AL719">
        <v>1</v>
      </c>
      <c r="AM719">
        <f>AJ719*AK719*AL719/7</f>
        <v>0.2857142857142857</v>
      </c>
      <c r="AN719" t="s">
        <v>79</v>
      </c>
      <c r="AO719">
        <v>0</v>
      </c>
      <c r="AV719">
        <f>AU719+AM719</f>
        <v>0.2857142857142857</v>
      </c>
      <c r="AX719">
        <v>0</v>
      </c>
      <c r="BE719">
        <f>AM719+AU719+BD719</f>
        <v>0.2857142857142857</v>
      </c>
      <c r="BG719">
        <v>0</v>
      </c>
      <c r="BJ719" t="s">
        <v>49</v>
      </c>
      <c r="BK719">
        <v>5</v>
      </c>
      <c r="BL719">
        <v>3</v>
      </c>
      <c r="BM719">
        <v>1</v>
      </c>
      <c r="BN719" t="s">
        <v>55</v>
      </c>
      <c r="BO719">
        <v>2</v>
      </c>
      <c r="BP719">
        <v>67</v>
      </c>
      <c r="BQ719">
        <v>0.1</v>
      </c>
      <c r="BR719">
        <v>1</v>
      </c>
      <c r="BS719">
        <v>0.1</v>
      </c>
      <c r="BT719">
        <f>BS719+BD719+AU719+AM719</f>
        <v>0.38571428571428568</v>
      </c>
      <c r="BU719">
        <v>1</v>
      </c>
      <c r="BV719">
        <v>1</v>
      </c>
      <c r="BW719">
        <v>146.5</v>
      </c>
      <c r="BX719">
        <f>BW719/7</f>
        <v>20.928571428571427</v>
      </c>
      <c r="BY719">
        <f>0.77*BX719</f>
        <v>16.114999999999998</v>
      </c>
      <c r="BZ719">
        <f t="shared" si="11"/>
        <v>16.500714285714285</v>
      </c>
    </row>
    <row r="720" spans="1:78">
      <c r="A720" s="1">
        <v>45214.706258240738</v>
      </c>
      <c r="C720">
        <v>719</v>
      </c>
      <c r="D720" s="10">
        <v>32589</v>
      </c>
      <c r="E720">
        <v>34</v>
      </c>
      <c r="F720">
        <v>1</v>
      </c>
      <c r="G720">
        <v>1</v>
      </c>
      <c r="H720">
        <v>4</v>
      </c>
      <c r="I720" s="10">
        <v>43336</v>
      </c>
      <c r="J720">
        <v>1</v>
      </c>
      <c r="K720">
        <v>1</v>
      </c>
      <c r="L720">
        <v>2</v>
      </c>
      <c r="M720">
        <v>3100</v>
      </c>
      <c r="N720">
        <v>2</v>
      </c>
      <c r="O720" s="10">
        <v>43070</v>
      </c>
      <c r="P720">
        <v>0</v>
      </c>
      <c r="Q720">
        <v>38</v>
      </c>
      <c r="R720">
        <v>2</v>
      </c>
      <c r="S720">
        <v>97</v>
      </c>
      <c r="T720">
        <v>165</v>
      </c>
      <c r="U720">
        <v>107</v>
      </c>
      <c r="V720">
        <v>10</v>
      </c>
      <c r="W720">
        <v>2</v>
      </c>
      <c r="X720">
        <v>35.629017447199267</v>
      </c>
      <c r="Y720">
        <v>39.302112029384759</v>
      </c>
      <c r="Z720">
        <v>3.6730945821854917</v>
      </c>
      <c r="AA720">
        <v>4</v>
      </c>
      <c r="AB720">
        <v>4</v>
      </c>
      <c r="AC720" t="s">
        <v>33</v>
      </c>
      <c r="AD720">
        <v>3</v>
      </c>
      <c r="AE720">
        <v>0</v>
      </c>
      <c r="AG720">
        <v>5</v>
      </c>
      <c r="AH720">
        <v>1</v>
      </c>
      <c r="AI720">
        <v>13</v>
      </c>
      <c r="AJ720">
        <v>1</v>
      </c>
      <c r="AK720">
        <v>7</v>
      </c>
      <c r="AL720">
        <v>1</v>
      </c>
      <c r="AM720">
        <f>AJ720*AK720*AL720/7</f>
        <v>1</v>
      </c>
      <c r="AN720" t="s">
        <v>79</v>
      </c>
      <c r="AO720">
        <v>0</v>
      </c>
      <c r="AV720">
        <f>AU720+AM720</f>
        <v>1</v>
      </c>
      <c r="AW720" t="s">
        <v>455</v>
      </c>
      <c r="AX720">
        <v>0</v>
      </c>
      <c r="BE720">
        <f>AM720+AU720+BD720</f>
        <v>1</v>
      </c>
      <c r="BF720" t="s">
        <v>455</v>
      </c>
      <c r="BG720">
        <v>1</v>
      </c>
      <c r="BH720">
        <v>7</v>
      </c>
      <c r="BI720">
        <v>1</v>
      </c>
      <c r="BJ720" t="s">
        <v>49</v>
      </c>
      <c r="BK720">
        <v>5</v>
      </c>
      <c r="BL720">
        <v>1</v>
      </c>
      <c r="BM720">
        <v>1</v>
      </c>
      <c r="BN720" t="s">
        <v>30</v>
      </c>
      <c r="BO720">
        <v>1</v>
      </c>
      <c r="BP720">
        <v>168</v>
      </c>
      <c r="BQ720">
        <v>0.13</v>
      </c>
      <c r="BR720">
        <v>2</v>
      </c>
      <c r="BS720">
        <v>0.26</v>
      </c>
      <c r="BT720">
        <f>BS720+BD720+AU720+AM720</f>
        <v>1.26</v>
      </c>
      <c r="BU720">
        <v>1</v>
      </c>
      <c r="BV720">
        <v>4</v>
      </c>
      <c r="BW720">
        <v>586</v>
      </c>
      <c r="BX720">
        <f>BW720/7</f>
        <v>83.714285714285708</v>
      </c>
      <c r="BY720">
        <f>0.77*BX720</f>
        <v>64.459999999999994</v>
      </c>
      <c r="BZ720">
        <f t="shared" si="11"/>
        <v>65.72</v>
      </c>
    </row>
    <row r="721" spans="1:78">
      <c r="A721" s="1">
        <v>45214.747402824076</v>
      </c>
      <c r="C721">
        <v>720</v>
      </c>
      <c r="D721" s="10">
        <v>34344</v>
      </c>
      <c r="E721">
        <v>29</v>
      </c>
      <c r="F721">
        <v>1</v>
      </c>
      <c r="G721">
        <v>1</v>
      </c>
      <c r="H721">
        <v>4</v>
      </c>
      <c r="I721" s="10">
        <v>42984</v>
      </c>
      <c r="J721">
        <v>1</v>
      </c>
      <c r="K721">
        <v>1</v>
      </c>
      <c r="L721">
        <v>1</v>
      </c>
      <c r="M721">
        <v>3235</v>
      </c>
      <c r="N721">
        <v>2</v>
      </c>
      <c r="O721" s="10">
        <v>42711</v>
      </c>
      <c r="P721">
        <v>0</v>
      </c>
      <c r="Q721">
        <v>39</v>
      </c>
      <c r="R721">
        <v>2</v>
      </c>
      <c r="S721">
        <v>50</v>
      </c>
      <c r="T721">
        <v>155</v>
      </c>
      <c r="U721">
        <v>55</v>
      </c>
      <c r="V721">
        <v>5</v>
      </c>
      <c r="W721">
        <v>1</v>
      </c>
      <c r="X721">
        <v>20.811654526534856</v>
      </c>
      <c r="Y721">
        <v>22.892819979188342</v>
      </c>
      <c r="Z721">
        <v>2.0811654526534866</v>
      </c>
      <c r="AA721">
        <v>2</v>
      </c>
      <c r="AB721">
        <v>2</v>
      </c>
      <c r="AC721" t="s">
        <v>33</v>
      </c>
      <c r="AD721">
        <v>3</v>
      </c>
      <c r="AE721">
        <v>0</v>
      </c>
      <c r="AG721">
        <v>5</v>
      </c>
      <c r="AH721">
        <v>1</v>
      </c>
      <c r="AI721">
        <v>1</v>
      </c>
      <c r="AJ721">
        <v>1</v>
      </c>
      <c r="AK721">
        <v>7</v>
      </c>
      <c r="AL721">
        <v>1</v>
      </c>
      <c r="AM721">
        <f>AJ721*AK721*AL721/7</f>
        <v>1</v>
      </c>
      <c r="AN721" t="s">
        <v>56</v>
      </c>
      <c r="AO721">
        <v>0</v>
      </c>
      <c r="AV721">
        <f>AU721+AM721</f>
        <v>1</v>
      </c>
      <c r="AX721">
        <v>0</v>
      </c>
      <c r="BE721">
        <f>AM721+AU721+BD721</f>
        <v>1</v>
      </c>
      <c r="BG721">
        <v>0</v>
      </c>
      <c r="BJ721" t="s">
        <v>42</v>
      </c>
      <c r="BK721">
        <v>6</v>
      </c>
      <c r="BL721">
        <v>1</v>
      </c>
      <c r="BM721">
        <v>1</v>
      </c>
      <c r="BN721" t="s">
        <v>30</v>
      </c>
      <c r="BO721">
        <v>1</v>
      </c>
      <c r="BP721">
        <v>42</v>
      </c>
      <c r="BQ721">
        <v>0.13</v>
      </c>
      <c r="BR721">
        <v>0.5</v>
      </c>
      <c r="BS721">
        <v>6.5000000000000002E-2</v>
      </c>
      <c r="BT721">
        <f>BS721+BD721+AU721+AM721</f>
        <v>1.0649999999999999</v>
      </c>
      <c r="BU721">
        <v>1</v>
      </c>
      <c r="BV721">
        <v>0.5</v>
      </c>
      <c r="BW721">
        <v>73.25</v>
      </c>
      <c r="BX721">
        <f>BW721/7</f>
        <v>10.464285714285714</v>
      </c>
      <c r="BY721">
        <f>0.77*BX721</f>
        <v>8.0574999999999992</v>
      </c>
      <c r="BZ721">
        <f t="shared" si="11"/>
        <v>9.1224999999999987</v>
      </c>
    </row>
    <row r="722" spans="1:78">
      <c r="A722" s="1">
        <v>45214.750198958332</v>
      </c>
      <c r="C722">
        <v>721</v>
      </c>
      <c r="D722" s="10">
        <v>32314</v>
      </c>
      <c r="E722">
        <v>35</v>
      </c>
      <c r="F722">
        <v>1</v>
      </c>
      <c r="G722">
        <v>10</v>
      </c>
      <c r="H722">
        <v>5</v>
      </c>
      <c r="I722" s="10">
        <v>43123</v>
      </c>
      <c r="J722">
        <v>1</v>
      </c>
      <c r="K722">
        <v>1</v>
      </c>
      <c r="L722">
        <v>2</v>
      </c>
      <c r="M722">
        <v>2900</v>
      </c>
      <c r="N722">
        <v>2</v>
      </c>
      <c r="O722" s="10">
        <v>42857</v>
      </c>
      <c r="P722">
        <v>0</v>
      </c>
      <c r="Q722">
        <v>38</v>
      </c>
      <c r="R722">
        <v>2</v>
      </c>
      <c r="S722">
        <v>89</v>
      </c>
      <c r="T722">
        <v>171</v>
      </c>
      <c r="U722">
        <v>115</v>
      </c>
      <c r="V722">
        <v>26</v>
      </c>
      <c r="W722">
        <v>3</v>
      </c>
      <c r="X722">
        <v>30.436715570602924</v>
      </c>
      <c r="Y722">
        <v>39.328340344037485</v>
      </c>
      <c r="Z722">
        <v>8.891624773434561</v>
      </c>
      <c r="AA722">
        <v>4</v>
      </c>
      <c r="AB722">
        <v>4</v>
      </c>
      <c r="AC722" t="s">
        <v>25</v>
      </c>
      <c r="AD722">
        <v>1</v>
      </c>
      <c r="AE722">
        <v>0</v>
      </c>
      <c r="AG722">
        <v>5</v>
      </c>
      <c r="AH722">
        <v>1</v>
      </c>
      <c r="AI722">
        <v>1</v>
      </c>
      <c r="AJ722">
        <v>1</v>
      </c>
      <c r="AK722">
        <v>7</v>
      </c>
      <c r="AL722">
        <v>1</v>
      </c>
      <c r="AM722">
        <f>AJ722*AK722*AL722/7</f>
        <v>1</v>
      </c>
      <c r="AN722" t="s">
        <v>56</v>
      </c>
      <c r="AO722">
        <v>0</v>
      </c>
      <c r="AV722">
        <f>AU722+AM722</f>
        <v>1</v>
      </c>
      <c r="AW722" t="s">
        <v>61</v>
      </c>
      <c r="AX722">
        <v>1</v>
      </c>
      <c r="AY722" t="s">
        <v>61</v>
      </c>
      <c r="AZ722">
        <v>2</v>
      </c>
      <c r="BA722">
        <v>0.27</v>
      </c>
      <c r="BB722">
        <v>7</v>
      </c>
      <c r="BC722">
        <v>1</v>
      </c>
      <c r="BD722">
        <f>BA722*BB722*1/7</f>
        <v>0.27</v>
      </c>
      <c r="BE722">
        <f>AM722+AU722+BD722</f>
        <v>1.27</v>
      </c>
      <c r="BF722" t="s">
        <v>61</v>
      </c>
      <c r="BG722">
        <v>0</v>
      </c>
      <c r="BH722">
        <v>7</v>
      </c>
      <c r="BI722">
        <v>1</v>
      </c>
      <c r="BJ722" t="s">
        <v>28</v>
      </c>
      <c r="BK722">
        <v>3</v>
      </c>
      <c r="BL722">
        <v>3</v>
      </c>
      <c r="BM722">
        <v>1</v>
      </c>
      <c r="BN722" t="s">
        <v>30</v>
      </c>
      <c r="BO722">
        <v>1</v>
      </c>
      <c r="BP722">
        <v>168</v>
      </c>
      <c r="BQ722">
        <v>0.13</v>
      </c>
      <c r="BR722">
        <v>2</v>
      </c>
      <c r="BS722">
        <v>0.26</v>
      </c>
      <c r="BT722">
        <f>BS722+BD722+AU722+AM722</f>
        <v>1.53</v>
      </c>
      <c r="BU722">
        <v>1</v>
      </c>
      <c r="BV722">
        <v>3</v>
      </c>
      <c r="BW722">
        <v>439.5</v>
      </c>
      <c r="BX722">
        <f>BW722/7</f>
        <v>62.785714285714285</v>
      </c>
      <c r="BY722">
        <f>0.77*BX722</f>
        <v>48.344999999999999</v>
      </c>
      <c r="BZ722">
        <f t="shared" si="11"/>
        <v>49.875</v>
      </c>
    </row>
    <row r="723" spans="1:78">
      <c r="A723" s="1">
        <v>45214.750664895837</v>
      </c>
      <c r="C723">
        <v>722</v>
      </c>
      <c r="D723" s="10">
        <v>35854</v>
      </c>
      <c r="E723">
        <v>25</v>
      </c>
      <c r="F723">
        <v>1</v>
      </c>
      <c r="G723">
        <v>2</v>
      </c>
      <c r="H723">
        <v>4</v>
      </c>
      <c r="I723" s="10">
        <v>43223</v>
      </c>
      <c r="J723">
        <v>3</v>
      </c>
      <c r="K723">
        <v>0</v>
      </c>
      <c r="L723">
        <v>2</v>
      </c>
      <c r="M723">
        <v>3670</v>
      </c>
      <c r="N723">
        <v>2</v>
      </c>
      <c r="O723" s="10">
        <v>42950</v>
      </c>
      <c r="P723">
        <v>0</v>
      </c>
      <c r="Q723">
        <v>39</v>
      </c>
      <c r="R723">
        <v>2</v>
      </c>
      <c r="S723">
        <v>75.8</v>
      </c>
      <c r="T723">
        <v>155</v>
      </c>
      <c r="U723">
        <v>79.599999999999994</v>
      </c>
      <c r="V723">
        <v>3.7999999999999972</v>
      </c>
      <c r="W723">
        <v>1</v>
      </c>
      <c r="X723">
        <v>31.550468262226843</v>
      </c>
      <c r="Y723">
        <v>33.132154006243489</v>
      </c>
      <c r="Z723">
        <v>1.5816857440166459</v>
      </c>
      <c r="AA723">
        <v>4</v>
      </c>
      <c r="AB723">
        <v>4</v>
      </c>
      <c r="AC723" t="s">
        <v>50</v>
      </c>
      <c r="AD723">
        <v>2</v>
      </c>
      <c r="AE723">
        <v>0</v>
      </c>
      <c r="AG723">
        <v>5</v>
      </c>
      <c r="AH723">
        <v>0</v>
      </c>
      <c r="AI723">
        <v>0</v>
      </c>
      <c r="AO723">
        <v>0</v>
      </c>
      <c r="AW723" t="s">
        <v>58</v>
      </c>
      <c r="AX723">
        <v>1</v>
      </c>
      <c r="AY723" t="s">
        <v>58</v>
      </c>
      <c r="AZ723">
        <v>1</v>
      </c>
      <c r="BA723">
        <v>0.8</v>
      </c>
      <c r="BB723">
        <v>7</v>
      </c>
      <c r="BC723">
        <v>1</v>
      </c>
      <c r="BD723">
        <f>BA723*BB723*1/7</f>
        <v>0.8</v>
      </c>
      <c r="BE723">
        <f>AM723+AU723+BD723</f>
        <v>0.8</v>
      </c>
      <c r="BF723" t="s">
        <v>58</v>
      </c>
      <c r="BG723">
        <v>0</v>
      </c>
      <c r="BH723">
        <v>7</v>
      </c>
      <c r="BI723">
        <v>1</v>
      </c>
      <c r="BJ723" t="s">
        <v>42</v>
      </c>
      <c r="BK723">
        <v>6</v>
      </c>
      <c r="BL723">
        <v>1</v>
      </c>
      <c r="BM723">
        <v>1</v>
      </c>
      <c r="BN723" t="s">
        <v>30</v>
      </c>
      <c r="BO723">
        <v>1</v>
      </c>
      <c r="BP723">
        <v>168</v>
      </c>
      <c r="BQ723">
        <v>0.13</v>
      </c>
      <c r="BR723">
        <v>2</v>
      </c>
      <c r="BS723">
        <v>0.26</v>
      </c>
      <c r="BT723">
        <f>BS723+BD723+AU723+AM723</f>
        <v>1.06</v>
      </c>
      <c r="BU723">
        <v>1</v>
      </c>
      <c r="BV723">
        <v>2</v>
      </c>
      <c r="BW723">
        <v>293</v>
      </c>
      <c r="BX723">
        <f>BW723/7</f>
        <v>41.857142857142854</v>
      </c>
      <c r="BY723">
        <f>0.77*BX723</f>
        <v>32.229999999999997</v>
      </c>
      <c r="BZ723">
        <f t="shared" si="11"/>
        <v>33.29</v>
      </c>
    </row>
    <row r="724" spans="1:78">
      <c r="A724" s="1">
        <v>45214.756133946757</v>
      </c>
      <c r="C724">
        <v>723</v>
      </c>
      <c r="D724" s="10">
        <v>35322</v>
      </c>
      <c r="E724">
        <v>27</v>
      </c>
      <c r="F724">
        <v>1</v>
      </c>
      <c r="G724">
        <v>1</v>
      </c>
      <c r="H724">
        <v>4</v>
      </c>
      <c r="I724" s="10">
        <v>45088</v>
      </c>
      <c r="J724">
        <v>3</v>
      </c>
      <c r="K724">
        <v>0</v>
      </c>
      <c r="L724">
        <v>1</v>
      </c>
      <c r="M724">
        <v>3250</v>
      </c>
      <c r="N724">
        <v>2</v>
      </c>
      <c r="O724" s="10">
        <v>44815</v>
      </c>
      <c r="P724">
        <v>0</v>
      </c>
      <c r="Q724">
        <v>39</v>
      </c>
      <c r="R724">
        <v>2</v>
      </c>
      <c r="S724">
        <v>64</v>
      </c>
      <c r="T724">
        <v>155</v>
      </c>
      <c r="U724">
        <v>74</v>
      </c>
      <c r="V724">
        <v>10</v>
      </c>
      <c r="W724">
        <v>2</v>
      </c>
      <c r="X724">
        <v>26.638917793964616</v>
      </c>
      <c r="Y724">
        <v>30.801248699271589</v>
      </c>
      <c r="Z724">
        <v>4.1623309053069732</v>
      </c>
      <c r="AA724">
        <v>3</v>
      </c>
      <c r="AB724">
        <v>4</v>
      </c>
      <c r="AC724" t="s">
        <v>123</v>
      </c>
      <c r="AD724">
        <v>2</v>
      </c>
      <c r="AE724">
        <v>0</v>
      </c>
      <c r="AG724">
        <v>5</v>
      </c>
      <c r="AH724">
        <v>0</v>
      </c>
      <c r="AI724">
        <v>0</v>
      </c>
      <c r="AN724" t="s">
        <v>41</v>
      </c>
      <c r="AO724">
        <v>0</v>
      </c>
      <c r="AW724" t="s">
        <v>58</v>
      </c>
      <c r="AX724">
        <v>1</v>
      </c>
      <c r="AY724" t="s">
        <v>58</v>
      </c>
      <c r="AZ724">
        <v>1</v>
      </c>
      <c r="BA724">
        <v>0.8</v>
      </c>
      <c r="BB724">
        <v>7</v>
      </c>
      <c r="BC724">
        <v>1</v>
      </c>
      <c r="BD724">
        <f>BA724*BB724*1/7</f>
        <v>0.8</v>
      </c>
      <c r="BE724">
        <f>AM724+AU724+BD724</f>
        <v>0.8</v>
      </c>
      <c r="BF724" t="s">
        <v>58</v>
      </c>
      <c r="BG724">
        <v>0</v>
      </c>
      <c r="BH724">
        <v>7</v>
      </c>
      <c r="BI724">
        <v>1</v>
      </c>
      <c r="BJ724" t="s">
        <v>36</v>
      </c>
      <c r="BK724">
        <v>4</v>
      </c>
      <c r="BL724">
        <v>1</v>
      </c>
      <c r="BM724">
        <v>1</v>
      </c>
      <c r="BN724" t="s">
        <v>30</v>
      </c>
      <c r="BO724">
        <v>1</v>
      </c>
      <c r="BP724">
        <v>168</v>
      </c>
      <c r="BQ724">
        <v>0.13</v>
      </c>
      <c r="BR724">
        <v>2</v>
      </c>
      <c r="BS724">
        <v>0.26</v>
      </c>
      <c r="BT724">
        <f>BS724+BD724+AU724+AM724</f>
        <v>1.06</v>
      </c>
      <c r="BU724">
        <v>1</v>
      </c>
      <c r="BV724">
        <v>1</v>
      </c>
      <c r="BW724">
        <v>146.5</v>
      </c>
      <c r="BX724">
        <f>BW724/7</f>
        <v>20.928571428571427</v>
      </c>
      <c r="BY724">
        <f>0.77*BX724</f>
        <v>16.114999999999998</v>
      </c>
      <c r="BZ724">
        <f t="shared" si="11"/>
        <v>17.174999999999997</v>
      </c>
    </row>
    <row r="725" spans="1:78">
      <c r="A725" s="1">
        <v>45214.857696087958</v>
      </c>
      <c r="C725">
        <v>724</v>
      </c>
      <c r="D725" s="10">
        <v>28701</v>
      </c>
      <c r="E725">
        <v>45</v>
      </c>
      <c r="F725">
        <v>1</v>
      </c>
      <c r="G725">
        <v>10</v>
      </c>
      <c r="H725">
        <v>4</v>
      </c>
      <c r="I725" s="10">
        <v>43224</v>
      </c>
      <c r="J725">
        <v>2</v>
      </c>
      <c r="K725">
        <v>0</v>
      </c>
      <c r="L725">
        <v>2</v>
      </c>
      <c r="M725">
        <v>3490</v>
      </c>
      <c r="N725">
        <v>2</v>
      </c>
      <c r="O725" s="10">
        <v>42958</v>
      </c>
      <c r="P725">
        <v>0</v>
      </c>
      <c r="Q725">
        <v>38</v>
      </c>
      <c r="R725">
        <v>2</v>
      </c>
      <c r="S725">
        <v>64</v>
      </c>
      <c r="T725">
        <v>164</v>
      </c>
      <c r="U725">
        <v>80</v>
      </c>
      <c r="V725">
        <v>16</v>
      </c>
      <c r="W725">
        <v>2</v>
      </c>
      <c r="X725">
        <v>23.795359904818564</v>
      </c>
      <c r="Y725">
        <v>29.744199881023206</v>
      </c>
      <c r="Z725">
        <v>5.948839976204642</v>
      </c>
      <c r="AA725">
        <v>2</v>
      </c>
      <c r="AB725">
        <v>3</v>
      </c>
      <c r="AC725" t="s">
        <v>33</v>
      </c>
      <c r="AD725">
        <v>3</v>
      </c>
      <c r="AE725">
        <v>0</v>
      </c>
      <c r="AG725">
        <v>5</v>
      </c>
      <c r="AH725">
        <v>1</v>
      </c>
      <c r="AI725">
        <v>5</v>
      </c>
      <c r="AJ725">
        <v>5</v>
      </c>
      <c r="AK725">
        <v>7</v>
      </c>
      <c r="AL725">
        <v>1</v>
      </c>
      <c r="AM725">
        <f>AJ725*AK725*AL725/7</f>
        <v>5</v>
      </c>
      <c r="AN725" t="s">
        <v>27</v>
      </c>
      <c r="AO725">
        <v>1</v>
      </c>
      <c r="AP725">
        <v>19</v>
      </c>
      <c r="AQ725" t="s">
        <v>184</v>
      </c>
      <c r="AR725">
        <v>2</v>
      </c>
      <c r="AS725">
        <v>7</v>
      </c>
      <c r="AT725">
        <v>1</v>
      </c>
      <c r="AU725">
        <f>AR725*AS725*AT725/7</f>
        <v>2</v>
      </c>
      <c r="AV725">
        <f>AU725+AM725</f>
        <v>7</v>
      </c>
      <c r="AW725" t="s">
        <v>184</v>
      </c>
      <c r="AX725">
        <v>0</v>
      </c>
      <c r="BE725">
        <f>AM725+AU725+BD725</f>
        <v>7</v>
      </c>
      <c r="BG725">
        <v>0</v>
      </c>
      <c r="BJ725" t="s">
        <v>49</v>
      </c>
      <c r="BK725">
        <v>5</v>
      </c>
      <c r="BL725">
        <v>1</v>
      </c>
      <c r="BM725">
        <v>1</v>
      </c>
      <c r="BN725" t="s">
        <v>30</v>
      </c>
      <c r="BO725">
        <v>1</v>
      </c>
      <c r="BP725">
        <v>84</v>
      </c>
      <c r="BQ725">
        <v>0.13</v>
      </c>
      <c r="BR725">
        <v>1</v>
      </c>
      <c r="BS725">
        <v>0.13</v>
      </c>
      <c r="BT725">
        <f>BS725+BD725+AU725+AM725</f>
        <v>7.13</v>
      </c>
      <c r="BU725">
        <v>1</v>
      </c>
      <c r="BV725">
        <v>1</v>
      </c>
      <c r="BW725">
        <v>146.5</v>
      </c>
      <c r="BX725">
        <f>BW725/7</f>
        <v>20.928571428571427</v>
      </c>
      <c r="BY725">
        <f>0.77*BX725</f>
        <v>16.114999999999998</v>
      </c>
      <c r="BZ725">
        <f t="shared" si="11"/>
        <v>23.244999999999997</v>
      </c>
    </row>
    <row r="726" spans="1:78">
      <c r="A726" s="1">
        <v>45214.861695081017</v>
      </c>
      <c r="B726" t="s">
        <v>865</v>
      </c>
      <c r="C726">
        <v>725</v>
      </c>
      <c r="D726" s="10">
        <v>33702</v>
      </c>
      <c r="E726">
        <v>31</v>
      </c>
      <c r="F726">
        <v>1</v>
      </c>
      <c r="G726">
        <v>1</v>
      </c>
      <c r="H726">
        <v>4</v>
      </c>
      <c r="I726" s="10">
        <v>43896</v>
      </c>
      <c r="J726">
        <v>1</v>
      </c>
      <c r="K726">
        <v>1</v>
      </c>
      <c r="L726">
        <v>2</v>
      </c>
      <c r="M726">
        <v>3492</v>
      </c>
      <c r="N726">
        <v>2</v>
      </c>
      <c r="O726" s="10">
        <v>43609</v>
      </c>
      <c r="P726">
        <v>0</v>
      </c>
      <c r="Q726">
        <v>41</v>
      </c>
      <c r="R726">
        <v>2</v>
      </c>
      <c r="S726">
        <v>65</v>
      </c>
      <c r="T726">
        <v>161</v>
      </c>
      <c r="U726">
        <v>80</v>
      </c>
      <c r="V726">
        <v>15</v>
      </c>
      <c r="W726">
        <v>3</v>
      </c>
      <c r="X726">
        <v>25.076193048107708</v>
      </c>
      <c r="Y726">
        <v>30.863006828440259</v>
      </c>
      <c r="Z726">
        <v>5.786813780332551</v>
      </c>
      <c r="AA726">
        <v>3</v>
      </c>
      <c r="AB726">
        <v>4</v>
      </c>
      <c r="AC726" t="s">
        <v>50</v>
      </c>
      <c r="AD726">
        <v>2</v>
      </c>
      <c r="AE726">
        <v>1</v>
      </c>
      <c r="AF726" t="s">
        <v>95</v>
      </c>
      <c r="AG726" t="e">
        <v>#N/A</v>
      </c>
      <c r="AH726">
        <v>1</v>
      </c>
      <c r="AI726">
        <v>13</v>
      </c>
      <c r="AJ726">
        <v>1</v>
      </c>
      <c r="AK726">
        <v>7</v>
      </c>
      <c r="AL726">
        <v>1</v>
      </c>
      <c r="AM726">
        <f>AJ726*AK726*AL726/7</f>
        <v>1</v>
      </c>
      <c r="AN726" t="s">
        <v>79</v>
      </c>
      <c r="AO726">
        <v>0</v>
      </c>
      <c r="AV726">
        <f>AU726+AM726</f>
        <v>1</v>
      </c>
      <c r="AW726" t="s">
        <v>632</v>
      </c>
      <c r="AX726">
        <v>1</v>
      </c>
      <c r="AY726" t="s">
        <v>632</v>
      </c>
      <c r="AZ726">
        <v>16</v>
      </c>
      <c r="BA726" t="s">
        <v>258</v>
      </c>
      <c r="BB726">
        <v>7</v>
      </c>
      <c r="BC726">
        <v>1</v>
      </c>
      <c r="BE726">
        <f>AM726+AU726+BD726</f>
        <v>1</v>
      </c>
      <c r="BF726" t="s">
        <v>632</v>
      </c>
      <c r="BG726" t="s">
        <v>258</v>
      </c>
      <c r="BH726">
        <v>7</v>
      </c>
      <c r="BI726">
        <v>1</v>
      </c>
      <c r="BJ726" t="s">
        <v>42</v>
      </c>
      <c r="BK726">
        <v>6</v>
      </c>
      <c r="BL726">
        <v>1</v>
      </c>
      <c r="BM726">
        <v>1</v>
      </c>
      <c r="BN726" t="s">
        <v>30</v>
      </c>
      <c r="BO726">
        <v>1</v>
      </c>
      <c r="BP726">
        <v>168</v>
      </c>
      <c r="BQ726">
        <v>0.13</v>
      </c>
      <c r="BR726">
        <v>2</v>
      </c>
      <c r="BS726">
        <v>0.26</v>
      </c>
      <c r="BT726">
        <f>BS726+BD726+AU726+AM726</f>
        <v>1.26</v>
      </c>
      <c r="BU726">
        <v>1</v>
      </c>
      <c r="BV726">
        <v>1</v>
      </c>
      <c r="BW726">
        <v>146.5</v>
      </c>
      <c r="BX726">
        <f>BW726/7</f>
        <v>20.928571428571427</v>
      </c>
      <c r="BY726">
        <f>0.77*BX726</f>
        <v>16.114999999999998</v>
      </c>
      <c r="BZ726">
        <f t="shared" si="11"/>
        <v>17.375</v>
      </c>
    </row>
    <row r="727" spans="1:78">
      <c r="A727" s="1">
        <v>45214.862065937501</v>
      </c>
      <c r="B727" s="9" t="s">
        <v>866</v>
      </c>
      <c r="C727">
        <v>726</v>
      </c>
      <c r="D727" s="10">
        <v>33996</v>
      </c>
      <c r="E727">
        <v>30</v>
      </c>
      <c r="F727">
        <v>1</v>
      </c>
      <c r="G727">
        <v>2</v>
      </c>
      <c r="H727">
        <v>3</v>
      </c>
      <c r="I727" s="10">
        <v>44087</v>
      </c>
      <c r="J727">
        <v>2</v>
      </c>
      <c r="K727">
        <v>0</v>
      </c>
      <c r="L727">
        <v>1</v>
      </c>
      <c r="M727">
        <v>3650</v>
      </c>
      <c r="N727">
        <v>2</v>
      </c>
      <c r="O727" s="10">
        <v>43814</v>
      </c>
      <c r="P727">
        <v>0</v>
      </c>
      <c r="Q727">
        <v>39</v>
      </c>
      <c r="R727">
        <v>2</v>
      </c>
      <c r="S727">
        <v>55</v>
      </c>
      <c r="T727">
        <v>150</v>
      </c>
      <c r="U727">
        <v>65</v>
      </c>
      <c r="V727">
        <v>10</v>
      </c>
      <c r="W727">
        <v>1</v>
      </c>
      <c r="X727">
        <v>24.444444444444443</v>
      </c>
      <c r="Y727">
        <v>28.888888888888889</v>
      </c>
      <c r="Z727">
        <v>4.4444444444444464</v>
      </c>
      <c r="AA727">
        <v>2</v>
      </c>
      <c r="AB727">
        <v>3</v>
      </c>
      <c r="AC727" t="s">
        <v>33</v>
      </c>
      <c r="AD727">
        <v>3</v>
      </c>
      <c r="AE727">
        <v>0</v>
      </c>
      <c r="AG727">
        <v>5</v>
      </c>
      <c r="AH727">
        <v>1</v>
      </c>
      <c r="AI727" t="s">
        <v>258</v>
      </c>
      <c r="AJ727" t="s">
        <v>258</v>
      </c>
      <c r="AK727">
        <v>7</v>
      </c>
      <c r="AL727">
        <v>1</v>
      </c>
      <c r="AM727" t="s">
        <v>258</v>
      </c>
      <c r="AN727" t="s">
        <v>95</v>
      </c>
      <c r="AO727">
        <v>0</v>
      </c>
      <c r="AX727">
        <v>0</v>
      </c>
      <c r="BE727" t="s">
        <v>258</v>
      </c>
      <c r="BG727">
        <v>0</v>
      </c>
      <c r="BJ727" t="s">
        <v>42</v>
      </c>
      <c r="BK727">
        <v>6</v>
      </c>
      <c r="BL727">
        <v>1</v>
      </c>
      <c r="BM727">
        <v>1</v>
      </c>
      <c r="BN727" t="s">
        <v>55</v>
      </c>
      <c r="BO727">
        <v>2</v>
      </c>
      <c r="BP727">
        <v>67</v>
      </c>
      <c r="BQ727">
        <v>0.1</v>
      </c>
      <c r="BR727">
        <v>1</v>
      </c>
      <c r="BS727">
        <v>0.1</v>
      </c>
      <c r="BT727" t="e">
        <f>BS727+BD727+AU727+AM727</f>
        <v>#VALUE!</v>
      </c>
      <c r="BU727">
        <v>1</v>
      </c>
      <c r="BV727">
        <v>0.5</v>
      </c>
      <c r="BW727">
        <v>73.25</v>
      </c>
      <c r="BX727">
        <f>BW727/7</f>
        <v>10.464285714285714</v>
      </c>
      <c r="BY727">
        <f>0.77*BX727</f>
        <v>8.0574999999999992</v>
      </c>
      <c r="BZ727" t="e">
        <f t="shared" si="11"/>
        <v>#VALUE!</v>
      </c>
    </row>
    <row r="728" spans="1:78">
      <c r="A728" s="1">
        <v>45214.867048252316</v>
      </c>
      <c r="C728">
        <v>727</v>
      </c>
      <c r="D728" s="10">
        <v>31240</v>
      </c>
      <c r="E728">
        <v>38</v>
      </c>
      <c r="F728">
        <v>1</v>
      </c>
      <c r="G728">
        <v>12</v>
      </c>
      <c r="H728">
        <v>4</v>
      </c>
      <c r="I728" s="10">
        <v>45162</v>
      </c>
      <c r="J728">
        <v>3</v>
      </c>
      <c r="K728">
        <v>0</v>
      </c>
      <c r="L728">
        <v>1</v>
      </c>
      <c r="M728">
        <v>3335</v>
      </c>
      <c r="N728">
        <v>2</v>
      </c>
      <c r="O728" s="10">
        <v>44889</v>
      </c>
      <c r="P728">
        <v>0</v>
      </c>
      <c r="Q728">
        <v>39</v>
      </c>
      <c r="R728">
        <v>2</v>
      </c>
      <c r="S728">
        <v>67</v>
      </c>
      <c r="T728">
        <v>160</v>
      </c>
      <c r="U728">
        <v>80.2</v>
      </c>
      <c r="V728">
        <v>13.200000000000003</v>
      </c>
      <c r="W728">
        <v>3</v>
      </c>
      <c r="X728">
        <v>26.171874999999996</v>
      </c>
      <c r="Y728">
        <v>31.328124999999996</v>
      </c>
      <c r="Z728">
        <v>5.15625</v>
      </c>
      <c r="AA728">
        <v>3</v>
      </c>
      <c r="AB728">
        <v>4</v>
      </c>
      <c r="AC728" t="s">
        <v>33</v>
      </c>
      <c r="AD728">
        <v>3</v>
      </c>
      <c r="AE728">
        <v>0</v>
      </c>
      <c r="AG728">
        <v>5</v>
      </c>
      <c r="AH728">
        <v>1</v>
      </c>
      <c r="AI728">
        <v>24</v>
      </c>
      <c r="AJ728">
        <v>0.5</v>
      </c>
      <c r="AK728">
        <v>7</v>
      </c>
      <c r="AL728">
        <v>1</v>
      </c>
      <c r="AM728">
        <f>AJ728*AK728*AL728/7</f>
        <v>0.5</v>
      </c>
      <c r="AN728" t="s">
        <v>119</v>
      </c>
      <c r="AO728">
        <v>1</v>
      </c>
      <c r="AP728">
        <v>24</v>
      </c>
      <c r="AQ728" t="s">
        <v>192</v>
      </c>
      <c r="AR728">
        <v>0.5</v>
      </c>
      <c r="AS728">
        <v>7</v>
      </c>
      <c r="AT728">
        <v>1</v>
      </c>
      <c r="AU728">
        <f>AR728*AS728*AT728/7</f>
        <v>0.5</v>
      </c>
      <c r="AV728">
        <f>AU728+AM728</f>
        <v>1</v>
      </c>
      <c r="AW728" t="s">
        <v>119</v>
      </c>
      <c r="AX728">
        <v>0</v>
      </c>
      <c r="BE728">
        <f>AM728+AU728+BD728</f>
        <v>1</v>
      </c>
      <c r="BG728">
        <v>0</v>
      </c>
      <c r="BJ728" t="s">
        <v>42</v>
      </c>
      <c r="BK728">
        <v>6</v>
      </c>
      <c r="BL728">
        <v>1</v>
      </c>
      <c r="BM728">
        <v>1</v>
      </c>
      <c r="BN728" t="s">
        <v>37</v>
      </c>
      <c r="BO728">
        <v>4</v>
      </c>
      <c r="BP728">
        <v>110</v>
      </c>
      <c r="BQ728">
        <v>0.05</v>
      </c>
      <c r="BR728">
        <v>2</v>
      </c>
      <c r="BS728">
        <v>0.1</v>
      </c>
      <c r="BT728">
        <f>BS728+BD728+AU728+AM728</f>
        <v>1.1000000000000001</v>
      </c>
      <c r="BU728">
        <v>1</v>
      </c>
      <c r="BV728">
        <v>0.5</v>
      </c>
      <c r="BW728">
        <v>73.25</v>
      </c>
      <c r="BX728">
        <f>BW728/7</f>
        <v>10.464285714285714</v>
      </c>
      <c r="BY728">
        <f>0.77*BX728</f>
        <v>8.0574999999999992</v>
      </c>
      <c r="BZ728">
        <f t="shared" si="11"/>
        <v>9.1574999999999989</v>
      </c>
    </row>
    <row r="729" spans="1:78">
      <c r="A729" s="1">
        <v>45214.869933321759</v>
      </c>
      <c r="C729">
        <v>728</v>
      </c>
      <c r="D729" s="10">
        <v>33329</v>
      </c>
      <c r="E729">
        <v>32</v>
      </c>
      <c r="F729">
        <v>1</v>
      </c>
      <c r="G729">
        <v>1</v>
      </c>
      <c r="H729">
        <v>3</v>
      </c>
      <c r="I729" s="10">
        <v>43357</v>
      </c>
      <c r="J729">
        <v>2</v>
      </c>
      <c r="K729">
        <v>0</v>
      </c>
      <c r="L729">
        <v>2</v>
      </c>
      <c r="M729">
        <v>3360</v>
      </c>
      <c r="N729">
        <v>2</v>
      </c>
      <c r="O729" s="10">
        <v>43098</v>
      </c>
      <c r="P729">
        <v>0</v>
      </c>
      <c r="Q729">
        <v>37</v>
      </c>
      <c r="R729">
        <v>2</v>
      </c>
      <c r="S729">
        <v>74</v>
      </c>
      <c r="T729">
        <v>168</v>
      </c>
      <c r="U729">
        <v>100</v>
      </c>
      <c r="V729">
        <v>26</v>
      </c>
      <c r="W729">
        <v>3</v>
      </c>
      <c r="X729">
        <v>26.218820861678008</v>
      </c>
      <c r="Y729">
        <v>35.430839002267582</v>
      </c>
      <c r="Z729">
        <v>9.2120181405895742</v>
      </c>
      <c r="AA729">
        <v>3</v>
      </c>
      <c r="AB729">
        <v>4</v>
      </c>
      <c r="AC729" t="s">
        <v>295</v>
      </c>
      <c r="AD729">
        <v>2</v>
      </c>
      <c r="AE729">
        <v>1</v>
      </c>
      <c r="AF729" t="s">
        <v>457</v>
      </c>
      <c r="AG729" t="e">
        <v>#N/A</v>
      </c>
      <c r="AH729">
        <v>1</v>
      </c>
      <c r="AI729">
        <v>13</v>
      </c>
      <c r="AJ729">
        <v>1</v>
      </c>
      <c r="AK729">
        <v>7</v>
      </c>
      <c r="AL729">
        <v>1</v>
      </c>
      <c r="AM729">
        <f>AJ729*AK729*AL729/7</f>
        <v>1</v>
      </c>
      <c r="AN729" t="s">
        <v>79</v>
      </c>
      <c r="AO729">
        <v>0</v>
      </c>
      <c r="AV729">
        <f>AU729+AM729</f>
        <v>1</v>
      </c>
      <c r="AX729">
        <v>0</v>
      </c>
      <c r="BE729">
        <f>AM729+AU729+BD729</f>
        <v>1</v>
      </c>
      <c r="BG729">
        <v>0</v>
      </c>
      <c r="BJ729" t="s">
        <v>114</v>
      </c>
      <c r="BK729">
        <v>6</v>
      </c>
      <c r="BL729">
        <v>3</v>
      </c>
      <c r="BM729">
        <v>1</v>
      </c>
      <c r="BN729" t="s">
        <v>30</v>
      </c>
      <c r="BO729">
        <v>1</v>
      </c>
      <c r="BP729">
        <v>168</v>
      </c>
      <c r="BQ729">
        <v>0.13</v>
      </c>
      <c r="BR729">
        <v>2</v>
      </c>
      <c r="BS729">
        <v>0.26</v>
      </c>
      <c r="BT729">
        <f>BS729+BD729+AU729+AM729</f>
        <v>1.26</v>
      </c>
      <c r="BU729">
        <v>1</v>
      </c>
      <c r="BV729">
        <v>2</v>
      </c>
      <c r="BW729">
        <v>293</v>
      </c>
      <c r="BX729">
        <f>BW729/7</f>
        <v>41.857142857142854</v>
      </c>
      <c r="BY729">
        <f>0.77*BX729</f>
        <v>32.229999999999997</v>
      </c>
      <c r="BZ729">
        <f t="shared" si="11"/>
        <v>33.489999999999995</v>
      </c>
    </row>
    <row r="730" spans="1:78">
      <c r="A730" s="1">
        <v>45214.890326851848</v>
      </c>
      <c r="C730">
        <v>729</v>
      </c>
      <c r="D730" s="10">
        <v>31600</v>
      </c>
      <c r="E730">
        <v>37</v>
      </c>
      <c r="F730">
        <v>1</v>
      </c>
      <c r="G730">
        <v>2</v>
      </c>
      <c r="H730">
        <v>4</v>
      </c>
      <c r="I730" s="10">
        <v>44729</v>
      </c>
      <c r="J730">
        <v>3</v>
      </c>
      <c r="K730">
        <v>0</v>
      </c>
      <c r="L730">
        <v>2</v>
      </c>
      <c r="M730">
        <v>3855</v>
      </c>
      <c r="N730">
        <v>2</v>
      </c>
      <c r="O730" s="10">
        <v>44449</v>
      </c>
      <c r="P730">
        <v>1</v>
      </c>
      <c r="Q730">
        <v>40</v>
      </c>
      <c r="R730">
        <v>2</v>
      </c>
      <c r="S730">
        <v>70</v>
      </c>
      <c r="T730">
        <v>165</v>
      </c>
      <c r="U730">
        <v>80</v>
      </c>
      <c r="V730">
        <v>10</v>
      </c>
      <c r="W730">
        <v>2</v>
      </c>
      <c r="X730">
        <v>25.711662075298442</v>
      </c>
      <c r="Y730">
        <v>29.384756657483933</v>
      </c>
      <c r="Z730">
        <v>3.6730945821854917</v>
      </c>
      <c r="AA730">
        <v>3</v>
      </c>
      <c r="AB730">
        <v>3</v>
      </c>
      <c r="AC730" t="s">
        <v>33</v>
      </c>
      <c r="AD730">
        <v>3</v>
      </c>
      <c r="AE730">
        <v>0</v>
      </c>
      <c r="AG730">
        <v>5</v>
      </c>
      <c r="AH730">
        <v>1</v>
      </c>
      <c r="AI730">
        <v>4</v>
      </c>
      <c r="AJ730">
        <v>1</v>
      </c>
      <c r="AK730">
        <v>7</v>
      </c>
      <c r="AL730">
        <v>1</v>
      </c>
      <c r="AM730">
        <f>AJ730*AK730*AL730/7</f>
        <v>1</v>
      </c>
      <c r="AN730" t="s">
        <v>43</v>
      </c>
      <c r="AO730">
        <v>0</v>
      </c>
      <c r="AV730">
        <f>AU730+AM730</f>
        <v>1</v>
      </c>
      <c r="AX730">
        <v>0</v>
      </c>
      <c r="BE730">
        <f>AM730+AU730+BD730</f>
        <v>1</v>
      </c>
      <c r="BG730">
        <v>0</v>
      </c>
      <c r="BJ730" t="s">
        <v>49</v>
      </c>
      <c r="BK730">
        <v>5</v>
      </c>
      <c r="BL730">
        <v>1</v>
      </c>
      <c r="BM730">
        <v>1</v>
      </c>
      <c r="BN730" t="s">
        <v>55</v>
      </c>
      <c r="BO730">
        <v>2</v>
      </c>
      <c r="BP730">
        <v>134</v>
      </c>
      <c r="BQ730">
        <v>0.1</v>
      </c>
      <c r="BR730">
        <v>2</v>
      </c>
      <c r="BS730">
        <v>0.2</v>
      </c>
      <c r="BT730">
        <f>BS730+BD730+AU730+AM730</f>
        <v>1.2</v>
      </c>
      <c r="BU730">
        <v>1</v>
      </c>
      <c r="BV730">
        <v>0.5</v>
      </c>
      <c r="BW730">
        <v>73.25</v>
      </c>
      <c r="BX730">
        <f>BW730/7</f>
        <v>10.464285714285714</v>
      </c>
      <c r="BY730">
        <f>0.77*BX730</f>
        <v>8.0574999999999992</v>
      </c>
      <c r="BZ730">
        <f t="shared" si="11"/>
        <v>9.2574999999999985</v>
      </c>
    </row>
    <row r="731" spans="1:78">
      <c r="A731" s="1">
        <v>45214.906888148151</v>
      </c>
      <c r="B731" t="s">
        <v>1016</v>
      </c>
      <c r="C731">
        <v>730</v>
      </c>
      <c r="D731" s="10">
        <v>34605</v>
      </c>
      <c r="E731">
        <v>29</v>
      </c>
      <c r="F731">
        <v>1</v>
      </c>
      <c r="G731">
        <v>1</v>
      </c>
      <c r="H731">
        <v>2</v>
      </c>
      <c r="I731" s="10">
        <v>43155</v>
      </c>
      <c r="J731">
        <v>1</v>
      </c>
      <c r="K731">
        <v>1</v>
      </c>
      <c r="L731">
        <v>1</v>
      </c>
      <c r="M731">
        <v>2800</v>
      </c>
      <c r="N731">
        <v>2</v>
      </c>
      <c r="O731" s="10">
        <v>42889</v>
      </c>
      <c r="P731">
        <v>0</v>
      </c>
      <c r="Q731">
        <v>38</v>
      </c>
      <c r="R731">
        <v>2</v>
      </c>
      <c r="S731">
        <v>37</v>
      </c>
      <c r="T731">
        <v>150</v>
      </c>
      <c r="U731">
        <v>40</v>
      </c>
      <c r="V731">
        <v>3</v>
      </c>
      <c r="W731">
        <v>1</v>
      </c>
      <c r="X731">
        <v>16.444444444444443</v>
      </c>
      <c r="Y731">
        <v>17.777777777777779</v>
      </c>
      <c r="Z731">
        <v>1.3333333333333357</v>
      </c>
      <c r="AA731">
        <v>1</v>
      </c>
      <c r="AB731">
        <v>1</v>
      </c>
      <c r="AC731" t="s">
        <v>33</v>
      </c>
      <c r="AD731">
        <v>3</v>
      </c>
      <c r="AE731">
        <v>0</v>
      </c>
      <c r="AG731">
        <v>5</v>
      </c>
      <c r="AH731">
        <v>1</v>
      </c>
      <c r="AI731">
        <v>5</v>
      </c>
      <c r="AJ731">
        <v>5</v>
      </c>
      <c r="AK731">
        <v>7</v>
      </c>
      <c r="AL731">
        <v>1</v>
      </c>
      <c r="AM731">
        <f>AJ731*AK731*AL731/7</f>
        <v>5</v>
      </c>
      <c r="AN731" t="s">
        <v>27</v>
      </c>
      <c r="AO731">
        <v>0</v>
      </c>
      <c r="AV731">
        <f>AU731+AM731</f>
        <v>5</v>
      </c>
      <c r="AW731" t="s">
        <v>828</v>
      </c>
      <c r="AX731">
        <v>0</v>
      </c>
      <c r="BE731">
        <f>AM731+AU731+BD731</f>
        <v>5</v>
      </c>
      <c r="BF731" t="s">
        <v>828</v>
      </c>
      <c r="BG731">
        <v>1</v>
      </c>
      <c r="BH731">
        <v>7</v>
      </c>
      <c r="BI731">
        <v>1</v>
      </c>
      <c r="BJ731" t="s">
        <v>49</v>
      </c>
      <c r="BK731">
        <v>5</v>
      </c>
      <c r="BL731">
        <v>1</v>
      </c>
      <c r="BM731">
        <v>1</v>
      </c>
      <c r="BN731" t="s">
        <v>30</v>
      </c>
      <c r="BO731">
        <v>1</v>
      </c>
      <c r="BP731">
        <v>252</v>
      </c>
      <c r="BQ731">
        <v>0.13</v>
      </c>
      <c r="BR731">
        <v>3</v>
      </c>
      <c r="BS731">
        <v>0.39</v>
      </c>
      <c r="BT731">
        <f>BS731+BD731+AU731+AM731</f>
        <v>5.39</v>
      </c>
      <c r="BU731">
        <v>1</v>
      </c>
      <c r="BV731">
        <v>2</v>
      </c>
      <c r="BW731">
        <v>293</v>
      </c>
      <c r="BX731">
        <f>BW731/7</f>
        <v>41.857142857142854</v>
      </c>
      <c r="BY731">
        <f>0.77*BX731</f>
        <v>32.229999999999997</v>
      </c>
      <c r="BZ731">
        <f t="shared" si="11"/>
        <v>37.619999999999997</v>
      </c>
    </row>
    <row r="732" spans="1:78">
      <c r="A732" s="1">
        <v>45214.907413101857</v>
      </c>
      <c r="C732">
        <v>731</v>
      </c>
      <c r="D732" s="10">
        <v>31095</v>
      </c>
      <c r="E732">
        <v>38</v>
      </c>
      <c r="F732">
        <v>1</v>
      </c>
      <c r="G732">
        <v>12</v>
      </c>
      <c r="H732">
        <v>4</v>
      </c>
      <c r="I732" s="10">
        <v>43627</v>
      </c>
      <c r="J732">
        <v>2</v>
      </c>
      <c r="K732">
        <v>0</v>
      </c>
      <c r="L732">
        <v>1</v>
      </c>
      <c r="M732">
        <v>3700</v>
      </c>
      <c r="N732">
        <v>2</v>
      </c>
      <c r="O732" s="10">
        <v>43340</v>
      </c>
      <c r="P732">
        <v>0</v>
      </c>
      <c r="Q732">
        <v>41</v>
      </c>
      <c r="R732">
        <v>2</v>
      </c>
      <c r="S732">
        <v>62</v>
      </c>
      <c r="T732">
        <v>165</v>
      </c>
      <c r="U732">
        <v>83</v>
      </c>
      <c r="V732">
        <v>21</v>
      </c>
      <c r="W732">
        <v>3</v>
      </c>
      <c r="X732">
        <v>22.77318640955005</v>
      </c>
      <c r="Y732">
        <v>30.486685032139579</v>
      </c>
      <c r="Z732">
        <v>7.7134986225895297</v>
      </c>
      <c r="AA732">
        <v>2</v>
      </c>
      <c r="AB732">
        <v>4</v>
      </c>
      <c r="AC732" t="s">
        <v>33</v>
      </c>
      <c r="AD732">
        <v>3</v>
      </c>
      <c r="AE732">
        <v>0</v>
      </c>
      <c r="AG732">
        <v>5</v>
      </c>
      <c r="AH732">
        <v>0</v>
      </c>
      <c r="AI732">
        <v>0</v>
      </c>
      <c r="AN732" t="s">
        <v>41</v>
      </c>
      <c r="AO732">
        <v>0</v>
      </c>
      <c r="AX732">
        <v>1</v>
      </c>
      <c r="AY732" t="s">
        <v>882</v>
      </c>
      <c r="AZ732">
        <v>1</v>
      </c>
      <c r="BA732">
        <v>0.8</v>
      </c>
      <c r="BB732">
        <v>5</v>
      </c>
      <c r="BC732">
        <v>1</v>
      </c>
      <c r="BD732">
        <f>BA732*BB732*1/7</f>
        <v>0.5714285714285714</v>
      </c>
      <c r="BE732">
        <f>AM732+AU732+BD732</f>
        <v>0.5714285714285714</v>
      </c>
      <c r="BF732" t="s">
        <v>882</v>
      </c>
      <c r="BG732">
        <v>0</v>
      </c>
      <c r="BH732">
        <v>5</v>
      </c>
      <c r="BI732">
        <v>1</v>
      </c>
      <c r="BJ732" t="s">
        <v>49</v>
      </c>
      <c r="BK732">
        <v>5</v>
      </c>
      <c r="BL732">
        <v>1</v>
      </c>
      <c r="BM732">
        <v>1</v>
      </c>
      <c r="BN732" t="s">
        <v>30</v>
      </c>
      <c r="BO732">
        <v>1</v>
      </c>
      <c r="BP732">
        <v>168</v>
      </c>
      <c r="BQ732">
        <v>0.13</v>
      </c>
      <c r="BR732">
        <v>2</v>
      </c>
      <c r="BS732">
        <v>0.26</v>
      </c>
      <c r="BT732">
        <f>BS732+BD732+AU732+AM732</f>
        <v>0.83142857142857141</v>
      </c>
      <c r="BU732">
        <v>1</v>
      </c>
      <c r="BV732">
        <v>1</v>
      </c>
      <c r="BW732">
        <v>146.5</v>
      </c>
      <c r="BX732">
        <f>BW732/7</f>
        <v>20.928571428571427</v>
      </c>
      <c r="BY732">
        <f>0.77*BX732</f>
        <v>16.114999999999998</v>
      </c>
      <c r="BZ732">
        <f t="shared" si="11"/>
        <v>16.946428571428569</v>
      </c>
    </row>
    <row r="733" spans="1:78">
      <c r="A733" s="1">
        <v>45214.910864247686</v>
      </c>
      <c r="C733">
        <v>732</v>
      </c>
      <c r="D733" s="10">
        <v>31658</v>
      </c>
      <c r="E733">
        <v>36</v>
      </c>
      <c r="F733">
        <v>1</v>
      </c>
      <c r="G733">
        <v>3</v>
      </c>
      <c r="H733">
        <v>4</v>
      </c>
      <c r="I733" s="10">
        <v>43374</v>
      </c>
      <c r="J733">
        <v>1</v>
      </c>
      <c r="K733">
        <v>1</v>
      </c>
      <c r="L733">
        <v>2</v>
      </c>
      <c r="M733">
        <v>3200</v>
      </c>
      <c r="N733">
        <v>2</v>
      </c>
      <c r="O733" s="10">
        <v>43087</v>
      </c>
      <c r="P733">
        <v>0</v>
      </c>
      <c r="Q733">
        <v>41</v>
      </c>
      <c r="R733">
        <v>2</v>
      </c>
      <c r="S733">
        <v>73</v>
      </c>
      <c r="T733">
        <v>160</v>
      </c>
      <c r="U733">
        <v>96</v>
      </c>
      <c r="V733">
        <v>23</v>
      </c>
      <c r="W733">
        <v>3</v>
      </c>
      <c r="X733">
        <v>28.515624999999993</v>
      </c>
      <c r="Y733">
        <v>37.499999999999993</v>
      </c>
      <c r="Z733">
        <v>8.984375</v>
      </c>
      <c r="AA733">
        <v>3</v>
      </c>
      <c r="AB733">
        <v>4</v>
      </c>
      <c r="AC733" t="s">
        <v>106</v>
      </c>
      <c r="AD733">
        <v>2</v>
      </c>
      <c r="AE733">
        <v>0</v>
      </c>
      <c r="AG733">
        <v>5</v>
      </c>
      <c r="AH733">
        <v>1</v>
      </c>
      <c r="AI733">
        <v>13</v>
      </c>
      <c r="AJ733">
        <v>1</v>
      </c>
      <c r="AK733">
        <v>7</v>
      </c>
      <c r="AL733">
        <v>1</v>
      </c>
      <c r="AM733">
        <f>AJ733*AK733*AL733/7</f>
        <v>1</v>
      </c>
      <c r="AN733" t="s">
        <v>79</v>
      </c>
      <c r="AO733">
        <v>0</v>
      </c>
      <c r="AV733">
        <f>AU733+AM733</f>
        <v>1</v>
      </c>
      <c r="AX733">
        <v>0</v>
      </c>
      <c r="BE733">
        <f>AM733+AU733+BD733</f>
        <v>1</v>
      </c>
      <c r="BG733">
        <v>0</v>
      </c>
      <c r="BJ733" t="s">
        <v>49</v>
      </c>
      <c r="BK733">
        <v>5</v>
      </c>
      <c r="BL733">
        <v>1</v>
      </c>
      <c r="BM733">
        <v>1</v>
      </c>
      <c r="BN733" t="s">
        <v>95</v>
      </c>
      <c r="BO733">
        <v>14</v>
      </c>
      <c r="BP733">
        <v>146.76923076923077</v>
      </c>
      <c r="BQ733">
        <v>0.1</v>
      </c>
      <c r="BR733">
        <v>2</v>
      </c>
      <c r="BS733">
        <v>0.2</v>
      </c>
      <c r="BT733">
        <f>BS733+BD733+AU733+AM733</f>
        <v>1.2</v>
      </c>
      <c r="BU733">
        <v>1</v>
      </c>
      <c r="BV733">
        <v>2</v>
      </c>
      <c r="BW733">
        <v>293</v>
      </c>
      <c r="BX733">
        <f>BW733/7</f>
        <v>41.857142857142854</v>
      </c>
      <c r="BY733">
        <f>0.77*BX733</f>
        <v>32.229999999999997</v>
      </c>
      <c r="BZ733">
        <f t="shared" si="11"/>
        <v>33.43</v>
      </c>
    </row>
    <row r="734" spans="1:78">
      <c r="A734" s="1">
        <v>45214.920725254633</v>
      </c>
      <c r="C734">
        <v>733</v>
      </c>
      <c r="D734" s="10">
        <v>32587</v>
      </c>
      <c r="E734">
        <v>34</v>
      </c>
      <c r="F734">
        <v>1</v>
      </c>
      <c r="G734">
        <v>4</v>
      </c>
      <c r="H734">
        <v>5</v>
      </c>
      <c r="I734" s="10">
        <v>44565</v>
      </c>
      <c r="J734">
        <v>2</v>
      </c>
      <c r="K734">
        <v>0</v>
      </c>
      <c r="L734">
        <v>2</v>
      </c>
      <c r="M734">
        <v>3390</v>
      </c>
      <c r="N734">
        <v>2</v>
      </c>
      <c r="O734" s="10">
        <v>44303</v>
      </c>
      <c r="P734">
        <v>1</v>
      </c>
      <c r="Q734">
        <v>37.428571428571431</v>
      </c>
      <c r="R734">
        <v>2</v>
      </c>
      <c r="S734">
        <v>65</v>
      </c>
      <c r="T734">
        <v>165</v>
      </c>
      <c r="U734">
        <v>80</v>
      </c>
      <c r="V734">
        <v>15</v>
      </c>
      <c r="W734">
        <v>2</v>
      </c>
      <c r="X734">
        <v>23.875114784205696</v>
      </c>
      <c r="Y734">
        <v>29.384756657483933</v>
      </c>
      <c r="Z734">
        <v>5.5096418732782375</v>
      </c>
      <c r="AA734">
        <v>2</v>
      </c>
      <c r="AB734">
        <v>3</v>
      </c>
      <c r="AC734" t="s">
        <v>33</v>
      </c>
      <c r="AD734">
        <v>3</v>
      </c>
      <c r="AE734">
        <v>0</v>
      </c>
      <c r="AG734">
        <v>5</v>
      </c>
      <c r="AH734">
        <v>1</v>
      </c>
      <c r="AI734">
        <v>18</v>
      </c>
      <c r="AJ734">
        <v>2</v>
      </c>
      <c r="AK734">
        <v>7</v>
      </c>
      <c r="AL734">
        <v>1</v>
      </c>
      <c r="AM734">
        <f>AJ734*AK734*AL734/7</f>
        <v>2</v>
      </c>
      <c r="AN734" t="s">
        <v>217</v>
      </c>
      <c r="AO734">
        <v>0</v>
      </c>
      <c r="AV734">
        <f>AU734+AM734</f>
        <v>2</v>
      </c>
      <c r="AW734" t="s">
        <v>58</v>
      </c>
      <c r="AX734">
        <v>1</v>
      </c>
      <c r="AY734" t="s">
        <v>58</v>
      </c>
      <c r="AZ734">
        <v>1</v>
      </c>
      <c r="BA734">
        <v>0.8</v>
      </c>
      <c r="BB734">
        <v>7</v>
      </c>
      <c r="BC734">
        <v>1</v>
      </c>
      <c r="BD734">
        <f>BA734*BB734*1/7</f>
        <v>0.8</v>
      </c>
      <c r="BE734">
        <f>AM734+AU734+BD734</f>
        <v>2.8</v>
      </c>
      <c r="BF734" t="s">
        <v>58</v>
      </c>
      <c r="BG734">
        <v>0</v>
      </c>
      <c r="BH734">
        <v>7</v>
      </c>
      <c r="BI734">
        <v>1</v>
      </c>
      <c r="BJ734" t="s">
        <v>49</v>
      </c>
      <c r="BK734">
        <v>5</v>
      </c>
      <c r="BL734">
        <v>1</v>
      </c>
      <c r="BM734">
        <v>1</v>
      </c>
      <c r="BN734" t="s">
        <v>30</v>
      </c>
      <c r="BO734">
        <v>1</v>
      </c>
      <c r="BP734">
        <v>84</v>
      </c>
      <c r="BQ734">
        <v>0.13</v>
      </c>
      <c r="BR734">
        <v>1</v>
      </c>
      <c r="BS734">
        <v>0.13</v>
      </c>
      <c r="BT734">
        <f>BS734+BD734+AU734+AM734</f>
        <v>2.93</v>
      </c>
      <c r="BU734">
        <v>1</v>
      </c>
      <c r="BV734">
        <v>1</v>
      </c>
      <c r="BW734">
        <v>146.5</v>
      </c>
      <c r="BX734">
        <f>BW734/7</f>
        <v>20.928571428571427</v>
      </c>
      <c r="BY734">
        <f>0.77*BX734</f>
        <v>16.114999999999998</v>
      </c>
      <c r="BZ734">
        <f t="shared" si="11"/>
        <v>19.044999999999998</v>
      </c>
    </row>
    <row r="735" spans="1:78">
      <c r="A735" s="1">
        <v>45214.923459155092</v>
      </c>
      <c r="C735">
        <v>734</v>
      </c>
      <c r="D735" s="10">
        <v>31762</v>
      </c>
      <c r="E735">
        <v>36</v>
      </c>
      <c r="F735">
        <v>1</v>
      </c>
      <c r="G735">
        <v>15</v>
      </c>
      <c r="H735">
        <v>4</v>
      </c>
      <c r="I735" s="10">
        <v>44565</v>
      </c>
      <c r="J735">
        <v>2</v>
      </c>
      <c r="K735">
        <v>0</v>
      </c>
      <c r="L735">
        <v>2</v>
      </c>
      <c r="M735">
        <v>3290</v>
      </c>
      <c r="N735">
        <v>2</v>
      </c>
      <c r="O735" s="10">
        <v>44307</v>
      </c>
      <c r="P735">
        <v>1</v>
      </c>
      <c r="Q735">
        <v>36.857142857142854</v>
      </c>
      <c r="R735">
        <v>3</v>
      </c>
      <c r="S735">
        <v>58</v>
      </c>
      <c r="T735">
        <v>160</v>
      </c>
      <c r="U735">
        <v>66</v>
      </c>
      <c r="V735">
        <v>8</v>
      </c>
      <c r="W735">
        <v>1</v>
      </c>
      <c r="X735">
        <v>22.656249999999996</v>
      </c>
      <c r="Y735">
        <v>25.781249999999996</v>
      </c>
      <c r="Z735">
        <v>3.125</v>
      </c>
      <c r="AA735">
        <v>2</v>
      </c>
      <c r="AB735">
        <v>3</v>
      </c>
      <c r="AC735" t="s">
        <v>33</v>
      </c>
      <c r="AD735">
        <v>3</v>
      </c>
      <c r="AE735">
        <v>0</v>
      </c>
      <c r="AG735">
        <v>5</v>
      </c>
      <c r="AH735">
        <v>1</v>
      </c>
      <c r="AI735">
        <v>13</v>
      </c>
      <c r="AJ735">
        <v>1</v>
      </c>
      <c r="AK735">
        <v>7</v>
      </c>
      <c r="AL735">
        <v>1</v>
      </c>
      <c r="AM735">
        <f>AJ735*AK735*AL735/7</f>
        <v>1</v>
      </c>
      <c r="AN735" t="s">
        <v>79</v>
      </c>
      <c r="AO735">
        <v>0</v>
      </c>
      <c r="AV735">
        <f>AU735+AM735</f>
        <v>1</v>
      </c>
      <c r="AW735" t="s">
        <v>97</v>
      </c>
      <c r="AX735">
        <v>1</v>
      </c>
      <c r="AY735" t="s">
        <v>97</v>
      </c>
      <c r="AZ735">
        <v>11</v>
      </c>
      <c r="BA735">
        <v>0.2</v>
      </c>
      <c r="BB735">
        <v>3</v>
      </c>
      <c r="BC735">
        <v>1</v>
      </c>
      <c r="BD735">
        <f>BA735*BB735*1/7</f>
        <v>8.5714285714285729E-2</v>
      </c>
      <c r="BE735">
        <f>AM735+AU735+BD735</f>
        <v>1.0857142857142856</v>
      </c>
      <c r="BF735" t="s">
        <v>97</v>
      </c>
      <c r="BG735">
        <v>0</v>
      </c>
      <c r="BH735">
        <v>3</v>
      </c>
      <c r="BI735">
        <v>1</v>
      </c>
      <c r="BJ735" t="s">
        <v>28</v>
      </c>
      <c r="BK735">
        <v>3</v>
      </c>
      <c r="BL735">
        <v>1</v>
      </c>
      <c r="BM735">
        <v>1</v>
      </c>
      <c r="BN735" t="s">
        <v>458</v>
      </c>
      <c r="BO735">
        <v>4</v>
      </c>
      <c r="BP735">
        <v>45</v>
      </c>
      <c r="BQ735">
        <v>0.05</v>
      </c>
      <c r="BR735">
        <v>1</v>
      </c>
      <c r="BS735">
        <v>0.05</v>
      </c>
      <c r="BT735">
        <f>BS735+BD735+AU735+AM735</f>
        <v>1.1357142857142857</v>
      </c>
      <c r="BU735">
        <v>1</v>
      </c>
      <c r="BV735">
        <v>2</v>
      </c>
      <c r="BW735">
        <v>293</v>
      </c>
      <c r="BX735">
        <f>BW735/7</f>
        <v>41.857142857142854</v>
      </c>
      <c r="BY735">
        <f>0.77*BX735</f>
        <v>32.229999999999997</v>
      </c>
      <c r="BZ735">
        <f t="shared" si="11"/>
        <v>33.365714285714283</v>
      </c>
    </row>
    <row r="736" spans="1:78">
      <c r="A736" s="1">
        <v>45214.925409189818</v>
      </c>
      <c r="C736">
        <v>735</v>
      </c>
      <c r="D736" s="10">
        <v>35138</v>
      </c>
      <c r="E736">
        <v>27</v>
      </c>
      <c r="F736">
        <v>1</v>
      </c>
      <c r="G736">
        <v>1</v>
      </c>
      <c r="H736">
        <v>4</v>
      </c>
      <c r="I736" s="10">
        <v>44851</v>
      </c>
      <c r="J736">
        <v>1</v>
      </c>
      <c r="K736">
        <v>1</v>
      </c>
      <c r="L736">
        <v>2</v>
      </c>
      <c r="M736">
        <v>3690</v>
      </c>
      <c r="N736">
        <v>2</v>
      </c>
      <c r="O736" s="10">
        <v>44572</v>
      </c>
      <c r="P736">
        <v>0</v>
      </c>
      <c r="Q736">
        <v>39.857142857142854</v>
      </c>
      <c r="R736">
        <v>2</v>
      </c>
      <c r="S736">
        <v>72</v>
      </c>
      <c r="T736">
        <v>156</v>
      </c>
      <c r="U736">
        <v>88</v>
      </c>
      <c r="V736">
        <v>16</v>
      </c>
      <c r="W736">
        <v>3</v>
      </c>
      <c r="X736">
        <v>29.585798816568044</v>
      </c>
      <c r="Y736">
        <v>36.160420775805385</v>
      </c>
      <c r="Z736">
        <v>6.5746219592373407</v>
      </c>
      <c r="AA736">
        <v>3</v>
      </c>
      <c r="AB736">
        <v>4</v>
      </c>
      <c r="AC736" t="s">
        <v>44</v>
      </c>
      <c r="AD736">
        <v>1</v>
      </c>
      <c r="AE736">
        <v>0</v>
      </c>
      <c r="AG736">
        <v>5</v>
      </c>
      <c r="AH736">
        <v>1</v>
      </c>
      <c r="AI736">
        <v>17</v>
      </c>
      <c r="AJ736">
        <v>0.6</v>
      </c>
      <c r="AK736">
        <v>7</v>
      </c>
      <c r="AL736">
        <v>1</v>
      </c>
      <c r="AM736">
        <f>AJ736*AK736*AL736/7</f>
        <v>0.6</v>
      </c>
      <c r="AN736" t="s">
        <v>459</v>
      </c>
      <c r="AO736">
        <v>0</v>
      </c>
      <c r="AV736">
        <f>AU736+AM736</f>
        <v>0.6</v>
      </c>
      <c r="AX736">
        <v>0</v>
      </c>
      <c r="BE736">
        <f>AM736+AU736+BD736</f>
        <v>0.6</v>
      </c>
      <c r="BG736">
        <v>0</v>
      </c>
      <c r="BJ736" t="s">
        <v>42</v>
      </c>
      <c r="BK736">
        <v>6</v>
      </c>
      <c r="BL736">
        <v>1</v>
      </c>
      <c r="BM736">
        <v>1</v>
      </c>
      <c r="BN736" t="s">
        <v>55</v>
      </c>
      <c r="BO736">
        <v>2</v>
      </c>
      <c r="BP736">
        <v>134</v>
      </c>
      <c r="BQ736">
        <v>0.1</v>
      </c>
      <c r="BR736">
        <v>2</v>
      </c>
      <c r="BS736">
        <v>0.2</v>
      </c>
      <c r="BT736">
        <f>BS736+BD736+AU736+AM736</f>
        <v>0.8</v>
      </c>
      <c r="BU736">
        <v>1</v>
      </c>
      <c r="BV736">
        <v>1</v>
      </c>
      <c r="BW736">
        <v>146.5</v>
      </c>
      <c r="BX736">
        <f>BW736/7</f>
        <v>20.928571428571427</v>
      </c>
      <c r="BY736">
        <f>0.77*BX736</f>
        <v>16.114999999999998</v>
      </c>
      <c r="BZ736">
        <f t="shared" si="11"/>
        <v>16.914999999999999</v>
      </c>
    </row>
    <row r="737" spans="1:78">
      <c r="A737" s="1">
        <v>45214.925778425924</v>
      </c>
      <c r="C737">
        <v>736</v>
      </c>
      <c r="D737" s="10">
        <v>32679</v>
      </c>
      <c r="E737">
        <v>34</v>
      </c>
      <c r="F737">
        <v>1</v>
      </c>
      <c r="G737">
        <v>1</v>
      </c>
      <c r="H737">
        <v>4</v>
      </c>
      <c r="I737" s="10">
        <v>44820</v>
      </c>
      <c r="J737">
        <v>1</v>
      </c>
      <c r="K737">
        <v>1</v>
      </c>
      <c r="L737">
        <v>1</v>
      </c>
      <c r="M737">
        <v>3380</v>
      </c>
      <c r="N737">
        <v>2</v>
      </c>
      <c r="O737" s="10">
        <v>44549</v>
      </c>
      <c r="P737">
        <v>0</v>
      </c>
      <c r="Q737">
        <v>38.714285714285715</v>
      </c>
      <c r="R737">
        <v>2</v>
      </c>
      <c r="S737">
        <v>86</v>
      </c>
      <c r="T737">
        <v>165</v>
      </c>
      <c r="U737">
        <v>92</v>
      </c>
      <c r="V737">
        <v>6</v>
      </c>
      <c r="W737">
        <v>1</v>
      </c>
      <c r="X737">
        <v>31.588613406795229</v>
      </c>
      <c r="Y737">
        <v>33.792470156106525</v>
      </c>
      <c r="Z737">
        <v>2.2038567493112957</v>
      </c>
      <c r="AA737">
        <v>4</v>
      </c>
      <c r="AB737">
        <v>4</v>
      </c>
      <c r="AC737" t="s">
        <v>33</v>
      </c>
      <c r="AD737">
        <v>3</v>
      </c>
      <c r="AE737">
        <v>0</v>
      </c>
      <c r="AG737">
        <v>5</v>
      </c>
      <c r="AH737">
        <v>1</v>
      </c>
      <c r="AI737">
        <v>7</v>
      </c>
      <c r="AJ737">
        <v>5</v>
      </c>
      <c r="AK737">
        <v>7</v>
      </c>
      <c r="AL737">
        <v>1</v>
      </c>
      <c r="AM737">
        <f>AJ737*AK737*AL737/7</f>
        <v>5</v>
      </c>
      <c r="AN737" t="s">
        <v>460</v>
      </c>
      <c r="AO737">
        <v>0</v>
      </c>
      <c r="AV737">
        <f>AU737+AM737</f>
        <v>5</v>
      </c>
      <c r="AW737" t="s">
        <v>58</v>
      </c>
      <c r="AX737">
        <v>1</v>
      </c>
      <c r="AY737" t="s">
        <v>58</v>
      </c>
      <c r="AZ737">
        <v>1</v>
      </c>
      <c r="BA737">
        <v>0.8</v>
      </c>
      <c r="BB737">
        <v>7</v>
      </c>
      <c r="BC737">
        <v>1</v>
      </c>
      <c r="BD737">
        <f>BA737*BB737*1/7</f>
        <v>0.8</v>
      </c>
      <c r="BE737">
        <f>AM737+AU737+BD737</f>
        <v>5.8</v>
      </c>
      <c r="BF737" t="s">
        <v>58</v>
      </c>
      <c r="BG737">
        <v>0</v>
      </c>
      <c r="BH737">
        <v>7</v>
      </c>
      <c r="BI737">
        <v>1</v>
      </c>
      <c r="BJ737" t="s">
        <v>54</v>
      </c>
      <c r="BK737">
        <v>2</v>
      </c>
      <c r="BL737">
        <v>1</v>
      </c>
      <c r="BM737">
        <v>1</v>
      </c>
      <c r="BN737" t="s">
        <v>30</v>
      </c>
      <c r="BO737">
        <v>1</v>
      </c>
      <c r="BP737">
        <v>84</v>
      </c>
      <c r="BQ737">
        <v>0.13</v>
      </c>
      <c r="BR737">
        <v>1</v>
      </c>
      <c r="BS737">
        <v>0.13</v>
      </c>
      <c r="BT737">
        <f>BS737+BD737+AU737+AM737</f>
        <v>5.93</v>
      </c>
      <c r="BU737">
        <v>1</v>
      </c>
      <c r="BV737">
        <v>0.5</v>
      </c>
      <c r="BW737">
        <v>73.25</v>
      </c>
      <c r="BX737">
        <f>BW737/7</f>
        <v>10.464285714285714</v>
      </c>
      <c r="BY737">
        <f>0.77*BX737</f>
        <v>8.0574999999999992</v>
      </c>
      <c r="BZ737">
        <f t="shared" si="11"/>
        <v>13.987499999999999</v>
      </c>
    </row>
    <row r="738" spans="1:78">
      <c r="A738" s="1">
        <v>45214.926595162033</v>
      </c>
      <c r="C738">
        <v>737</v>
      </c>
      <c r="D738" s="10">
        <v>31725</v>
      </c>
      <c r="E738">
        <v>36</v>
      </c>
      <c r="F738">
        <v>1</v>
      </c>
      <c r="G738">
        <v>10</v>
      </c>
      <c r="H738">
        <v>5</v>
      </c>
      <c r="I738" s="10">
        <v>44636</v>
      </c>
      <c r="J738">
        <v>2</v>
      </c>
      <c r="K738">
        <v>0</v>
      </c>
      <c r="L738">
        <v>2</v>
      </c>
      <c r="M738">
        <v>3160</v>
      </c>
      <c r="N738">
        <v>2</v>
      </c>
      <c r="O738" s="10">
        <v>44377</v>
      </c>
      <c r="P738">
        <v>1</v>
      </c>
      <c r="Q738">
        <v>37</v>
      </c>
      <c r="R738">
        <v>2</v>
      </c>
      <c r="S738">
        <v>57</v>
      </c>
      <c r="T738">
        <v>156</v>
      </c>
      <c r="U738">
        <v>70</v>
      </c>
      <c r="V738">
        <v>13</v>
      </c>
      <c r="W738">
        <v>2</v>
      </c>
      <c r="X738">
        <v>23.422090729783037</v>
      </c>
      <c r="Y738">
        <v>28.763971071663377</v>
      </c>
      <c r="Z738">
        <v>5.3418803418803407</v>
      </c>
      <c r="AA738">
        <v>2</v>
      </c>
      <c r="AB738">
        <v>3</v>
      </c>
      <c r="AC738" t="s">
        <v>33</v>
      </c>
      <c r="AD738">
        <v>3</v>
      </c>
      <c r="AE738">
        <v>0</v>
      </c>
      <c r="AG738">
        <v>5</v>
      </c>
      <c r="AH738">
        <v>1</v>
      </c>
      <c r="AI738">
        <v>18</v>
      </c>
      <c r="AJ738">
        <v>2</v>
      </c>
      <c r="AK738">
        <v>7</v>
      </c>
      <c r="AL738">
        <v>1</v>
      </c>
      <c r="AM738">
        <f>AJ738*AK738*AL738/7</f>
        <v>2</v>
      </c>
      <c r="AN738" t="s">
        <v>217</v>
      </c>
      <c r="AO738">
        <v>0</v>
      </c>
      <c r="AV738">
        <f>AU738+AM738</f>
        <v>2</v>
      </c>
      <c r="AW738" t="s">
        <v>461</v>
      </c>
      <c r="AX738">
        <v>0</v>
      </c>
      <c r="BE738">
        <f>AM738+AU738+BD738</f>
        <v>2</v>
      </c>
      <c r="BF738" t="s">
        <v>461</v>
      </c>
      <c r="BG738">
        <v>1</v>
      </c>
      <c r="BH738">
        <v>7</v>
      </c>
      <c r="BI738">
        <v>1</v>
      </c>
      <c r="BJ738" t="s">
        <v>42</v>
      </c>
      <c r="BK738">
        <v>6</v>
      </c>
      <c r="BL738">
        <v>3</v>
      </c>
      <c r="BM738">
        <v>1</v>
      </c>
      <c r="BN738" t="s">
        <v>55</v>
      </c>
      <c r="BO738">
        <v>2</v>
      </c>
      <c r="BP738">
        <v>67</v>
      </c>
      <c r="BQ738">
        <v>0.1</v>
      </c>
      <c r="BR738">
        <v>1</v>
      </c>
      <c r="BS738">
        <v>0.1</v>
      </c>
      <c r="BT738">
        <f>BS738+BD738+AU738+AM738</f>
        <v>2.1</v>
      </c>
      <c r="BU738">
        <v>1</v>
      </c>
      <c r="BV738">
        <v>1</v>
      </c>
      <c r="BW738">
        <v>146.5</v>
      </c>
      <c r="BX738">
        <f>BW738/7</f>
        <v>20.928571428571427</v>
      </c>
      <c r="BY738">
        <f>0.77*BX738</f>
        <v>16.114999999999998</v>
      </c>
      <c r="BZ738">
        <f t="shared" si="11"/>
        <v>18.215</v>
      </c>
    </row>
    <row r="739" spans="1:78">
      <c r="A739" s="1">
        <v>45214.931972280094</v>
      </c>
      <c r="C739">
        <v>738</v>
      </c>
      <c r="D739" s="10">
        <v>33072</v>
      </c>
      <c r="E739">
        <v>33</v>
      </c>
      <c r="F739">
        <v>1</v>
      </c>
      <c r="G739">
        <v>8</v>
      </c>
      <c r="H739">
        <v>5</v>
      </c>
      <c r="I739" s="10">
        <v>44640</v>
      </c>
      <c r="J739">
        <v>1</v>
      </c>
      <c r="K739">
        <v>1</v>
      </c>
      <c r="L739">
        <v>2</v>
      </c>
      <c r="M739">
        <v>3650</v>
      </c>
      <c r="N739">
        <v>2</v>
      </c>
      <c r="O739" s="10">
        <v>44360</v>
      </c>
      <c r="P739">
        <v>1</v>
      </c>
      <c r="Q739">
        <v>40</v>
      </c>
      <c r="R739">
        <v>2</v>
      </c>
      <c r="S739">
        <v>68</v>
      </c>
      <c r="T739">
        <v>169</v>
      </c>
      <c r="U739">
        <v>80</v>
      </c>
      <c r="V739">
        <v>12</v>
      </c>
      <c r="W739">
        <v>2</v>
      </c>
      <c r="X739">
        <v>23.808690171912751</v>
      </c>
      <c r="Y739">
        <v>28.010223731662059</v>
      </c>
      <c r="Z739">
        <v>4.2015335597493078</v>
      </c>
      <c r="AA739">
        <v>2</v>
      </c>
      <c r="AB739">
        <v>3</v>
      </c>
      <c r="AC739" t="s">
        <v>33</v>
      </c>
      <c r="AD739">
        <v>3</v>
      </c>
      <c r="AE739">
        <v>0</v>
      </c>
      <c r="AG739">
        <v>5</v>
      </c>
      <c r="AH739">
        <v>1</v>
      </c>
      <c r="AI739">
        <v>25</v>
      </c>
      <c r="AJ739">
        <v>1</v>
      </c>
      <c r="AK739">
        <v>7</v>
      </c>
      <c r="AL739">
        <v>1</v>
      </c>
      <c r="AM739">
        <f>AJ739*AK739*AL739/7</f>
        <v>1</v>
      </c>
      <c r="AN739" t="s">
        <v>200</v>
      </c>
      <c r="AO739">
        <v>0</v>
      </c>
      <c r="AV739">
        <f>AU739+AM739</f>
        <v>1</v>
      </c>
      <c r="AX739">
        <v>0</v>
      </c>
      <c r="BE739">
        <f>AM739+AU739+BD739</f>
        <v>1</v>
      </c>
      <c r="BG739">
        <v>0</v>
      </c>
      <c r="BJ739" t="s">
        <v>42</v>
      </c>
      <c r="BK739">
        <v>6</v>
      </c>
      <c r="BL739">
        <v>1</v>
      </c>
      <c r="BM739">
        <v>1</v>
      </c>
      <c r="BN739" t="s">
        <v>37</v>
      </c>
      <c r="BO739">
        <v>4</v>
      </c>
      <c r="BP739">
        <v>55</v>
      </c>
      <c r="BQ739">
        <v>0.05</v>
      </c>
      <c r="BR739">
        <v>1</v>
      </c>
      <c r="BS739">
        <v>0.05</v>
      </c>
      <c r="BT739">
        <f>BS739+BD739+AU739+AM739</f>
        <v>1.05</v>
      </c>
      <c r="BU739">
        <v>1</v>
      </c>
      <c r="BV739">
        <v>1</v>
      </c>
      <c r="BW739">
        <v>146.5</v>
      </c>
      <c r="BX739">
        <f>BW739/7</f>
        <v>20.928571428571427</v>
      </c>
      <c r="BY739">
        <f>0.77*BX739</f>
        <v>16.114999999999998</v>
      </c>
      <c r="BZ739">
        <f t="shared" si="11"/>
        <v>17.164999999999999</v>
      </c>
    </row>
    <row r="740" spans="1:78">
      <c r="A740" s="1">
        <v>45214.933534895834</v>
      </c>
      <c r="C740">
        <v>739</v>
      </c>
      <c r="D740" s="10">
        <v>33191</v>
      </c>
      <c r="E740">
        <v>32</v>
      </c>
      <c r="F740">
        <v>1</v>
      </c>
      <c r="G740">
        <v>2</v>
      </c>
      <c r="H740">
        <v>4</v>
      </c>
      <c r="I740" s="10">
        <v>43107</v>
      </c>
      <c r="J740">
        <v>2</v>
      </c>
      <c r="K740">
        <v>0</v>
      </c>
      <c r="L740">
        <v>1</v>
      </c>
      <c r="M740">
        <v>3090</v>
      </c>
      <c r="N740">
        <v>2</v>
      </c>
      <c r="O740" s="10">
        <v>42848</v>
      </c>
      <c r="P740">
        <v>0</v>
      </c>
      <c r="Q740">
        <v>37</v>
      </c>
      <c r="R740">
        <v>2</v>
      </c>
      <c r="S740">
        <v>62</v>
      </c>
      <c r="T740">
        <v>150</v>
      </c>
      <c r="U740">
        <v>75</v>
      </c>
      <c r="V740">
        <v>13</v>
      </c>
      <c r="W740">
        <v>3</v>
      </c>
      <c r="X740">
        <v>27.555555555555557</v>
      </c>
      <c r="Y740">
        <v>33.333333333333336</v>
      </c>
      <c r="Z740">
        <v>5.7777777777777786</v>
      </c>
      <c r="AA740">
        <v>3</v>
      </c>
      <c r="AB740">
        <v>4</v>
      </c>
      <c r="AC740" t="s">
        <v>33</v>
      </c>
      <c r="AD740">
        <v>3</v>
      </c>
      <c r="AE740">
        <v>0</v>
      </c>
      <c r="AG740">
        <v>5</v>
      </c>
      <c r="AH740">
        <v>0</v>
      </c>
      <c r="AI740">
        <v>0</v>
      </c>
      <c r="AN740" t="s">
        <v>41</v>
      </c>
      <c r="AO740">
        <v>0</v>
      </c>
      <c r="AX740">
        <v>1</v>
      </c>
      <c r="AY740" t="s">
        <v>882</v>
      </c>
      <c r="AZ740">
        <v>1</v>
      </c>
      <c r="BA740">
        <v>0.8</v>
      </c>
      <c r="BB740">
        <v>7</v>
      </c>
      <c r="BC740">
        <v>1</v>
      </c>
      <c r="BD740">
        <f>BA740*BB740*1/7</f>
        <v>0.8</v>
      </c>
      <c r="BE740">
        <f>AM740+AU740+BD740</f>
        <v>0.8</v>
      </c>
      <c r="BF740" t="s">
        <v>882</v>
      </c>
      <c r="BG740">
        <v>0</v>
      </c>
      <c r="BH740">
        <v>7</v>
      </c>
      <c r="BI740">
        <v>1</v>
      </c>
      <c r="BJ740" t="s">
        <v>42</v>
      </c>
      <c r="BK740">
        <v>6</v>
      </c>
      <c r="BL740">
        <v>1</v>
      </c>
      <c r="BM740">
        <v>1</v>
      </c>
      <c r="BN740" t="s">
        <v>55</v>
      </c>
      <c r="BO740">
        <v>2</v>
      </c>
      <c r="BP740">
        <v>201</v>
      </c>
      <c r="BQ740">
        <v>0.1</v>
      </c>
      <c r="BR740">
        <v>3</v>
      </c>
      <c r="BS740">
        <v>0.30000000000000004</v>
      </c>
      <c r="BT740">
        <f>BS740+BD740+AU740+AM740</f>
        <v>1.1000000000000001</v>
      </c>
      <c r="BU740">
        <v>1</v>
      </c>
      <c r="BV740">
        <v>2</v>
      </c>
      <c r="BW740">
        <v>293</v>
      </c>
      <c r="BX740">
        <f>BW740/7</f>
        <v>41.857142857142854</v>
      </c>
      <c r="BY740">
        <f>0.77*BX740</f>
        <v>32.229999999999997</v>
      </c>
      <c r="BZ740">
        <f t="shared" si="11"/>
        <v>33.33</v>
      </c>
    </row>
    <row r="741" spans="1:78">
      <c r="A741" s="1">
        <v>45214.937252777774</v>
      </c>
      <c r="C741">
        <v>740</v>
      </c>
      <c r="D741" s="10">
        <v>34246</v>
      </c>
      <c r="E741">
        <v>30</v>
      </c>
      <c r="F741">
        <v>1</v>
      </c>
      <c r="G741">
        <v>10</v>
      </c>
      <c r="H741">
        <v>5</v>
      </c>
      <c r="I741" s="10">
        <v>43631</v>
      </c>
      <c r="J741">
        <v>2</v>
      </c>
      <c r="K741">
        <v>0</v>
      </c>
      <c r="L741">
        <v>1</v>
      </c>
      <c r="M741">
        <v>2850</v>
      </c>
      <c r="N741">
        <v>2</v>
      </c>
      <c r="O741" s="10">
        <v>43365</v>
      </c>
      <c r="P741">
        <v>0</v>
      </c>
      <c r="Q741">
        <v>38</v>
      </c>
      <c r="R741">
        <v>2</v>
      </c>
      <c r="S741">
        <v>66</v>
      </c>
      <c r="T741">
        <v>162</v>
      </c>
      <c r="U741">
        <v>81</v>
      </c>
      <c r="V741">
        <v>15</v>
      </c>
      <c r="W741">
        <v>3</v>
      </c>
      <c r="X741">
        <v>25.14860539551897</v>
      </c>
      <c r="Y741">
        <v>30.864197530864192</v>
      </c>
      <c r="Z741">
        <v>5.7155921353452221</v>
      </c>
      <c r="AA741">
        <v>3</v>
      </c>
      <c r="AB741">
        <v>4</v>
      </c>
      <c r="AC741" t="s">
        <v>33</v>
      </c>
      <c r="AD741">
        <v>3</v>
      </c>
      <c r="AE741">
        <v>0</v>
      </c>
      <c r="AG741">
        <v>5</v>
      </c>
      <c r="AH741">
        <v>1</v>
      </c>
      <c r="AI741">
        <v>4</v>
      </c>
      <c r="AJ741">
        <v>1</v>
      </c>
      <c r="AK741">
        <v>7</v>
      </c>
      <c r="AL741">
        <v>1</v>
      </c>
      <c r="AM741">
        <f>AJ741*AK741*AL741/7</f>
        <v>1</v>
      </c>
      <c r="AN741" t="s">
        <v>43</v>
      </c>
      <c r="AO741">
        <v>0</v>
      </c>
      <c r="AV741">
        <f>AU741+AM741</f>
        <v>1</v>
      </c>
      <c r="AX741">
        <v>0</v>
      </c>
      <c r="BE741">
        <f>AM741+AU741+BD741</f>
        <v>1</v>
      </c>
      <c r="BG741">
        <v>0</v>
      </c>
      <c r="BJ741" t="s">
        <v>28</v>
      </c>
      <c r="BK741">
        <v>3</v>
      </c>
      <c r="BL741">
        <v>1</v>
      </c>
      <c r="BM741">
        <v>1</v>
      </c>
      <c r="BN741" t="s">
        <v>30</v>
      </c>
      <c r="BO741">
        <v>1</v>
      </c>
      <c r="BP741">
        <v>84</v>
      </c>
      <c r="BQ741">
        <v>0.13</v>
      </c>
      <c r="BR741">
        <v>1</v>
      </c>
      <c r="BS741">
        <v>0.13</v>
      </c>
      <c r="BT741">
        <f>BS741+BD741+AU741+AM741</f>
        <v>1.1299999999999999</v>
      </c>
      <c r="BU741">
        <v>1</v>
      </c>
      <c r="BV741">
        <v>1</v>
      </c>
      <c r="BW741">
        <v>146.5</v>
      </c>
      <c r="BX741">
        <f>BW741/7</f>
        <v>20.928571428571427</v>
      </c>
      <c r="BY741">
        <f>0.77*BX741</f>
        <v>16.114999999999998</v>
      </c>
      <c r="BZ741">
        <f t="shared" si="11"/>
        <v>17.244999999999997</v>
      </c>
    </row>
    <row r="742" spans="1:78">
      <c r="A742" s="1">
        <v>45214.937404178243</v>
      </c>
      <c r="C742">
        <v>741</v>
      </c>
      <c r="D742" s="10">
        <v>32729</v>
      </c>
      <c r="E742">
        <v>34</v>
      </c>
      <c r="F742">
        <v>1</v>
      </c>
      <c r="G742">
        <v>4</v>
      </c>
      <c r="H742">
        <v>3</v>
      </c>
      <c r="I742" s="10">
        <v>44410</v>
      </c>
      <c r="J742">
        <v>1</v>
      </c>
      <c r="K742">
        <v>1</v>
      </c>
      <c r="L742">
        <v>2</v>
      </c>
      <c r="M742">
        <v>3420</v>
      </c>
      <c r="N742">
        <v>2</v>
      </c>
      <c r="O742" s="10">
        <v>44144</v>
      </c>
      <c r="P742">
        <v>1</v>
      </c>
      <c r="Q742">
        <v>38</v>
      </c>
      <c r="R742">
        <v>2</v>
      </c>
      <c r="S742">
        <v>70</v>
      </c>
      <c r="T742">
        <v>164</v>
      </c>
      <c r="U742">
        <v>81</v>
      </c>
      <c r="V742">
        <v>11</v>
      </c>
      <c r="W742">
        <v>2</v>
      </c>
      <c r="X742">
        <v>26.026174895895306</v>
      </c>
      <c r="Y742">
        <v>30.116002379535995</v>
      </c>
      <c r="Z742">
        <v>4.0898274836406898</v>
      </c>
      <c r="AA742">
        <v>3</v>
      </c>
      <c r="AB742">
        <v>4</v>
      </c>
      <c r="AC742" t="s">
        <v>33</v>
      </c>
      <c r="AD742">
        <v>3</v>
      </c>
      <c r="AE742">
        <v>0</v>
      </c>
      <c r="AG742">
        <v>5</v>
      </c>
      <c r="AH742">
        <v>0</v>
      </c>
      <c r="AI742">
        <v>0</v>
      </c>
      <c r="AN742" t="s">
        <v>41</v>
      </c>
      <c r="AO742">
        <v>0</v>
      </c>
      <c r="AX742">
        <v>1</v>
      </c>
      <c r="AY742" t="s">
        <v>882</v>
      </c>
      <c r="AZ742">
        <v>1</v>
      </c>
      <c r="BA742">
        <v>0.8</v>
      </c>
      <c r="BB742">
        <v>7</v>
      </c>
      <c r="BC742">
        <v>1</v>
      </c>
      <c r="BD742">
        <f>BA742*BB742*1/7</f>
        <v>0.8</v>
      </c>
      <c r="BE742">
        <f>AM742+AU742+BD742</f>
        <v>0.8</v>
      </c>
      <c r="BF742" t="s">
        <v>882</v>
      </c>
      <c r="BG742">
        <v>0</v>
      </c>
      <c r="BH742">
        <v>7</v>
      </c>
      <c r="BI742">
        <v>1</v>
      </c>
      <c r="BJ742" t="s">
        <v>36</v>
      </c>
      <c r="BK742">
        <v>4</v>
      </c>
      <c r="BL742">
        <v>1</v>
      </c>
      <c r="BM742">
        <v>1</v>
      </c>
      <c r="BN742" t="s">
        <v>37</v>
      </c>
      <c r="BO742">
        <v>4</v>
      </c>
      <c r="BP742">
        <v>110</v>
      </c>
      <c r="BQ742">
        <v>0.05</v>
      </c>
      <c r="BR742">
        <v>2</v>
      </c>
      <c r="BS742">
        <v>0.1</v>
      </c>
      <c r="BT742">
        <f>BS742+BD742+AU742+AM742</f>
        <v>0.9</v>
      </c>
      <c r="BU742">
        <v>1</v>
      </c>
      <c r="BV742">
        <v>2</v>
      </c>
      <c r="BW742">
        <v>293</v>
      </c>
      <c r="BX742">
        <f>BW742/7</f>
        <v>41.857142857142854</v>
      </c>
      <c r="BY742">
        <f>0.77*BX742</f>
        <v>32.229999999999997</v>
      </c>
      <c r="BZ742">
        <f t="shared" si="11"/>
        <v>33.129999999999995</v>
      </c>
    </row>
    <row r="743" spans="1:78">
      <c r="A743" s="1">
        <v>45214.93843991898</v>
      </c>
      <c r="C743">
        <v>742</v>
      </c>
      <c r="D743" s="10">
        <v>31429</v>
      </c>
      <c r="E743">
        <v>37</v>
      </c>
      <c r="F743">
        <v>1</v>
      </c>
      <c r="G743">
        <v>1</v>
      </c>
      <c r="H743">
        <v>3</v>
      </c>
      <c r="I743" s="10">
        <v>44875</v>
      </c>
      <c r="J743">
        <v>4</v>
      </c>
      <c r="K743">
        <v>0</v>
      </c>
      <c r="L743">
        <v>1</v>
      </c>
      <c r="M743">
        <v>3200</v>
      </c>
      <c r="N743">
        <v>2</v>
      </c>
      <c r="O743" s="10">
        <v>44602</v>
      </c>
      <c r="P743">
        <v>0</v>
      </c>
      <c r="Q743">
        <v>39</v>
      </c>
      <c r="R743">
        <v>2</v>
      </c>
      <c r="S743">
        <v>78</v>
      </c>
      <c r="T743">
        <v>160</v>
      </c>
      <c r="U743">
        <v>98</v>
      </c>
      <c r="V743">
        <v>20</v>
      </c>
      <c r="W743">
        <v>3</v>
      </c>
      <c r="X743">
        <v>30.468749999999993</v>
      </c>
      <c r="Y743">
        <v>38.281249999999993</v>
      </c>
      <c r="Z743">
        <v>7.8125</v>
      </c>
      <c r="AA743">
        <v>4</v>
      </c>
      <c r="AB743">
        <v>4</v>
      </c>
      <c r="AC743" t="s">
        <v>50</v>
      </c>
      <c r="AD743">
        <v>2</v>
      </c>
      <c r="AE743">
        <v>0</v>
      </c>
      <c r="AG743">
        <v>5</v>
      </c>
      <c r="AH743">
        <v>1</v>
      </c>
      <c r="AI743">
        <v>13</v>
      </c>
      <c r="AJ743">
        <v>1</v>
      </c>
      <c r="AK743">
        <v>7</v>
      </c>
      <c r="AL743">
        <v>1</v>
      </c>
      <c r="AM743">
        <f>AJ743*AK743*AL743/7</f>
        <v>1</v>
      </c>
      <c r="AN743" t="s">
        <v>79</v>
      </c>
      <c r="AO743">
        <v>0</v>
      </c>
      <c r="AV743">
        <f>AU743+AM743</f>
        <v>1</v>
      </c>
      <c r="AX743">
        <v>0</v>
      </c>
      <c r="BE743">
        <f>AM743+AU743+BD743</f>
        <v>1</v>
      </c>
      <c r="BG743">
        <v>0</v>
      </c>
      <c r="BJ743" t="s">
        <v>54</v>
      </c>
      <c r="BK743">
        <v>2</v>
      </c>
      <c r="BL743">
        <v>1</v>
      </c>
      <c r="BM743">
        <v>1</v>
      </c>
      <c r="BN743" t="s">
        <v>30</v>
      </c>
      <c r="BO743">
        <v>1</v>
      </c>
      <c r="BP743">
        <v>42</v>
      </c>
      <c r="BQ743">
        <v>0.13</v>
      </c>
      <c r="BR743">
        <v>0.5</v>
      </c>
      <c r="BS743">
        <v>6.5000000000000002E-2</v>
      </c>
      <c r="BT743">
        <f>BS743+BD743+AU743+AM743</f>
        <v>1.0649999999999999</v>
      </c>
      <c r="BU743">
        <v>1</v>
      </c>
      <c r="BV743">
        <v>1</v>
      </c>
      <c r="BW743">
        <v>146.5</v>
      </c>
      <c r="BX743">
        <f>BW743/7</f>
        <v>20.928571428571427</v>
      </c>
      <c r="BY743">
        <f>0.77*BX743</f>
        <v>16.114999999999998</v>
      </c>
      <c r="BZ743">
        <f t="shared" si="11"/>
        <v>17.18</v>
      </c>
    </row>
    <row r="744" spans="1:78">
      <c r="A744" s="1">
        <v>45214.938491134264</v>
      </c>
      <c r="C744">
        <v>743</v>
      </c>
      <c r="D744" s="10">
        <v>34936</v>
      </c>
      <c r="E744">
        <v>28</v>
      </c>
      <c r="F744">
        <v>1</v>
      </c>
      <c r="G744">
        <v>1</v>
      </c>
      <c r="H744">
        <v>2</v>
      </c>
      <c r="I744" s="10">
        <v>44832</v>
      </c>
      <c r="J744">
        <v>1</v>
      </c>
      <c r="K744">
        <v>1</v>
      </c>
      <c r="L744">
        <v>1</v>
      </c>
      <c r="M744">
        <v>3890</v>
      </c>
      <c r="N744">
        <v>2</v>
      </c>
      <c r="O744" s="10">
        <v>44552</v>
      </c>
      <c r="P744">
        <v>0</v>
      </c>
      <c r="Q744">
        <v>40</v>
      </c>
      <c r="R744">
        <v>2</v>
      </c>
      <c r="S744">
        <v>73</v>
      </c>
      <c r="T744">
        <v>156</v>
      </c>
      <c r="U744">
        <v>80</v>
      </c>
      <c r="V744">
        <v>7</v>
      </c>
      <c r="W744">
        <v>2</v>
      </c>
      <c r="X744">
        <v>29.996712689020377</v>
      </c>
      <c r="Y744">
        <v>32.873109796186718</v>
      </c>
      <c r="Z744">
        <v>2.8763971071663406</v>
      </c>
      <c r="AA744">
        <v>3</v>
      </c>
      <c r="AB744">
        <v>4</v>
      </c>
      <c r="AC744" t="s">
        <v>33</v>
      </c>
      <c r="AD744">
        <v>3</v>
      </c>
      <c r="AE744">
        <v>0</v>
      </c>
      <c r="AG744">
        <v>5</v>
      </c>
      <c r="AH744">
        <v>1</v>
      </c>
      <c r="AI744">
        <v>2</v>
      </c>
      <c r="AJ744">
        <v>5</v>
      </c>
      <c r="AK744">
        <v>7</v>
      </c>
      <c r="AL744">
        <v>1</v>
      </c>
      <c r="AM744">
        <f>AJ744*AK744*AL744/7</f>
        <v>5</v>
      </c>
      <c r="AN744" t="s">
        <v>57</v>
      </c>
      <c r="AO744">
        <v>0</v>
      </c>
      <c r="AV744">
        <f>AU744+AM744</f>
        <v>5</v>
      </c>
      <c r="AX744">
        <v>0</v>
      </c>
      <c r="BE744">
        <f>AM744+AU744+BD744</f>
        <v>5</v>
      </c>
      <c r="BG744">
        <v>0</v>
      </c>
      <c r="BJ744" t="s">
        <v>28</v>
      </c>
      <c r="BK744">
        <v>3</v>
      </c>
      <c r="BL744">
        <v>1</v>
      </c>
      <c r="BM744">
        <v>1</v>
      </c>
      <c r="BN744" t="s">
        <v>55</v>
      </c>
      <c r="BO744">
        <v>2</v>
      </c>
      <c r="BP744">
        <v>134</v>
      </c>
      <c r="BQ744">
        <v>0.1</v>
      </c>
      <c r="BR744">
        <v>2</v>
      </c>
      <c r="BS744">
        <v>0.2</v>
      </c>
      <c r="BT744">
        <f>BS744+BD744+AU744+AM744</f>
        <v>5.2</v>
      </c>
      <c r="BU744">
        <v>1</v>
      </c>
      <c r="BV744">
        <v>3</v>
      </c>
      <c r="BW744">
        <v>439.5</v>
      </c>
      <c r="BX744">
        <f>BW744/7</f>
        <v>62.785714285714285</v>
      </c>
      <c r="BY744">
        <f>0.77*BX744</f>
        <v>48.344999999999999</v>
      </c>
      <c r="BZ744">
        <f t="shared" si="11"/>
        <v>53.545000000000002</v>
      </c>
    </row>
    <row r="745" spans="1:78">
      <c r="A745" s="1">
        <v>45214.94107325231</v>
      </c>
      <c r="C745">
        <v>744</v>
      </c>
      <c r="D745" s="10">
        <v>34030</v>
      </c>
      <c r="E745">
        <v>30</v>
      </c>
      <c r="F745">
        <v>1</v>
      </c>
      <c r="G745">
        <v>4</v>
      </c>
      <c r="H745">
        <v>3</v>
      </c>
      <c r="I745" s="10">
        <v>44418</v>
      </c>
      <c r="J745">
        <v>2</v>
      </c>
      <c r="K745">
        <v>0</v>
      </c>
      <c r="L745">
        <v>1</v>
      </c>
      <c r="M745">
        <v>3350</v>
      </c>
      <c r="N745">
        <v>2</v>
      </c>
      <c r="O745" s="10">
        <v>44152</v>
      </c>
      <c r="P745">
        <v>1</v>
      </c>
      <c r="Q745">
        <v>38</v>
      </c>
      <c r="R745">
        <v>2</v>
      </c>
      <c r="S745">
        <v>70</v>
      </c>
      <c r="T745">
        <v>160</v>
      </c>
      <c r="U745">
        <v>71</v>
      </c>
      <c r="V745">
        <v>1</v>
      </c>
      <c r="W745">
        <v>1</v>
      </c>
      <c r="X745">
        <v>27.343749999999996</v>
      </c>
      <c r="Y745">
        <v>27.734374999999993</v>
      </c>
      <c r="Z745">
        <v>0.39062499999999645</v>
      </c>
      <c r="AA745">
        <v>3</v>
      </c>
      <c r="AB745">
        <v>3</v>
      </c>
      <c r="AC745" t="s">
        <v>33</v>
      </c>
      <c r="AD745">
        <v>3</v>
      </c>
      <c r="AE745">
        <v>0</v>
      </c>
      <c r="AG745">
        <v>5</v>
      </c>
      <c r="AH745">
        <v>1</v>
      </c>
      <c r="AI745">
        <v>13</v>
      </c>
      <c r="AJ745">
        <v>1</v>
      </c>
      <c r="AK745">
        <v>7</v>
      </c>
      <c r="AL745">
        <v>1</v>
      </c>
      <c r="AM745">
        <f>AJ745*AK745*AL745/7</f>
        <v>1</v>
      </c>
      <c r="AN745" t="s">
        <v>79</v>
      </c>
      <c r="AO745">
        <v>0</v>
      </c>
      <c r="AV745">
        <f>AU745+AM745</f>
        <v>1</v>
      </c>
      <c r="AX745">
        <v>0</v>
      </c>
      <c r="BE745">
        <f>AM745+AU745+BD745</f>
        <v>1</v>
      </c>
      <c r="BG745">
        <v>0</v>
      </c>
      <c r="BJ745" t="s">
        <v>49</v>
      </c>
      <c r="BK745">
        <v>5</v>
      </c>
      <c r="BL745">
        <v>1</v>
      </c>
      <c r="BM745">
        <v>1</v>
      </c>
      <c r="BN745" t="s">
        <v>55</v>
      </c>
      <c r="BO745">
        <v>2</v>
      </c>
      <c r="BP745">
        <v>134</v>
      </c>
      <c r="BQ745">
        <v>0.1</v>
      </c>
      <c r="BR745">
        <v>2</v>
      </c>
      <c r="BS745">
        <v>0.2</v>
      </c>
      <c r="BT745">
        <f>BS745+BD745+AU745+AM745</f>
        <v>1.2</v>
      </c>
      <c r="BU745">
        <v>1</v>
      </c>
      <c r="BV745">
        <v>2</v>
      </c>
      <c r="BW745">
        <v>293</v>
      </c>
      <c r="BX745">
        <f>BW745/7</f>
        <v>41.857142857142854</v>
      </c>
      <c r="BY745">
        <f>0.77*BX745</f>
        <v>32.229999999999997</v>
      </c>
      <c r="BZ745">
        <f t="shared" si="11"/>
        <v>33.43</v>
      </c>
    </row>
    <row r="746" spans="1:78">
      <c r="A746" s="1">
        <v>45214.944710821757</v>
      </c>
      <c r="C746">
        <v>745</v>
      </c>
      <c r="D746" s="10">
        <v>33570</v>
      </c>
      <c r="E746">
        <v>31</v>
      </c>
      <c r="F746">
        <v>1</v>
      </c>
      <c r="G746">
        <v>13</v>
      </c>
      <c r="H746">
        <v>4</v>
      </c>
      <c r="I746" s="10">
        <v>43950</v>
      </c>
      <c r="J746">
        <v>2</v>
      </c>
      <c r="K746">
        <v>0</v>
      </c>
      <c r="L746">
        <v>2</v>
      </c>
      <c r="M746">
        <v>2975</v>
      </c>
      <c r="N746">
        <v>2</v>
      </c>
      <c r="O746" s="10">
        <v>43677</v>
      </c>
      <c r="P746">
        <v>0</v>
      </c>
      <c r="Q746">
        <v>39</v>
      </c>
      <c r="R746">
        <v>2</v>
      </c>
      <c r="S746">
        <v>50</v>
      </c>
      <c r="T746">
        <v>158</v>
      </c>
      <c r="U746">
        <v>62</v>
      </c>
      <c r="V746">
        <v>12</v>
      </c>
      <c r="W746">
        <v>2</v>
      </c>
      <c r="X746">
        <v>20.028841531805796</v>
      </c>
      <c r="Y746">
        <v>24.835763499439189</v>
      </c>
      <c r="Z746">
        <v>4.806921967633393</v>
      </c>
      <c r="AA746">
        <v>2</v>
      </c>
      <c r="AB746">
        <v>2</v>
      </c>
      <c r="AC746" t="s">
        <v>44</v>
      </c>
      <c r="AD746">
        <v>1</v>
      </c>
      <c r="AE746">
        <v>0</v>
      </c>
      <c r="AG746">
        <v>5</v>
      </c>
      <c r="AH746">
        <v>1</v>
      </c>
      <c r="AI746">
        <v>2</v>
      </c>
      <c r="AJ746">
        <v>5</v>
      </c>
      <c r="AK746">
        <v>7</v>
      </c>
      <c r="AL746">
        <v>1</v>
      </c>
      <c r="AM746">
        <f>AJ746*AK746*AL746/7</f>
        <v>5</v>
      </c>
      <c r="AN746" t="s">
        <v>57</v>
      </c>
      <c r="AO746">
        <v>0</v>
      </c>
      <c r="AV746">
        <f>AU746+AM746</f>
        <v>5</v>
      </c>
      <c r="AW746" t="s">
        <v>689</v>
      </c>
      <c r="AX746">
        <v>0</v>
      </c>
      <c r="AY746" t="s">
        <v>116</v>
      </c>
      <c r="BE746">
        <f>AM746+AU746+BD746</f>
        <v>5</v>
      </c>
      <c r="BF746" t="s">
        <v>116</v>
      </c>
      <c r="BG746">
        <v>1</v>
      </c>
      <c r="BH746">
        <v>7</v>
      </c>
      <c r="BI746">
        <v>1</v>
      </c>
      <c r="BJ746" t="s">
        <v>49</v>
      </c>
      <c r="BK746">
        <v>5</v>
      </c>
      <c r="BL746">
        <v>4</v>
      </c>
      <c r="BM746">
        <v>1</v>
      </c>
      <c r="BN746" t="s">
        <v>30</v>
      </c>
      <c r="BO746">
        <v>1</v>
      </c>
      <c r="BP746">
        <v>336</v>
      </c>
      <c r="BQ746">
        <v>0.13</v>
      </c>
      <c r="BR746">
        <v>4</v>
      </c>
      <c r="BS746">
        <v>0.52</v>
      </c>
      <c r="BT746">
        <f>BS746+BD746+AU746+AM746</f>
        <v>5.52</v>
      </c>
      <c r="BU746">
        <v>1</v>
      </c>
      <c r="BV746">
        <v>0.5</v>
      </c>
      <c r="BW746">
        <v>73.25</v>
      </c>
      <c r="BX746">
        <f>BW746/7</f>
        <v>10.464285714285714</v>
      </c>
      <c r="BY746">
        <f>0.77*BX746</f>
        <v>8.0574999999999992</v>
      </c>
      <c r="BZ746">
        <f t="shared" si="11"/>
        <v>13.577499999999999</v>
      </c>
    </row>
    <row r="747" spans="1:78">
      <c r="A747" s="1">
        <v>45214.952950243052</v>
      </c>
      <c r="B747" t="s">
        <v>870</v>
      </c>
      <c r="C747">
        <v>746</v>
      </c>
      <c r="D747" s="10">
        <v>30946</v>
      </c>
      <c r="E747">
        <v>39</v>
      </c>
      <c r="F747">
        <v>2</v>
      </c>
      <c r="G747">
        <v>1</v>
      </c>
      <c r="H747">
        <v>4</v>
      </c>
      <c r="I747" s="10">
        <v>43351</v>
      </c>
      <c r="J747">
        <v>1</v>
      </c>
      <c r="K747">
        <v>1</v>
      </c>
      <c r="L747">
        <v>2</v>
      </c>
      <c r="M747">
        <v>2340</v>
      </c>
      <c r="N747">
        <v>1</v>
      </c>
      <c r="O747" s="10">
        <v>43089</v>
      </c>
      <c r="P747">
        <v>0</v>
      </c>
      <c r="Q747">
        <v>37.428571428571431</v>
      </c>
      <c r="R747">
        <v>2</v>
      </c>
      <c r="S747">
        <v>58</v>
      </c>
      <c r="T747">
        <v>156</v>
      </c>
      <c r="U747">
        <v>62</v>
      </c>
      <c r="V747">
        <v>4</v>
      </c>
      <c r="W747">
        <v>1</v>
      </c>
      <c r="X747">
        <v>23.83300460223537</v>
      </c>
      <c r="Y747">
        <v>25.476660092044707</v>
      </c>
      <c r="Z747">
        <v>1.643655489809337</v>
      </c>
      <c r="AA747">
        <v>2</v>
      </c>
      <c r="AB747">
        <v>3</v>
      </c>
      <c r="AC747" t="s">
        <v>127</v>
      </c>
      <c r="AD747">
        <v>4</v>
      </c>
      <c r="AE747">
        <v>1</v>
      </c>
      <c r="AF747" t="s">
        <v>457</v>
      </c>
      <c r="AG747" t="e">
        <v>#N/A</v>
      </c>
      <c r="AH747">
        <v>1</v>
      </c>
      <c r="AI747">
        <v>13</v>
      </c>
      <c r="AJ747">
        <v>1</v>
      </c>
      <c r="AK747">
        <v>1</v>
      </c>
      <c r="AL747">
        <v>1</v>
      </c>
      <c r="AM747">
        <f>AJ747*AK747*AL747/7</f>
        <v>0.14285714285714285</v>
      </c>
      <c r="AN747" t="s">
        <v>79</v>
      </c>
      <c r="AO747">
        <v>0</v>
      </c>
      <c r="AV747">
        <f>AU747+AM747</f>
        <v>0.14285714285714285</v>
      </c>
      <c r="AX747">
        <v>0</v>
      </c>
      <c r="BE747">
        <f>AM747+AU747+BD747</f>
        <v>0.14285714285714285</v>
      </c>
      <c r="BG747">
        <v>0</v>
      </c>
      <c r="BJ747" t="s">
        <v>49</v>
      </c>
      <c r="BK747">
        <v>5</v>
      </c>
      <c r="BL747">
        <v>1</v>
      </c>
      <c r="BM747">
        <v>1</v>
      </c>
      <c r="BN747" t="s">
        <v>59</v>
      </c>
      <c r="BO747">
        <v>3</v>
      </c>
      <c r="BP747">
        <v>112</v>
      </c>
      <c r="BQ747">
        <v>0.08</v>
      </c>
      <c r="BR747">
        <v>2</v>
      </c>
      <c r="BS747">
        <v>0.16</v>
      </c>
      <c r="BT747">
        <f>BS747+BD747+AU747+AM747</f>
        <v>0.30285714285714282</v>
      </c>
      <c r="BU747">
        <v>1</v>
      </c>
      <c r="BV747">
        <v>1</v>
      </c>
      <c r="BW747">
        <v>146.5</v>
      </c>
      <c r="BX747">
        <f>BW747/7</f>
        <v>20.928571428571427</v>
      </c>
      <c r="BY747">
        <f>0.77*BX747</f>
        <v>16.114999999999998</v>
      </c>
      <c r="BZ747">
        <f t="shared" si="11"/>
        <v>16.417857142857141</v>
      </c>
    </row>
    <row r="748" spans="1:78">
      <c r="A748" s="1">
        <v>45214.954828020833</v>
      </c>
      <c r="B748" t="s">
        <v>865</v>
      </c>
      <c r="C748">
        <v>747</v>
      </c>
      <c r="D748" s="10">
        <v>32291</v>
      </c>
      <c r="E748">
        <v>35</v>
      </c>
      <c r="F748">
        <v>1</v>
      </c>
      <c r="G748">
        <v>1</v>
      </c>
      <c r="H748">
        <v>5</v>
      </c>
      <c r="I748" s="10">
        <v>43516</v>
      </c>
      <c r="J748">
        <v>1</v>
      </c>
      <c r="K748">
        <v>1</v>
      </c>
      <c r="L748">
        <v>1</v>
      </c>
      <c r="M748">
        <v>2560</v>
      </c>
      <c r="N748">
        <v>2</v>
      </c>
      <c r="O748" s="10">
        <v>43245</v>
      </c>
      <c r="P748">
        <v>0</v>
      </c>
      <c r="Q748">
        <v>38.714285714285715</v>
      </c>
      <c r="R748">
        <v>2</v>
      </c>
      <c r="S748">
        <v>55</v>
      </c>
      <c r="T748">
        <v>150</v>
      </c>
      <c r="U748">
        <v>64</v>
      </c>
      <c r="V748">
        <v>9</v>
      </c>
      <c r="W748">
        <v>1</v>
      </c>
      <c r="X748">
        <v>24.444444444444443</v>
      </c>
      <c r="Y748">
        <v>28.444444444444443</v>
      </c>
      <c r="Z748">
        <v>4</v>
      </c>
      <c r="AA748">
        <v>2</v>
      </c>
      <c r="AB748">
        <v>3</v>
      </c>
      <c r="AC748" t="s">
        <v>50</v>
      </c>
      <c r="AD748">
        <v>2</v>
      </c>
      <c r="AE748">
        <v>1</v>
      </c>
      <c r="AF748" t="s">
        <v>386</v>
      </c>
      <c r="AG748">
        <v>4</v>
      </c>
      <c r="AH748">
        <v>1</v>
      </c>
      <c r="AI748">
        <v>1</v>
      </c>
      <c r="AJ748">
        <v>1</v>
      </c>
      <c r="AK748">
        <v>7</v>
      </c>
      <c r="AL748">
        <v>1</v>
      </c>
      <c r="AM748">
        <f>AJ748*AK748*AL748/7</f>
        <v>1</v>
      </c>
      <c r="AN748" t="s">
        <v>56</v>
      </c>
      <c r="AO748">
        <v>0</v>
      </c>
      <c r="AV748">
        <f>AU748+AM748</f>
        <v>1</v>
      </c>
      <c r="AW748" t="s">
        <v>689</v>
      </c>
      <c r="AX748">
        <v>0</v>
      </c>
      <c r="AY748" t="s">
        <v>116</v>
      </c>
      <c r="BE748">
        <f>AM748+AU748+BD748</f>
        <v>1</v>
      </c>
      <c r="BF748" t="s">
        <v>116</v>
      </c>
      <c r="BG748">
        <v>1</v>
      </c>
      <c r="BH748">
        <v>7</v>
      </c>
      <c r="BI748">
        <v>1</v>
      </c>
      <c r="BJ748" t="s">
        <v>28</v>
      </c>
      <c r="BK748">
        <v>3</v>
      </c>
      <c r="BL748">
        <v>4</v>
      </c>
      <c r="BM748">
        <v>1</v>
      </c>
      <c r="BN748" t="s">
        <v>37</v>
      </c>
      <c r="BO748">
        <v>4</v>
      </c>
      <c r="BP748">
        <v>55</v>
      </c>
      <c r="BQ748">
        <v>0.05</v>
      </c>
      <c r="BR748">
        <v>1</v>
      </c>
      <c r="BS748">
        <v>0.05</v>
      </c>
      <c r="BT748">
        <f>BS748+BD748+AU748+AM748</f>
        <v>1.05</v>
      </c>
      <c r="BU748">
        <v>1</v>
      </c>
      <c r="BV748">
        <v>1</v>
      </c>
      <c r="BW748">
        <v>146.5</v>
      </c>
      <c r="BX748">
        <f>BW748/7</f>
        <v>20.928571428571427</v>
      </c>
      <c r="BY748">
        <f>0.77*BX748</f>
        <v>16.114999999999998</v>
      </c>
      <c r="BZ748">
        <f t="shared" si="11"/>
        <v>17.164999999999999</v>
      </c>
    </row>
    <row r="749" spans="1:78">
      <c r="A749" s="1">
        <v>45214.958605509259</v>
      </c>
      <c r="C749">
        <v>748</v>
      </c>
      <c r="D749" s="10">
        <v>31001</v>
      </c>
      <c r="E749">
        <v>38</v>
      </c>
      <c r="F749">
        <v>1</v>
      </c>
      <c r="G749">
        <v>1</v>
      </c>
      <c r="H749">
        <v>5</v>
      </c>
      <c r="I749" s="10">
        <v>43657</v>
      </c>
      <c r="J749">
        <v>1</v>
      </c>
      <c r="K749">
        <v>1</v>
      </c>
      <c r="L749">
        <v>2</v>
      </c>
      <c r="M749">
        <v>2670</v>
      </c>
      <c r="N749">
        <v>2</v>
      </c>
      <c r="O749" s="10">
        <v>43388</v>
      </c>
      <c r="P749">
        <v>0</v>
      </c>
      <c r="Q749">
        <v>38.428571428571431</v>
      </c>
      <c r="R749">
        <v>2</v>
      </c>
      <c r="S749">
        <v>53</v>
      </c>
      <c r="T749">
        <v>157</v>
      </c>
      <c r="U749">
        <v>62</v>
      </c>
      <c r="V749">
        <v>9</v>
      </c>
      <c r="W749">
        <v>1</v>
      </c>
      <c r="X749">
        <v>21.501886486267189</v>
      </c>
      <c r="Y749">
        <v>25.153150229218223</v>
      </c>
      <c r="Z749">
        <v>3.6512637429510342</v>
      </c>
      <c r="AA749">
        <v>2</v>
      </c>
      <c r="AB749">
        <v>3</v>
      </c>
      <c r="AC749" t="s">
        <v>33</v>
      </c>
      <c r="AD749">
        <v>3</v>
      </c>
      <c r="AE749">
        <v>0</v>
      </c>
      <c r="AG749">
        <v>5</v>
      </c>
      <c r="AH749">
        <v>1</v>
      </c>
      <c r="AI749">
        <v>4</v>
      </c>
      <c r="AJ749">
        <v>1</v>
      </c>
      <c r="AK749">
        <v>7</v>
      </c>
      <c r="AL749">
        <v>1</v>
      </c>
      <c r="AM749">
        <f>AJ749*AK749*AL749/7</f>
        <v>1</v>
      </c>
      <c r="AN749" t="s">
        <v>43</v>
      </c>
      <c r="AO749">
        <v>0</v>
      </c>
      <c r="AV749">
        <f>AU749+AM749</f>
        <v>1</v>
      </c>
      <c r="AW749" t="s">
        <v>334</v>
      </c>
      <c r="AX749">
        <v>0</v>
      </c>
      <c r="BE749">
        <f>AM749+AU749+BD749</f>
        <v>1</v>
      </c>
      <c r="BF749" t="s">
        <v>334</v>
      </c>
      <c r="BG749">
        <v>1</v>
      </c>
      <c r="BH749">
        <v>7</v>
      </c>
      <c r="BI749">
        <v>2</v>
      </c>
      <c r="BJ749" t="s">
        <v>28</v>
      </c>
      <c r="BK749">
        <v>3</v>
      </c>
      <c r="BL749">
        <v>3</v>
      </c>
      <c r="BM749">
        <v>1</v>
      </c>
      <c r="BN749" t="s">
        <v>37</v>
      </c>
      <c r="BO749">
        <v>4</v>
      </c>
      <c r="BP749">
        <v>110</v>
      </c>
      <c r="BQ749">
        <v>0.05</v>
      </c>
      <c r="BR749">
        <v>2</v>
      </c>
      <c r="BS749">
        <v>0.1</v>
      </c>
      <c r="BT749">
        <f>BS749+BD749+AU749+AM749</f>
        <v>1.1000000000000001</v>
      </c>
      <c r="BU749">
        <v>1</v>
      </c>
      <c r="BV749">
        <v>2</v>
      </c>
      <c r="BW749">
        <v>293</v>
      </c>
      <c r="BX749">
        <f>BW749/7</f>
        <v>41.857142857142854</v>
      </c>
      <c r="BY749">
        <f>0.77*BX749</f>
        <v>32.229999999999997</v>
      </c>
      <c r="BZ749">
        <f t="shared" si="11"/>
        <v>33.33</v>
      </c>
    </row>
    <row r="750" spans="1:78">
      <c r="A750" s="1">
        <v>45214.966894571757</v>
      </c>
      <c r="C750">
        <v>749</v>
      </c>
      <c r="D750" s="10">
        <v>31786</v>
      </c>
      <c r="E750">
        <v>36</v>
      </c>
      <c r="F750">
        <v>1</v>
      </c>
      <c r="G750">
        <v>11</v>
      </c>
      <c r="H750">
        <v>4</v>
      </c>
      <c r="I750" s="10">
        <v>43598</v>
      </c>
      <c r="J750">
        <v>2</v>
      </c>
      <c r="K750">
        <v>0</v>
      </c>
      <c r="L750">
        <v>2</v>
      </c>
      <c r="M750">
        <v>3360</v>
      </c>
      <c r="N750">
        <v>2</v>
      </c>
      <c r="O750" s="10">
        <v>43321</v>
      </c>
      <c r="P750">
        <v>0</v>
      </c>
      <c r="Q750">
        <v>39.571428571428569</v>
      </c>
      <c r="R750">
        <v>2</v>
      </c>
      <c r="S750">
        <v>76</v>
      </c>
      <c r="T750">
        <v>160</v>
      </c>
      <c r="U750">
        <v>84</v>
      </c>
      <c r="V750">
        <v>8</v>
      </c>
      <c r="W750">
        <v>2</v>
      </c>
      <c r="X750">
        <v>29.687499999999993</v>
      </c>
      <c r="Y750">
        <v>32.812499999999993</v>
      </c>
      <c r="Z750">
        <v>3.125</v>
      </c>
      <c r="AA750">
        <v>3</v>
      </c>
      <c r="AB750">
        <v>4</v>
      </c>
      <c r="AC750" t="s">
        <v>33</v>
      </c>
      <c r="AD750">
        <v>3</v>
      </c>
      <c r="AE750">
        <v>0</v>
      </c>
      <c r="AG750">
        <v>5</v>
      </c>
      <c r="AH750">
        <v>1</v>
      </c>
      <c r="AI750">
        <v>2</v>
      </c>
      <c r="AJ750">
        <v>5</v>
      </c>
      <c r="AK750">
        <v>7</v>
      </c>
      <c r="AL750">
        <v>1</v>
      </c>
      <c r="AM750">
        <f>AJ750*AK750*AL750/7</f>
        <v>5</v>
      </c>
      <c r="AN750" t="s">
        <v>57</v>
      </c>
      <c r="AO750">
        <v>0</v>
      </c>
      <c r="AV750">
        <f>AU750+AM750</f>
        <v>5</v>
      </c>
      <c r="AW750" t="s">
        <v>465</v>
      </c>
      <c r="AX750">
        <v>1</v>
      </c>
      <c r="AY750" t="s">
        <v>465</v>
      </c>
      <c r="AZ750">
        <v>4</v>
      </c>
      <c r="BA750">
        <v>0.2</v>
      </c>
      <c r="BB750">
        <v>7</v>
      </c>
      <c r="BC750">
        <v>1</v>
      </c>
      <c r="BD750">
        <f>BA750*BB750*1/7</f>
        <v>0.2</v>
      </c>
      <c r="BE750">
        <f>AM750+AU750+BD750</f>
        <v>5.2</v>
      </c>
      <c r="BF750" t="s">
        <v>465</v>
      </c>
      <c r="BG750">
        <v>0</v>
      </c>
      <c r="BH750">
        <v>7</v>
      </c>
      <c r="BI750">
        <v>1</v>
      </c>
      <c r="BJ750" t="s">
        <v>28</v>
      </c>
      <c r="BK750">
        <v>3</v>
      </c>
      <c r="BL750">
        <v>1</v>
      </c>
      <c r="BM750">
        <v>1</v>
      </c>
      <c r="BN750" t="s">
        <v>30</v>
      </c>
      <c r="BO750">
        <v>1</v>
      </c>
      <c r="BP750">
        <v>168</v>
      </c>
      <c r="BQ750">
        <v>0.13</v>
      </c>
      <c r="BR750">
        <v>2</v>
      </c>
      <c r="BS750">
        <v>0.26</v>
      </c>
      <c r="BT750">
        <f>BS750+BD750+AU750+AM750</f>
        <v>5.46</v>
      </c>
      <c r="BU750">
        <v>1</v>
      </c>
      <c r="BV750">
        <v>1</v>
      </c>
      <c r="BW750">
        <v>146.5</v>
      </c>
      <c r="BX750">
        <f>BW750/7</f>
        <v>20.928571428571427</v>
      </c>
      <c r="BY750">
        <f>0.77*BX750</f>
        <v>16.114999999999998</v>
      </c>
      <c r="BZ750">
        <f t="shared" si="11"/>
        <v>21.574999999999999</v>
      </c>
    </row>
    <row r="751" spans="1:78">
      <c r="A751" s="1">
        <v>45214.974850289349</v>
      </c>
      <c r="C751">
        <v>750</v>
      </c>
      <c r="D751" s="10">
        <v>45097</v>
      </c>
      <c r="E751">
        <v>35</v>
      </c>
      <c r="F751">
        <v>1</v>
      </c>
      <c r="G751">
        <v>1</v>
      </c>
      <c r="H751">
        <v>5</v>
      </c>
      <c r="I751" s="10">
        <v>44802</v>
      </c>
      <c r="J751">
        <v>1</v>
      </c>
      <c r="K751">
        <v>1</v>
      </c>
      <c r="L751">
        <v>2</v>
      </c>
      <c r="M751">
        <v>3490</v>
      </c>
      <c r="N751">
        <v>2</v>
      </c>
      <c r="O751" s="10">
        <v>44802</v>
      </c>
      <c r="P751">
        <v>0</v>
      </c>
      <c r="S751">
        <v>61.4</v>
      </c>
      <c r="T751">
        <v>157</v>
      </c>
      <c r="U751">
        <v>69</v>
      </c>
      <c r="V751">
        <v>7.6000000000000014</v>
      </c>
      <c r="W751">
        <v>1</v>
      </c>
      <c r="X751">
        <v>24.909732646354819</v>
      </c>
      <c r="Y751">
        <v>27.993022029291247</v>
      </c>
      <c r="Z751">
        <v>3.0832893829364281</v>
      </c>
      <c r="AA751">
        <v>2</v>
      </c>
      <c r="AB751">
        <v>3</v>
      </c>
      <c r="AC751" t="s">
        <v>33</v>
      </c>
      <c r="AD751">
        <v>3</v>
      </c>
      <c r="AE751">
        <v>0</v>
      </c>
      <c r="AG751">
        <v>5</v>
      </c>
      <c r="AH751">
        <v>0</v>
      </c>
      <c r="AI751">
        <v>0</v>
      </c>
      <c r="AN751" t="s">
        <v>314</v>
      </c>
      <c r="AO751">
        <v>0</v>
      </c>
      <c r="AX751">
        <v>1</v>
      </c>
      <c r="AY751" t="s">
        <v>314</v>
      </c>
      <c r="AZ751">
        <v>5</v>
      </c>
      <c r="BA751">
        <v>0.4</v>
      </c>
      <c r="BB751">
        <v>7</v>
      </c>
      <c r="BC751">
        <v>1</v>
      </c>
      <c r="BD751">
        <f>BA751*BB751*1/7</f>
        <v>0.4</v>
      </c>
      <c r="BE751">
        <f>AM751+AU751+BD751</f>
        <v>0.4</v>
      </c>
      <c r="BF751" t="s">
        <v>314</v>
      </c>
      <c r="BG751">
        <v>0</v>
      </c>
      <c r="BH751">
        <v>7</v>
      </c>
      <c r="BI751">
        <v>1</v>
      </c>
      <c r="BJ751" t="s">
        <v>42</v>
      </c>
      <c r="BK751">
        <v>6</v>
      </c>
      <c r="BL751">
        <v>3</v>
      </c>
      <c r="BM751">
        <v>1</v>
      </c>
      <c r="BN751" t="s">
        <v>30</v>
      </c>
      <c r="BO751">
        <v>1</v>
      </c>
      <c r="BP751">
        <v>42</v>
      </c>
      <c r="BQ751">
        <v>0.13</v>
      </c>
      <c r="BR751">
        <v>0.5</v>
      </c>
      <c r="BS751">
        <v>6.5000000000000002E-2</v>
      </c>
      <c r="BT751">
        <f>BS751+BD751+AU751+AM751</f>
        <v>0.46500000000000002</v>
      </c>
      <c r="BU751">
        <v>1</v>
      </c>
      <c r="BV751">
        <v>1</v>
      </c>
      <c r="BW751">
        <v>146.5</v>
      </c>
      <c r="BX751">
        <f>BW751/7</f>
        <v>20.928571428571427</v>
      </c>
      <c r="BY751">
        <f>0.77*BX751</f>
        <v>16.114999999999998</v>
      </c>
      <c r="BZ751">
        <f t="shared" si="11"/>
        <v>16.579999999999998</v>
      </c>
    </row>
    <row r="752" spans="1:78">
      <c r="A752" s="1">
        <v>45214.977525555558</v>
      </c>
      <c r="C752">
        <v>751</v>
      </c>
      <c r="D752" s="10">
        <v>35800</v>
      </c>
      <c r="E752">
        <v>25</v>
      </c>
      <c r="F752">
        <v>1</v>
      </c>
      <c r="G752">
        <v>1</v>
      </c>
      <c r="H752">
        <v>4</v>
      </c>
      <c r="I752" s="10">
        <v>44926</v>
      </c>
      <c r="J752">
        <v>2</v>
      </c>
      <c r="K752">
        <v>0</v>
      </c>
      <c r="L752">
        <v>2</v>
      </c>
      <c r="M752">
        <v>1600</v>
      </c>
      <c r="N752">
        <v>1</v>
      </c>
      <c r="O752" s="10">
        <v>44709</v>
      </c>
      <c r="P752">
        <v>0</v>
      </c>
      <c r="Q752">
        <v>31</v>
      </c>
      <c r="R752">
        <v>4</v>
      </c>
      <c r="S752">
        <v>58</v>
      </c>
      <c r="T752">
        <v>158</v>
      </c>
      <c r="U752">
        <v>62</v>
      </c>
      <c r="V752">
        <v>4</v>
      </c>
      <c r="W752">
        <v>1</v>
      </c>
      <c r="X752">
        <v>23.233456176894723</v>
      </c>
      <c r="Y752">
        <v>24.835763499439189</v>
      </c>
      <c r="Z752">
        <v>1.6023073225444655</v>
      </c>
      <c r="AA752">
        <v>2</v>
      </c>
      <c r="AB752">
        <v>2</v>
      </c>
      <c r="AC752" t="s">
        <v>33</v>
      </c>
      <c r="AD752">
        <v>3</v>
      </c>
      <c r="AE752">
        <v>0</v>
      </c>
      <c r="AG752">
        <v>5</v>
      </c>
      <c r="AH752">
        <v>1</v>
      </c>
      <c r="AI752">
        <v>1</v>
      </c>
      <c r="AJ752">
        <v>1</v>
      </c>
      <c r="AK752">
        <v>7</v>
      </c>
      <c r="AL752">
        <v>1</v>
      </c>
      <c r="AM752">
        <f>AJ752*AK752*AL752/7</f>
        <v>1</v>
      </c>
      <c r="AN752" t="s">
        <v>56</v>
      </c>
      <c r="AO752">
        <v>0</v>
      </c>
      <c r="AV752">
        <f>AU752+AM752</f>
        <v>1</v>
      </c>
      <c r="AW752" t="s">
        <v>466</v>
      </c>
      <c r="AX752">
        <v>0</v>
      </c>
      <c r="BE752">
        <f>AM752+AU752+BD752</f>
        <v>1</v>
      </c>
      <c r="BF752" t="s">
        <v>466</v>
      </c>
      <c r="BG752">
        <v>1</v>
      </c>
      <c r="BH752">
        <v>7</v>
      </c>
      <c r="BI752">
        <v>1</v>
      </c>
      <c r="BJ752" t="s">
        <v>42</v>
      </c>
      <c r="BK752">
        <v>6</v>
      </c>
      <c r="BL752">
        <v>1</v>
      </c>
      <c r="BM752">
        <v>1</v>
      </c>
      <c r="BN752" t="s">
        <v>30</v>
      </c>
      <c r="BO752">
        <v>1</v>
      </c>
      <c r="BP752">
        <v>42</v>
      </c>
      <c r="BQ752">
        <v>0.13</v>
      </c>
      <c r="BR752">
        <v>0.5</v>
      </c>
      <c r="BS752">
        <v>6.5000000000000002E-2</v>
      </c>
      <c r="BT752">
        <f>BS752+BD752+AU752+AM752</f>
        <v>1.0649999999999999</v>
      </c>
      <c r="BU752">
        <v>1</v>
      </c>
      <c r="BV752">
        <v>0.5</v>
      </c>
      <c r="BW752">
        <v>73.25</v>
      </c>
      <c r="BX752">
        <f>BW752/7</f>
        <v>10.464285714285714</v>
      </c>
      <c r="BY752">
        <f>0.77*BX752</f>
        <v>8.0574999999999992</v>
      </c>
      <c r="BZ752">
        <f t="shared" si="11"/>
        <v>9.1224999999999987</v>
      </c>
    </row>
    <row r="753" spans="1:78">
      <c r="A753" s="1">
        <v>45214.987822395837</v>
      </c>
      <c r="C753">
        <v>752</v>
      </c>
      <c r="D753" s="10">
        <v>32813</v>
      </c>
      <c r="E753">
        <v>33</v>
      </c>
      <c r="F753">
        <v>1</v>
      </c>
      <c r="G753">
        <v>1</v>
      </c>
      <c r="H753">
        <v>4</v>
      </c>
      <c r="I753" s="10">
        <v>44825</v>
      </c>
      <c r="J753">
        <v>3</v>
      </c>
      <c r="K753">
        <v>0</v>
      </c>
      <c r="L753">
        <v>1</v>
      </c>
      <c r="M753">
        <v>2890</v>
      </c>
      <c r="N753">
        <v>2</v>
      </c>
      <c r="O753" s="10">
        <v>44566</v>
      </c>
      <c r="P753">
        <v>0</v>
      </c>
      <c r="Q753">
        <v>37</v>
      </c>
      <c r="R753">
        <v>2</v>
      </c>
      <c r="S753">
        <v>89</v>
      </c>
      <c r="T753">
        <v>166</v>
      </c>
      <c r="U753">
        <v>96</v>
      </c>
      <c r="V753">
        <v>7</v>
      </c>
      <c r="W753">
        <v>2</v>
      </c>
      <c r="X753">
        <v>32.29786616344898</v>
      </c>
      <c r="Y753">
        <v>34.838147771810135</v>
      </c>
      <c r="Z753">
        <v>2.5402816083611555</v>
      </c>
      <c r="AA753">
        <v>4</v>
      </c>
      <c r="AB753">
        <v>4</v>
      </c>
      <c r="AC753" t="s">
        <v>25</v>
      </c>
      <c r="AD753">
        <v>1</v>
      </c>
      <c r="AE753">
        <v>1</v>
      </c>
      <c r="AF753" t="s">
        <v>467</v>
      </c>
      <c r="AG753">
        <v>4</v>
      </c>
      <c r="AH753">
        <v>1</v>
      </c>
      <c r="AI753">
        <v>13</v>
      </c>
      <c r="AJ753">
        <v>1</v>
      </c>
      <c r="AK753">
        <v>7</v>
      </c>
      <c r="AL753">
        <v>1</v>
      </c>
      <c r="AM753">
        <f>AJ753*AK753*AL753/7</f>
        <v>1</v>
      </c>
      <c r="AN753" t="s">
        <v>79</v>
      </c>
      <c r="AO753">
        <v>0</v>
      </c>
      <c r="AV753">
        <f>AU753+AM753</f>
        <v>1</v>
      </c>
      <c r="AX753">
        <v>0</v>
      </c>
      <c r="BE753">
        <f>AM753+AU753+BD753</f>
        <v>1</v>
      </c>
      <c r="BG753">
        <v>0</v>
      </c>
      <c r="BJ753" t="s">
        <v>42</v>
      </c>
      <c r="BK753">
        <v>6</v>
      </c>
      <c r="BL753">
        <v>1</v>
      </c>
      <c r="BM753">
        <v>1</v>
      </c>
      <c r="BN753" t="s">
        <v>30</v>
      </c>
      <c r="BO753">
        <v>1</v>
      </c>
      <c r="BP753">
        <v>168</v>
      </c>
      <c r="BQ753">
        <v>0.13</v>
      </c>
      <c r="BR753">
        <v>2</v>
      </c>
      <c r="BS753">
        <v>0.26</v>
      </c>
      <c r="BT753">
        <f>BS753+BD753+AU753+AM753</f>
        <v>1.26</v>
      </c>
      <c r="BU753">
        <v>1</v>
      </c>
      <c r="BV753">
        <v>2</v>
      </c>
      <c r="BW753">
        <v>293</v>
      </c>
      <c r="BX753">
        <f>BW753/7</f>
        <v>41.857142857142854</v>
      </c>
      <c r="BY753">
        <f>0.77*BX753</f>
        <v>32.229999999999997</v>
      </c>
      <c r="BZ753">
        <f t="shared" si="11"/>
        <v>33.489999999999995</v>
      </c>
    </row>
    <row r="754" spans="1:78">
      <c r="A754" s="1">
        <v>45214.992472083337</v>
      </c>
      <c r="C754">
        <v>753</v>
      </c>
      <c r="D754" s="10">
        <v>32119</v>
      </c>
      <c r="E754">
        <v>35</v>
      </c>
      <c r="F754">
        <v>1</v>
      </c>
      <c r="G754">
        <v>3</v>
      </c>
      <c r="H754">
        <v>4</v>
      </c>
      <c r="I754" s="10">
        <v>43900</v>
      </c>
      <c r="J754">
        <v>2</v>
      </c>
      <c r="K754">
        <v>0</v>
      </c>
      <c r="L754">
        <v>1</v>
      </c>
      <c r="M754">
        <v>3150</v>
      </c>
      <c r="N754">
        <v>2</v>
      </c>
      <c r="O754" s="10">
        <v>43641</v>
      </c>
      <c r="P754">
        <v>0</v>
      </c>
      <c r="Q754">
        <v>37</v>
      </c>
      <c r="R754">
        <v>2</v>
      </c>
      <c r="S754">
        <v>66</v>
      </c>
      <c r="T754">
        <v>161</v>
      </c>
      <c r="U754">
        <v>76</v>
      </c>
      <c r="V754">
        <v>10</v>
      </c>
      <c r="W754">
        <v>2</v>
      </c>
      <c r="X754">
        <v>25.461980633463213</v>
      </c>
      <c r="Y754">
        <v>29.319856487018246</v>
      </c>
      <c r="Z754">
        <v>3.8578758535550328</v>
      </c>
      <c r="AA754">
        <v>3</v>
      </c>
      <c r="AB754">
        <v>3</v>
      </c>
      <c r="AC754" t="s">
        <v>44</v>
      </c>
      <c r="AD754">
        <v>1</v>
      </c>
      <c r="AE754">
        <v>0</v>
      </c>
      <c r="AG754">
        <v>5</v>
      </c>
      <c r="AH754">
        <v>1</v>
      </c>
      <c r="AI754">
        <v>13</v>
      </c>
      <c r="AJ754">
        <v>1</v>
      </c>
      <c r="AK754">
        <v>7</v>
      </c>
      <c r="AL754">
        <v>1</v>
      </c>
      <c r="AM754">
        <f>AJ754*AK754*AL754/7</f>
        <v>1</v>
      </c>
      <c r="AN754" t="s">
        <v>79</v>
      </c>
      <c r="AO754">
        <v>0</v>
      </c>
      <c r="AV754">
        <f>AU754+AM754</f>
        <v>1</v>
      </c>
      <c r="AX754">
        <v>0</v>
      </c>
      <c r="BE754">
        <f>AM754+AU754+BD754</f>
        <v>1</v>
      </c>
      <c r="BG754">
        <v>0</v>
      </c>
      <c r="BJ754" t="s">
        <v>49</v>
      </c>
      <c r="BK754">
        <v>5</v>
      </c>
      <c r="BL754">
        <v>1</v>
      </c>
      <c r="BM754">
        <v>1</v>
      </c>
      <c r="BN754" t="s">
        <v>30</v>
      </c>
      <c r="BO754">
        <v>1</v>
      </c>
      <c r="BP754">
        <v>168</v>
      </c>
      <c r="BQ754">
        <v>0.13</v>
      </c>
      <c r="BR754">
        <v>2</v>
      </c>
      <c r="BS754">
        <v>0.26</v>
      </c>
      <c r="BT754">
        <f>BS754+BD754+AU754+AM754</f>
        <v>1.26</v>
      </c>
      <c r="BU754">
        <v>1</v>
      </c>
      <c r="BV754">
        <v>3</v>
      </c>
      <c r="BW754">
        <v>439.5</v>
      </c>
      <c r="BX754">
        <f>BW754/7</f>
        <v>62.785714285714285</v>
      </c>
      <c r="BY754">
        <f>0.77*BX754</f>
        <v>48.344999999999999</v>
      </c>
      <c r="BZ754">
        <f t="shared" si="11"/>
        <v>49.604999999999997</v>
      </c>
    </row>
    <row r="755" spans="1:78">
      <c r="A755" s="1">
        <v>45214.992734155094</v>
      </c>
      <c r="C755">
        <v>754</v>
      </c>
      <c r="D755" s="10">
        <v>31428</v>
      </c>
      <c r="E755">
        <v>37</v>
      </c>
      <c r="F755">
        <v>1</v>
      </c>
      <c r="G755">
        <v>1</v>
      </c>
      <c r="H755">
        <v>4</v>
      </c>
      <c r="I755" s="10">
        <v>45049</v>
      </c>
      <c r="J755">
        <v>2</v>
      </c>
      <c r="K755">
        <v>0</v>
      </c>
      <c r="L755">
        <v>1</v>
      </c>
      <c r="M755">
        <v>2988</v>
      </c>
      <c r="N755">
        <v>2</v>
      </c>
      <c r="O755" s="10">
        <v>44783</v>
      </c>
      <c r="P755">
        <v>0</v>
      </c>
      <c r="Q755">
        <v>38</v>
      </c>
      <c r="R755">
        <v>2</v>
      </c>
      <c r="S755">
        <v>73</v>
      </c>
      <c r="T755">
        <v>154</v>
      </c>
      <c r="U755">
        <v>79</v>
      </c>
      <c r="V755">
        <v>6</v>
      </c>
      <c r="W755">
        <v>1</v>
      </c>
      <c r="X755">
        <v>30.780907404284029</v>
      </c>
      <c r="Y755">
        <v>33.310844999156686</v>
      </c>
      <c r="Z755">
        <v>2.5299375948726563</v>
      </c>
      <c r="AA755">
        <v>4</v>
      </c>
      <c r="AB755">
        <v>4</v>
      </c>
      <c r="AC755" t="s">
        <v>33</v>
      </c>
      <c r="AD755">
        <v>3</v>
      </c>
      <c r="AE755">
        <v>0</v>
      </c>
      <c r="AG755">
        <v>5</v>
      </c>
      <c r="AH755">
        <v>1</v>
      </c>
      <c r="AI755">
        <v>4</v>
      </c>
      <c r="AJ755">
        <v>1</v>
      </c>
      <c r="AK755">
        <v>6</v>
      </c>
      <c r="AL755">
        <v>1</v>
      </c>
      <c r="AM755">
        <f>AJ755*AK755*AL755/7</f>
        <v>0.8571428571428571</v>
      </c>
      <c r="AN755" t="s">
        <v>43</v>
      </c>
      <c r="AO755">
        <v>0</v>
      </c>
      <c r="AV755">
        <f>AU755+AM755</f>
        <v>0.8571428571428571</v>
      </c>
      <c r="AW755" t="s">
        <v>334</v>
      </c>
      <c r="AX755">
        <v>0</v>
      </c>
      <c r="BE755">
        <f>AM755+AU755+BD755</f>
        <v>0.8571428571428571</v>
      </c>
      <c r="BF755" t="s">
        <v>334</v>
      </c>
      <c r="BG755">
        <v>1</v>
      </c>
      <c r="BH755">
        <v>4</v>
      </c>
      <c r="BI755">
        <v>1</v>
      </c>
      <c r="BJ755" t="s">
        <v>42</v>
      </c>
      <c r="BK755">
        <v>6</v>
      </c>
      <c r="BL755">
        <v>1</v>
      </c>
      <c r="BM755">
        <v>1</v>
      </c>
      <c r="BN755" t="s">
        <v>30</v>
      </c>
      <c r="BO755">
        <v>1</v>
      </c>
      <c r="BP755">
        <v>168</v>
      </c>
      <c r="BQ755">
        <v>0.13</v>
      </c>
      <c r="BR755">
        <v>2</v>
      </c>
      <c r="BS755">
        <v>0.26</v>
      </c>
      <c r="BT755">
        <f>BS755+BD755+AU755+AM755</f>
        <v>1.117142857142857</v>
      </c>
      <c r="BU755">
        <v>1</v>
      </c>
      <c r="BV755">
        <v>1</v>
      </c>
      <c r="BW755">
        <v>146.5</v>
      </c>
      <c r="BX755">
        <f>BW755/7</f>
        <v>20.928571428571427</v>
      </c>
      <c r="BY755">
        <f>0.77*BX755</f>
        <v>16.114999999999998</v>
      </c>
      <c r="BZ755">
        <f t="shared" si="11"/>
        <v>17.232142857142854</v>
      </c>
    </row>
    <row r="756" spans="1:78">
      <c r="A756" s="1">
        <v>45214.993616805557</v>
      </c>
      <c r="C756">
        <v>755</v>
      </c>
      <c r="D756" s="10">
        <v>29794</v>
      </c>
      <c r="E756">
        <v>42</v>
      </c>
      <c r="F756">
        <v>1</v>
      </c>
      <c r="G756">
        <v>10</v>
      </c>
      <c r="H756">
        <v>5</v>
      </c>
      <c r="I756" s="10">
        <v>44637</v>
      </c>
      <c r="J756">
        <v>1</v>
      </c>
      <c r="K756">
        <v>1</v>
      </c>
      <c r="L756">
        <v>1</v>
      </c>
      <c r="M756">
        <v>2750</v>
      </c>
      <c r="N756">
        <v>2</v>
      </c>
      <c r="O756" s="10">
        <v>44392</v>
      </c>
      <c r="P756">
        <v>1</v>
      </c>
      <c r="Q756">
        <v>35</v>
      </c>
      <c r="R756">
        <v>3</v>
      </c>
      <c r="S756">
        <v>68</v>
      </c>
      <c r="T756">
        <v>173</v>
      </c>
      <c r="U756">
        <v>105</v>
      </c>
      <c r="V756">
        <v>37</v>
      </c>
      <c r="W756">
        <v>3</v>
      </c>
      <c r="X756">
        <v>22.720438370810918</v>
      </c>
      <c r="Y756">
        <v>35.083029837281565</v>
      </c>
      <c r="Z756">
        <v>12.362591466470647</v>
      </c>
      <c r="AA756">
        <v>2</v>
      </c>
      <c r="AB756">
        <v>4</v>
      </c>
      <c r="AC756" t="s">
        <v>25</v>
      </c>
      <c r="AD756">
        <v>1</v>
      </c>
      <c r="AE756">
        <v>1</v>
      </c>
      <c r="AF756" t="s">
        <v>468</v>
      </c>
      <c r="AG756">
        <v>3</v>
      </c>
      <c r="AH756">
        <v>1</v>
      </c>
      <c r="AI756">
        <v>7</v>
      </c>
      <c r="AJ756">
        <v>5</v>
      </c>
      <c r="AK756">
        <v>7</v>
      </c>
      <c r="AL756">
        <v>1</v>
      </c>
      <c r="AM756">
        <f>AJ756*AK756*AL756/7</f>
        <v>5</v>
      </c>
      <c r="AN756" t="s">
        <v>206</v>
      </c>
      <c r="AO756">
        <v>0</v>
      </c>
      <c r="AV756">
        <f>AU756+AM756</f>
        <v>5</v>
      </c>
      <c r="AX756">
        <v>0</v>
      </c>
      <c r="BE756">
        <f>AM756+AU756+BD756</f>
        <v>5</v>
      </c>
      <c r="BG756">
        <v>0</v>
      </c>
      <c r="BJ756" t="s">
        <v>36</v>
      </c>
      <c r="BK756">
        <v>4</v>
      </c>
      <c r="BL756">
        <v>1</v>
      </c>
      <c r="BM756">
        <v>1</v>
      </c>
      <c r="BN756" t="s">
        <v>30</v>
      </c>
      <c r="BO756">
        <v>1</v>
      </c>
      <c r="BP756">
        <v>168</v>
      </c>
      <c r="BQ756">
        <v>0.13</v>
      </c>
      <c r="BR756">
        <v>2</v>
      </c>
      <c r="BS756">
        <v>0.26</v>
      </c>
      <c r="BT756">
        <f>BS756+BD756+AU756+AM756</f>
        <v>5.26</v>
      </c>
      <c r="BU756">
        <v>1</v>
      </c>
      <c r="BV756">
        <v>1</v>
      </c>
      <c r="BW756">
        <v>146.5</v>
      </c>
      <c r="BX756">
        <f>BW756/7</f>
        <v>20.928571428571427</v>
      </c>
      <c r="BY756">
        <f>0.77*BX756</f>
        <v>16.114999999999998</v>
      </c>
      <c r="BZ756">
        <f t="shared" si="11"/>
        <v>21.375</v>
      </c>
    </row>
    <row r="757" spans="1:78">
      <c r="A757" s="1">
        <v>45215.001811226852</v>
      </c>
      <c r="C757">
        <v>756</v>
      </c>
      <c r="D757" s="10">
        <v>30235</v>
      </c>
      <c r="E757">
        <v>41</v>
      </c>
      <c r="F757">
        <v>1</v>
      </c>
      <c r="G757">
        <v>2</v>
      </c>
      <c r="H757">
        <v>4</v>
      </c>
      <c r="I757" s="10">
        <v>43298</v>
      </c>
      <c r="J757">
        <v>2</v>
      </c>
      <c r="K757">
        <v>0</v>
      </c>
      <c r="L757">
        <v>1</v>
      </c>
      <c r="M757">
        <v>4100</v>
      </c>
      <c r="N757">
        <v>3</v>
      </c>
      <c r="O757" s="10">
        <v>43034</v>
      </c>
      <c r="P757">
        <v>0</v>
      </c>
      <c r="Q757">
        <v>37.714285714285715</v>
      </c>
      <c r="R757">
        <v>2</v>
      </c>
      <c r="S757">
        <v>67</v>
      </c>
      <c r="T757">
        <v>169</v>
      </c>
      <c r="U757">
        <v>75</v>
      </c>
      <c r="V757">
        <v>8</v>
      </c>
      <c r="W757">
        <v>1</v>
      </c>
      <c r="X757">
        <v>23.458562375266975</v>
      </c>
      <c r="Y757">
        <v>26.259584748433181</v>
      </c>
      <c r="Z757">
        <v>2.8010223731662052</v>
      </c>
      <c r="AA757">
        <v>2</v>
      </c>
      <c r="AB757">
        <v>3</v>
      </c>
      <c r="AC757" t="s">
        <v>44</v>
      </c>
      <c r="AD757">
        <v>1</v>
      </c>
      <c r="AE757">
        <v>1</v>
      </c>
      <c r="AF757" t="s">
        <v>469</v>
      </c>
      <c r="AG757" t="e">
        <v>#N/A</v>
      </c>
      <c r="AH757">
        <v>1</v>
      </c>
      <c r="AI757">
        <v>2</v>
      </c>
      <c r="AJ757">
        <v>5</v>
      </c>
      <c r="AK757">
        <v>7</v>
      </c>
      <c r="AL757">
        <v>1</v>
      </c>
      <c r="AM757">
        <f>AJ757*AK757*AL757/7</f>
        <v>5</v>
      </c>
      <c r="AN757" t="s">
        <v>57</v>
      </c>
      <c r="AO757">
        <v>0</v>
      </c>
      <c r="AV757">
        <f>AU757+AM757</f>
        <v>5</v>
      </c>
      <c r="AX757">
        <v>0</v>
      </c>
      <c r="BE757">
        <f>AM757+AU757+BD757</f>
        <v>5</v>
      </c>
      <c r="BG757">
        <v>0</v>
      </c>
      <c r="BJ757" t="s">
        <v>42</v>
      </c>
      <c r="BK757">
        <v>6</v>
      </c>
      <c r="BL757">
        <v>1</v>
      </c>
      <c r="BM757">
        <v>1</v>
      </c>
      <c r="BN757" t="s">
        <v>55</v>
      </c>
      <c r="BO757">
        <v>2</v>
      </c>
      <c r="BP757">
        <v>134</v>
      </c>
      <c r="BQ757">
        <v>0.1</v>
      </c>
      <c r="BR757">
        <v>2</v>
      </c>
      <c r="BS757">
        <v>0.2</v>
      </c>
      <c r="BT757">
        <f>BS757+BD757+AU757+AM757</f>
        <v>5.2</v>
      </c>
      <c r="BU757">
        <v>1</v>
      </c>
      <c r="BV757">
        <v>2</v>
      </c>
      <c r="BW757">
        <v>293</v>
      </c>
      <c r="BX757">
        <f>BW757/7</f>
        <v>41.857142857142854</v>
      </c>
      <c r="BY757">
        <f>0.77*BX757</f>
        <v>32.229999999999997</v>
      </c>
      <c r="BZ757">
        <f t="shared" si="11"/>
        <v>37.43</v>
      </c>
    </row>
    <row r="758" spans="1:78">
      <c r="A758" s="1">
        <v>45215.004679340273</v>
      </c>
      <c r="C758">
        <v>757</v>
      </c>
      <c r="D758" s="10">
        <v>33029</v>
      </c>
      <c r="E758">
        <v>33</v>
      </c>
      <c r="F758">
        <v>1</v>
      </c>
      <c r="G758">
        <v>12</v>
      </c>
      <c r="H758">
        <v>4</v>
      </c>
      <c r="I758" s="10">
        <v>43904</v>
      </c>
      <c r="J758">
        <v>2</v>
      </c>
      <c r="K758">
        <v>0</v>
      </c>
      <c r="L758">
        <v>1</v>
      </c>
      <c r="M758">
        <v>2255</v>
      </c>
      <c r="N758">
        <v>1</v>
      </c>
      <c r="O758" s="10">
        <v>43645</v>
      </c>
      <c r="P758">
        <v>0</v>
      </c>
      <c r="Q758">
        <v>37</v>
      </c>
      <c r="R758">
        <v>2</v>
      </c>
      <c r="S758">
        <v>65</v>
      </c>
      <c r="T758">
        <v>157</v>
      </c>
      <c r="U758">
        <v>73</v>
      </c>
      <c r="V758">
        <v>8</v>
      </c>
      <c r="W758">
        <v>2</v>
      </c>
      <c r="X758">
        <v>26.370238143535232</v>
      </c>
      <c r="Y758">
        <v>29.615805915047261</v>
      </c>
      <c r="Z758">
        <v>3.2455677715120288</v>
      </c>
      <c r="AA758">
        <v>3</v>
      </c>
      <c r="AB758">
        <v>3</v>
      </c>
      <c r="AC758" t="s">
        <v>123</v>
      </c>
      <c r="AD758">
        <v>2</v>
      </c>
      <c r="AE758">
        <v>0</v>
      </c>
      <c r="AG758">
        <v>5</v>
      </c>
      <c r="AH758">
        <v>1</v>
      </c>
      <c r="AI758">
        <v>5</v>
      </c>
      <c r="AJ758">
        <v>5</v>
      </c>
      <c r="AK758">
        <v>7</v>
      </c>
      <c r="AL758">
        <v>1</v>
      </c>
      <c r="AM758">
        <f>AJ758*AK758*AL758/7</f>
        <v>5</v>
      </c>
      <c r="AN758" t="s">
        <v>27</v>
      </c>
      <c r="AO758">
        <v>0</v>
      </c>
      <c r="AV758">
        <f>AU758+AM758</f>
        <v>5</v>
      </c>
      <c r="AW758" t="s">
        <v>58</v>
      </c>
      <c r="AX758">
        <v>1</v>
      </c>
      <c r="AY758" t="s">
        <v>58</v>
      </c>
      <c r="AZ758">
        <v>1</v>
      </c>
      <c r="BA758">
        <v>0.8</v>
      </c>
      <c r="BB758">
        <v>7</v>
      </c>
      <c r="BC758">
        <v>1</v>
      </c>
      <c r="BD758">
        <f>BA758*BB758*1/7</f>
        <v>0.8</v>
      </c>
      <c r="BE758">
        <f>AM758+AU758+BD758</f>
        <v>5.8</v>
      </c>
      <c r="BF758" t="s">
        <v>58</v>
      </c>
      <c r="BG758">
        <v>0</v>
      </c>
      <c r="BH758">
        <v>7</v>
      </c>
      <c r="BI758">
        <v>1</v>
      </c>
      <c r="BJ758" t="s">
        <v>36</v>
      </c>
      <c r="BK758">
        <v>4</v>
      </c>
      <c r="BL758">
        <v>1</v>
      </c>
      <c r="BM758">
        <v>1</v>
      </c>
      <c r="BN758" t="s">
        <v>55</v>
      </c>
      <c r="BO758">
        <v>2</v>
      </c>
      <c r="BP758">
        <v>134</v>
      </c>
      <c r="BQ758">
        <v>0.1</v>
      </c>
      <c r="BR758">
        <v>2</v>
      </c>
      <c r="BS758">
        <v>0.2</v>
      </c>
      <c r="BT758">
        <f>BS758+BD758+AU758+AM758</f>
        <v>6</v>
      </c>
      <c r="BU758">
        <v>1</v>
      </c>
      <c r="BV758">
        <v>1</v>
      </c>
      <c r="BW758">
        <v>146.5</v>
      </c>
      <c r="BX758">
        <f>BW758/7</f>
        <v>20.928571428571427</v>
      </c>
      <c r="BY758">
        <f>0.77*BX758</f>
        <v>16.114999999999998</v>
      </c>
      <c r="BZ758">
        <f t="shared" si="11"/>
        <v>22.114999999999998</v>
      </c>
    </row>
    <row r="759" spans="1:78">
      <c r="A759" s="1">
        <v>45215.00640554398</v>
      </c>
      <c r="C759">
        <v>758</v>
      </c>
      <c r="D759" s="10">
        <v>32373</v>
      </c>
      <c r="E759">
        <v>35</v>
      </c>
      <c r="F759">
        <v>1</v>
      </c>
      <c r="G759">
        <v>10</v>
      </c>
      <c r="H759">
        <v>5</v>
      </c>
      <c r="I759" s="10">
        <v>44998</v>
      </c>
      <c r="J759">
        <v>1</v>
      </c>
      <c r="K759">
        <v>1</v>
      </c>
      <c r="L759">
        <v>1</v>
      </c>
      <c r="M759">
        <v>3740</v>
      </c>
      <c r="N759">
        <v>2</v>
      </c>
      <c r="O759" s="10">
        <v>44718</v>
      </c>
      <c r="P759">
        <v>0</v>
      </c>
      <c r="Q759">
        <v>40</v>
      </c>
      <c r="R759">
        <v>2</v>
      </c>
      <c r="S759">
        <v>111</v>
      </c>
      <c r="T759">
        <v>152</v>
      </c>
      <c r="U759">
        <v>122</v>
      </c>
      <c r="V759">
        <v>11</v>
      </c>
      <c r="W759">
        <v>2</v>
      </c>
      <c r="X759">
        <v>48.043628808864263</v>
      </c>
      <c r="Y759">
        <v>52.804709141274238</v>
      </c>
      <c r="Z759">
        <v>4.7610803324099749</v>
      </c>
      <c r="AA759">
        <v>4</v>
      </c>
      <c r="AB759">
        <v>4</v>
      </c>
      <c r="AC759" t="s">
        <v>33</v>
      </c>
      <c r="AD759">
        <v>3</v>
      </c>
      <c r="AE759">
        <v>0</v>
      </c>
      <c r="AG759">
        <v>5</v>
      </c>
      <c r="AH759">
        <v>1</v>
      </c>
      <c r="AI759">
        <v>13</v>
      </c>
      <c r="AJ759">
        <v>1</v>
      </c>
      <c r="AK759">
        <v>7</v>
      </c>
      <c r="AL759">
        <v>1</v>
      </c>
      <c r="AM759">
        <f>AJ759*AK759*AL759/7</f>
        <v>1</v>
      </c>
      <c r="AN759" t="s">
        <v>79</v>
      </c>
      <c r="AO759">
        <v>0</v>
      </c>
      <c r="AV759">
        <f>AU759+AM759</f>
        <v>1</v>
      </c>
      <c r="AX759">
        <v>0</v>
      </c>
      <c r="BE759">
        <f>AM759+AU759+BD759</f>
        <v>1</v>
      </c>
      <c r="BG759">
        <v>0</v>
      </c>
      <c r="BJ759" t="s">
        <v>36</v>
      </c>
      <c r="BK759">
        <v>4</v>
      </c>
      <c r="BL759">
        <v>4</v>
      </c>
      <c r="BM759">
        <v>1</v>
      </c>
      <c r="BN759" t="s">
        <v>30</v>
      </c>
      <c r="BO759">
        <v>1</v>
      </c>
      <c r="BP759">
        <v>168</v>
      </c>
      <c r="BQ759">
        <v>0.13</v>
      </c>
      <c r="BR759">
        <v>2</v>
      </c>
      <c r="BS759">
        <v>0.26</v>
      </c>
      <c r="BT759">
        <f>BS759+BD759+AU759+AM759</f>
        <v>1.26</v>
      </c>
      <c r="BU759">
        <v>1</v>
      </c>
      <c r="BV759">
        <v>2</v>
      </c>
      <c r="BW759">
        <v>293</v>
      </c>
      <c r="BX759">
        <f>BW759/7</f>
        <v>41.857142857142854</v>
      </c>
      <c r="BY759">
        <f>0.77*BX759</f>
        <v>32.229999999999997</v>
      </c>
      <c r="BZ759">
        <f t="shared" si="11"/>
        <v>33.489999999999995</v>
      </c>
    </row>
    <row r="760" spans="1:78">
      <c r="A760" s="1">
        <v>45215.03161953704</v>
      </c>
      <c r="C760">
        <v>759</v>
      </c>
      <c r="D760" s="10">
        <v>34886</v>
      </c>
      <c r="E760">
        <v>28</v>
      </c>
      <c r="F760">
        <v>1</v>
      </c>
      <c r="G760">
        <v>6</v>
      </c>
      <c r="H760">
        <v>4</v>
      </c>
      <c r="I760" s="10">
        <v>44533</v>
      </c>
      <c r="J760">
        <v>1</v>
      </c>
      <c r="K760">
        <v>1</v>
      </c>
      <c r="L760">
        <v>1</v>
      </c>
      <c r="M760">
        <v>3220</v>
      </c>
      <c r="N760">
        <v>2</v>
      </c>
      <c r="O760" s="10">
        <v>44274</v>
      </c>
      <c r="P760">
        <v>1</v>
      </c>
      <c r="Q760">
        <v>37</v>
      </c>
      <c r="R760">
        <v>2</v>
      </c>
      <c r="S760">
        <v>70</v>
      </c>
      <c r="T760">
        <v>168</v>
      </c>
      <c r="U760">
        <v>82</v>
      </c>
      <c r="V760">
        <v>12</v>
      </c>
      <c r="W760">
        <v>2</v>
      </c>
      <c r="X760">
        <v>24.801587301587304</v>
      </c>
      <c r="Y760">
        <v>29.053287981859416</v>
      </c>
      <c r="Z760">
        <v>4.251700680272112</v>
      </c>
      <c r="AA760">
        <v>2</v>
      </c>
      <c r="AB760">
        <v>3</v>
      </c>
      <c r="AC760" t="s">
        <v>33</v>
      </c>
      <c r="AD760">
        <v>3</v>
      </c>
      <c r="AE760">
        <v>0</v>
      </c>
      <c r="AG760">
        <v>5</v>
      </c>
      <c r="AH760">
        <v>1</v>
      </c>
      <c r="AI760">
        <v>1</v>
      </c>
      <c r="AJ760">
        <v>1</v>
      </c>
      <c r="AK760">
        <v>7</v>
      </c>
      <c r="AL760">
        <v>1</v>
      </c>
      <c r="AM760">
        <f>AJ760*AK760*AL760/7</f>
        <v>1</v>
      </c>
      <c r="AN760" t="s">
        <v>56</v>
      </c>
      <c r="AO760">
        <v>0</v>
      </c>
      <c r="AV760">
        <f>AU760+AM760</f>
        <v>1</v>
      </c>
      <c r="AX760">
        <v>0</v>
      </c>
      <c r="BE760">
        <f>AM760+AU760+BD760</f>
        <v>1</v>
      </c>
      <c r="BG760">
        <v>0</v>
      </c>
      <c r="BJ760" t="s">
        <v>49</v>
      </c>
      <c r="BK760">
        <v>5</v>
      </c>
      <c r="BL760">
        <v>3</v>
      </c>
      <c r="BM760">
        <v>1</v>
      </c>
      <c r="BN760" t="s">
        <v>30</v>
      </c>
      <c r="BO760">
        <v>1</v>
      </c>
      <c r="BP760">
        <v>168</v>
      </c>
      <c r="BQ760">
        <v>0.13</v>
      </c>
      <c r="BR760">
        <v>2</v>
      </c>
      <c r="BS760">
        <v>0.26</v>
      </c>
      <c r="BT760">
        <f>BS760+BD760+AU760+AM760</f>
        <v>1.26</v>
      </c>
      <c r="BU760">
        <v>1</v>
      </c>
      <c r="BV760">
        <v>2</v>
      </c>
      <c r="BW760">
        <v>293</v>
      </c>
      <c r="BX760">
        <f>BW760/7</f>
        <v>41.857142857142854</v>
      </c>
      <c r="BY760">
        <f>0.77*BX760</f>
        <v>32.229999999999997</v>
      </c>
      <c r="BZ760">
        <f t="shared" si="11"/>
        <v>33.489999999999995</v>
      </c>
    </row>
    <row r="761" spans="1:78">
      <c r="A761" s="1">
        <v>45215.072511736114</v>
      </c>
      <c r="C761">
        <v>760</v>
      </c>
      <c r="D761" s="10">
        <v>32217</v>
      </c>
      <c r="E761">
        <v>35</v>
      </c>
      <c r="F761">
        <v>1</v>
      </c>
      <c r="G761">
        <v>15</v>
      </c>
      <c r="H761">
        <v>4</v>
      </c>
      <c r="I761" s="10">
        <v>42829</v>
      </c>
      <c r="J761">
        <v>2</v>
      </c>
      <c r="K761">
        <v>0</v>
      </c>
      <c r="L761">
        <v>1</v>
      </c>
      <c r="M761">
        <v>4250</v>
      </c>
      <c r="N761">
        <v>3</v>
      </c>
      <c r="O761" s="10">
        <v>42563</v>
      </c>
      <c r="P761">
        <v>0</v>
      </c>
      <c r="Q761">
        <v>38</v>
      </c>
      <c r="R761">
        <v>2</v>
      </c>
      <c r="S761">
        <v>120</v>
      </c>
      <c r="T761">
        <v>170</v>
      </c>
      <c r="U761">
        <v>133</v>
      </c>
      <c r="V761">
        <v>13</v>
      </c>
      <c r="W761">
        <v>3</v>
      </c>
      <c r="X761">
        <v>41.522491349480973</v>
      </c>
      <c r="Y761">
        <v>46.020761245674748</v>
      </c>
      <c r="Z761">
        <v>4.4982698961937757</v>
      </c>
      <c r="AA761">
        <v>4</v>
      </c>
      <c r="AB761">
        <v>4</v>
      </c>
      <c r="AC761" t="s">
        <v>33</v>
      </c>
      <c r="AD761">
        <v>3</v>
      </c>
      <c r="AE761">
        <v>0</v>
      </c>
      <c r="AG761">
        <v>5</v>
      </c>
      <c r="AH761">
        <v>1</v>
      </c>
      <c r="AI761">
        <v>6</v>
      </c>
      <c r="AJ761">
        <v>1</v>
      </c>
      <c r="AK761">
        <v>7</v>
      </c>
      <c r="AL761">
        <v>1</v>
      </c>
      <c r="AM761">
        <f>AJ761*AK761*AL761/7</f>
        <v>1</v>
      </c>
      <c r="AN761" t="s">
        <v>373</v>
      </c>
      <c r="AO761">
        <v>0</v>
      </c>
      <c r="AV761">
        <f>AU761+AM761</f>
        <v>1</v>
      </c>
      <c r="AW761" t="s">
        <v>471</v>
      </c>
      <c r="AX761">
        <v>0</v>
      </c>
      <c r="BE761">
        <f>AM761+AU761+BD761</f>
        <v>1</v>
      </c>
      <c r="BF761" t="s">
        <v>471</v>
      </c>
      <c r="BG761">
        <v>1</v>
      </c>
      <c r="BH761">
        <v>7</v>
      </c>
      <c r="BI761">
        <v>1</v>
      </c>
      <c r="BJ761" t="s">
        <v>42</v>
      </c>
      <c r="BK761">
        <v>6</v>
      </c>
      <c r="BL761">
        <v>1</v>
      </c>
      <c r="BM761">
        <v>1</v>
      </c>
      <c r="BN761" t="s">
        <v>30</v>
      </c>
      <c r="BO761">
        <v>1</v>
      </c>
      <c r="BP761">
        <v>42</v>
      </c>
      <c r="BQ761">
        <v>0.13</v>
      </c>
      <c r="BR761">
        <v>0.5</v>
      </c>
      <c r="BS761">
        <v>6.5000000000000002E-2</v>
      </c>
      <c r="BT761">
        <f>BS761+BD761+AU761+AM761</f>
        <v>1.0649999999999999</v>
      </c>
      <c r="BU761">
        <v>1</v>
      </c>
      <c r="BV761">
        <v>2</v>
      </c>
      <c r="BW761">
        <v>293</v>
      </c>
      <c r="BX761">
        <f>BW761/7</f>
        <v>41.857142857142854</v>
      </c>
      <c r="BY761">
        <f>0.77*BX761</f>
        <v>32.229999999999997</v>
      </c>
      <c r="BZ761">
        <f t="shared" si="11"/>
        <v>33.294999999999995</v>
      </c>
    </row>
    <row r="762" spans="1:78">
      <c r="A762" s="1">
        <v>45215.094365775461</v>
      </c>
      <c r="C762">
        <v>761</v>
      </c>
      <c r="D762" s="10">
        <v>35116</v>
      </c>
      <c r="E762">
        <v>27</v>
      </c>
      <c r="F762">
        <v>1</v>
      </c>
      <c r="G762">
        <v>4</v>
      </c>
      <c r="H762">
        <v>3</v>
      </c>
      <c r="I762" s="10">
        <v>44099</v>
      </c>
      <c r="J762">
        <v>1</v>
      </c>
      <c r="K762">
        <v>1</v>
      </c>
      <c r="L762">
        <v>2</v>
      </c>
      <c r="M762">
        <v>3910</v>
      </c>
      <c r="N762">
        <v>2</v>
      </c>
      <c r="O762" s="10">
        <v>43812</v>
      </c>
      <c r="P762">
        <v>0</v>
      </c>
      <c r="Q762">
        <v>41</v>
      </c>
      <c r="R762">
        <v>2</v>
      </c>
      <c r="S762">
        <v>138</v>
      </c>
      <c r="T762">
        <v>168</v>
      </c>
      <c r="U762">
        <v>142</v>
      </c>
      <c r="V762">
        <v>4</v>
      </c>
      <c r="W762">
        <v>1</v>
      </c>
      <c r="X762">
        <v>48.894557823129261</v>
      </c>
      <c r="Y762">
        <v>50.311791383219962</v>
      </c>
      <c r="Z762">
        <v>1.4172335600907005</v>
      </c>
      <c r="AA762">
        <v>4</v>
      </c>
      <c r="AB762">
        <v>4</v>
      </c>
      <c r="AC762" t="s">
        <v>33</v>
      </c>
      <c r="AD762">
        <v>3</v>
      </c>
      <c r="AE762">
        <v>0</v>
      </c>
      <c r="AG762">
        <v>5</v>
      </c>
      <c r="AH762">
        <v>1</v>
      </c>
      <c r="AI762">
        <v>18</v>
      </c>
      <c r="AJ762">
        <v>2</v>
      </c>
      <c r="AK762">
        <v>7</v>
      </c>
      <c r="AL762">
        <v>1</v>
      </c>
      <c r="AM762">
        <f>AJ762*AK762*AL762/7</f>
        <v>2</v>
      </c>
      <c r="AN762" t="s">
        <v>217</v>
      </c>
      <c r="AO762">
        <v>0</v>
      </c>
      <c r="AV762">
        <f>AU762+AM762</f>
        <v>2</v>
      </c>
      <c r="AX762">
        <v>0</v>
      </c>
      <c r="BE762">
        <f>AM762+AU762+BD762</f>
        <v>2</v>
      </c>
      <c r="BG762">
        <v>0</v>
      </c>
      <c r="BJ762" t="s">
        <v>42</v>
      </c>
      <c r="BK762">
        <v>6</v>
      </c>
      <c r="BL762">
        <v>3</v>
      </c>
      <c r="BM762">
        <v>1</v>
      </c>
      <c r="BN762" t="s">
        <v>59</v>
      </c>
      <c r="BO762">
        <v>3</v>
      </c>
      <c r="BP762">
        <v>28</v>
      </c>
      <c r="BQ762">
        <v>0.08</v>
      </c>
      <c r="BR762">
        <v>0.5</v>
      </c>
      <c r="BS762">
        <v>0.04</v>
      </c>
      <c r="BT762">
        <f>BS762+BD762+AU762+AM762</f>
        <v>2.04</v>
      </c>
      <c r="BU762">
        <v>1</v>
      </c>
      <c r="BV762">
        <v>0.5</v>
      </c>
      <c r="BW762">
        <v>73.25</v>
      </c>
      <c r="BX762">
        <f>BW762/7</f>
        <v>10.464285714285714</v>
      </c>
      <c r="BY762">
        <f>0.77*BX762</f>
        <v>8.0574999999999992</v>
      </c>
      <c r="BZ762">
        <f t="shared" si="11"/>
        <v>10.0975</v>
      </c>
    </row>
    <row r="763" spans="1:78">
      <c r="A763" s="1">
        <v>45215.099124270833</v>
      </c>
      <c r="C763">
        <v>762</v>
      </c>
      <c r="D763" s="10">
        <v>35497</v>
      </c>
      <c r="E763">
        <v>26</v>
      </c>
      <c r="F763">
        <v>1</v>
      </c>
      <c r="G763">
        <v>1</v>
      </c>
      <c r="H763">
        <v>2</v>
      </c>
      <c r="I763" s="10">
        <v>43459</v>
      </c>
      <c r="J763">
        <v>2</v>
      </c>
      <c r="K763">
        <v>0</v>
      </c>
      <c r="L763">
        <v>1</v>
      </c>
      <c r="M763">
        <v>3450</v>
      </c>
      <c r="N763">
        <v>2</v>
      </c>
      <c r="O763" s="10">
        <v>43172</v>
      </c>
      <c r="P763">
        <v>0</v>
      </c>
      <c r="Q763">
        <v>41</v>
      </c>
      <c r="R763">
        <v>2</v>
      </c>
      <c r="S763">
        <v>70</v>
      </c>
      <c r="T763">
        <v>157</v>
      </c>
      <c r="U763">
        <v>80.5</v>
      </c>
      <c r="V763">
        <v>10.5</v>
      </c>
      <c r="W763">
        <v>2</v>
      </c>
      <c r="X763">
        <v>28.398718000730252</v>
      </c>
      <c r="Y763">
        <v>32.658525700839789</v>
      </c>
      <c r="Z763">
        <v>4.2598077001095369</v>
      </c>
      <c r="AA763">
        <v>3</v>
      </c>
      <c r="AB763">
        <v>4</v>
      </c>
      <c r="AC763" t="s">
        <v>33</v>
      </c>
      <c r="AD763">
        <v>3</v>
      </c>
      <c r="AE763">
        <v>0</v>
      </c>
      <c r="AG763">
        <v>5</v>
      </c>
      <c r="AH763">
        <v>1</v>
      </c>
      <c r="AI763">
        <v>13</v>
      </c>
      <c r="AJ763">
        <v>1</v>
      </c>
      <c r="AK763">
        <v>5</v>
      </c>
      <c r="AL763">
        <v>2</v>
      </c>
      <c r="AM763">
        <f>AJ763*AK763*AL763/7</f>
        <v>1.4285714285714286</v>
      </c>
      <c r="AN763" t="s">
        <v>79</v>
      </c>
      <c r="AO763">
        <v>0</v>
      </c>
      <c r="AV763">
        <f>AU763+AM763</f>
        <v>1.4285714285714286</v>
      </c>
      <c r="AX763">
        <v>0</v>
      </c>
      <c r="BE763">
        <f>AM763+AU763+BD763</f>
        <v>1.4285714285714286</v>
      </c>
      <c r="BG763">
        <v>0</v>
      </c>
      <c r="BJ763" t="s">
        <v>49</v>
      </c>
      <c r="BK763">
        <v>5</v>
      </c>
      <c r="BL763">
        <v>3</v>
      </c>
      <c r="BM763">
        <v>1</v>
      </c>
      <c r="BN763" t="s">
        <v>30</v>
      </c>
      <c r="BO763">
        <v>1</v>
      </c>
      <c r="BP763">
        <v>42</v>
      </c>
      <c r="BQ763">
        <v>0.13</v>
      </c>
      <c r="BR763">
        <v>0.5</v>
      </c>
      <c r="BS763">
        <v>6.5000000000000002E-2</v>
      </c>
      <c r="BT763">
        <f>BS763+BD763+AU763+AM763</f>
        <v>1.4935714285714285</v>
      </c>
      <c r="BU763">
        <v>1</v>
      </c>
      <c r="BV763">
        <v>0.5</v>
      </c>
      <c r="BW763">
        <v>73.25</v>
      </c>
      <c r="BX763">
        <f>BW763/7</f>
        <v>10.464285714285714</v>
      </c>
      <c r="BY763">
        <f>0.77*BX763</f>
        <v>8.0574999999999992</v>
      </c>
      <c r="BZ763">
        <f t="shared" si="11"/>
        <v>9.5510714285714275</v>
      </c>
    </row>
    <row r="764" spans="1:78">
      <c r="A764" s="1">
        <v>45215.102883912041</v>
      </c>
      <c r="C764">
        <v>763</v>
      </c>
      <c r="D764" s="10">
        <v>34938</v>
      </c>
      <c r="E764">
        <v>28</v>
      </c>
      <c r="F764">
        <v>1</v>
      </c>
      <c r="G764">
        <v>1</v>
      </c>
      <c r="H764">
        <v>4</v>
      </c>
      <c r="I764" s="10">
        <v>42920</v>
      </c>
      <c r="J764">
        <v>1</v>
      </c>
      <c r="K764">
        <v>1</v>
      </c>
      <c r="L764">
        <v>2</v>
      </c>
      <c r="M764">
        <v>3575</v>
      </c>
      <c r="N764">
        <v>2</v>
      </c>
      <c r="O764" s="10">
        <v>42643</v>
      </c>
      <c r="P764">
        <v>0</v>
      </c>
      <c r="Q764">
        <v>39.571428571428569</v>
      </c>
      <c r="R764">
        <v>2</v>
      </c>
      <c r="S764">
        <v>87</v>
      </c>
      <c r="T764">
        <v>165</v>
      </c>
      <c r="U764">
        <v>89</v>
      </c>
      <c r="V764">
        <v>2</v>
      </c>
      <c r="W764">
        <v>1</v>
      </c>
      <c r="X764">
        <v>31.955922865013779</v>
      </c>
      <c r="Y764">
        <v>32.690541781450875</v>
      </c>
      <c r="Z764">
        <v>0.7346189164370962</v>
      </c>
      <c r="AA764">
        <v>4</v>
      </c>
      <c r="AB764">
        <v>4</v>
      </c>
      <c r="AC764" t="s">
        <v>33</v>
      </c>
      <c r="AD764">
        <v>3</v>
      </c>
      <c r="AE764">
        <v>0</v>
      </c>
      <c r="AG764">
        <v>5</v>
      </c>
      <c r="AH764">
        <v>1</v>
      </c>
      <c r="AI764">
        <v>13</v>
      </c>
      <c r="AJ764">
        <v>1</v>
      </c>
      <c r="AK764">
        <v>7</v>
      </c>
      <c r="AL764">
        <v>1</v>
      </c>
      <c r="AM764">
        <f>AJ764*AK764*AL764/7</f>
        <v>1</v>
      </c>
      <c r="AN764" t="s">
        <v>79</v>
      </c>
      <c r="AO764">
        <v>0</v>
      </c>
      <c r="AV764">
        <f>AU764+AM764</f>
        <v>1</v>
      </c>
      <c r="AX764">
        <v>0</v>
      </c>
      <c r="BE764">
        <f>AM764+AU764+BD764</f>
        <v>1</v>
      </c>
      <c r="BG764">
        <v>0</v>
      </c>
      <c r="BJ764" t="s">
        <v>49</v>
      </c>
      <c r="BK764">
        <v>5</v>
      </c>
      <c r="BL764">
        <v>1</v>
      </c>
      <c r="BM764">
        <v>1</v>
      </c>
      <c r="BN764" t="s">
        <v>30</v>
      </c>
      <c r="BO764">
        <v>1</v>
      </c>
      <c r="BP764">
        <v>84</v>
      </c>
      <c r="BQ764">
        <v>0.13</v>
      </c>
      <c r="BR764">
        <v>1</v>
      </c>
      <c r="BS764">
        <v>0.13</v>
      </c>
      <c r="BT764">
        <f>BS764+BD764+AU764+AM764</f>
        <v>1.1299999999999999</v>
      </c>
      <c r="BU764">
        <v>1</v>
      </c>
      <c r="BV764">
        <v>2</v>
      </c>
      <c r="BW764">
        <v>293</v>
      </c>
      <c r="BX764">
        <f>BW764/7</f>
        <v>41.857142857142854</v>
      </c>
      <c r="BY764">
        <f>0.77*BX764</f>
        <v>32.229999999999997</v>
      </c>
      <c r="BZ764">
        <f t="shared" si="11"/>
        <v>33.36</v>
      </c>
    </row>
    <row r="765" spans="1:78">
      <c r="A765" s="1">
        <v>45215.133041076391</v>
      </c>
      <c r="C765">
        <v>764</v>
      </c>
      <c r="D765" s="10">
        <v>31320</v>
      </c>
      <c r="E765">
        <v>38</v>
      </c>
      <c r="F765">
        <v>1</v>
      </c>
      <c r="G765">
        <v>1</v>
      </c>
      <c r="H765">
        <v>4</v>
      </c>
      <c r="I765" s="10">
        <v>44814</v>
      </c>
      <c r="J765">
        <v>2</v>
      </c>
      <c r="K765">
        <v>0</v>
      </c>
      <c r="L765">
        <v>2</v>
      </c>
      <c r="M765">
        <v>3275</v>
      </c>
      <c r="N765">
        <v>2</v>
      </c>
      <c r="O765" s="10">
        <v>44553</v>
      </c>
      <c r="P765">
        <v>0</v>
      </c>
      <c r="Q765">
        <v>37.285714285714285</v>
      </c>
      <c r="R765">
        <v>2</v>
      </c>
      <c r="S765">
        <v>110</v>
      </c>
      <c r="T765">
        <v>158</v>
      </c>
      <c r="U765">
        <v>115</v>
      </c>
      <c r="V765">
        <v>5</v>
      </c>
      <c r="W765">
        <v>1</v>
      </c>
      <c r="X765">
        <v>44.063451369972753</v>
      </c>
      <c r="Y765">
        <v>46.066335523153334</v>
      </c>
      <c r="Z765">
        <v>2.002884153180581</v>
      </c>
      <c r="AA765">
        <v>4</v>
      </c>
      <c r="AB765">
        <v>4</v>
      </c>
      <c r="AC765" t="s">
        <v>33</v>
      </c>
      <c r="AD765">
        <v>3</v>
      </c>
      <c r="AE765">
        <v>0</v>
      </c>
      <c r="AG765">
        <v>5</v>
      </c>
      <c r="AH765">
        <v>0</v>
      </c>
      <c r="AI765">
        <v>0</v>
      </c>
      <c r="AN765" t="s">
        <v>41</v>
      </c>
      <c r="AO765">
        <v>0</v>
      </c>
      <c r="AW765" t="s">
        <v>58</v>
      </c>
      <c r="AX765">
        <v>1</v>
      </c>
      <c r="AY765" t="s">
        <v>58</v>
      </c>
      <c r="AZ765">
        <v>1</v>
      </c>
      <c r="BA765">
        <v>0.8</v>
      </c>
      <c r="BB765">
        <v>7</v>
      </c>
      <c r="BC765">
        <v>1</v>
      </c>
      <c r="BD765">
        <f>BA765*BB765*1/7</f>
        <v>0.8</v>
      </c>
      <c r="BE765">
        <f>AM765+AU765+BD765</f>
        <v>0.8</v>
      </c>
      <c r="BF765" t="s">
        <v>58</v>
      </c>
      <c r="BG765">
        <v>0</v>
      </c>
      <c r="BH765">
        <v>7</v>
      </c>
      <c r="BI765">
        <v>1</v>
      </c>
      <c r="BJ765" t="s">
        <v>42</v>
      </c>
      <c r="BK765">
        <v>6</v>
      </c>
      <c r="BL765">
        <v>1</v>
      </c>
      <c r="BM765">
        <v>1</v>
      </c>
      <c r="BN765" t="s">
        <v>30</v>
      </c>
      <c r="BO765">
        <v>1</v>
      </c>
      <c r="BP765">
        <v>168</v>
      </c>
      <c r="BQ765">
        <v>0.13</v>
      </c>
      <c r="BR765">
        <v>2</v>
      </c>
      <c r="BS765">
        <v>0.26</v>
      </c>
      <c r="BT765">
        <f>BS765+BD765+AU765+AM765</f>
        <v>1.06</v>
      </c>
      <c r="BU765">
        <v>1</v>
      </c>
      <c r="BV765">
        <v>1</v>
      </c>
      <c r="BW765">
        <v>146.5</v>
      </c>
      <c r="BX765">
        <f>BW765/7</f>
        <v>20.928571428571427</v>
      </c>
      <c r="BY765">
        <f>0.77*BX765</f>
        <v>16.114999999999998</v>
      </c>
      <c r="BZ765">
        <f t="shared" si="11"/>
        <v>17.174999999999997</v>
      </c>
    </row>
    <row r="766" spans="1:78">
      <c r="A766" s="1">
        <v>45215.169066296294</v>
      </c>
      <c r="C766">
        <v>765</v>
      </c>
      <c r="D766" s="10">
        <v>34613</v>
      </c>
      <c r="E766">
        <v>29</v>
      </c>
      <c r="F766">
        <v>1</v>
      </c>
      <c r="G766">
        <v>4</v>
      </c>
      <c r="H766">
        <v>4</v>
      </c>
      <c r="I766" s="10">
        <v>43581</v>
      </c>
      <c r="J766">
        <v>1</v>
      </c>
      <c r="K766">
        <v>1</v>
      </c>
      <c r="L766">
        <v>2</v>
      </c>
      <c r="M766">
        <v>3290</v>
      </c>
      <c r="N766">
        <v>2</v>
      </c>
      <c r="O766" s="10">
        <v>43308</v>
      </c>
      <c r="P766">
        <v>0</v>
      </c>
      <c r="Q766">
        <v>39</v>
      </c>
      <c r="R766">
        <v>2</v>
      </c>
      <c r="S766">
        <v>74</v>
      </c>
      <c r="T766">
        <v>157</v>
      </c>
      <c r="U766">
        <v>85</v>
      </c>
      <c r="V766">
        <v>11</v>
      </c>
      <c r="W766">
        <v>2</v>
      </c>
      <c r="X766">
        <v>30.021501886486266</v>
      </c>
      <c r="Y766">
        <v>34.484157572315304</v>
      </c>
      <c r="Z766">
        <v>4.4626556858290378</v>
      </c>
      <c r="AA766">
        <v>4</v>
      </c>
      <c r="AB766">
        <v>4</v>
      </c>
      <c r="AC766" t="s">
        <v>33</v>
      </c>
      <c r="AD766">
        <v>3</v>
      </c>
      <c r="AE766">
        <v>0</v>
      </c>
      <c r="AG766">
        <v>5</v>
      </c>
      <c r="AH766">
        <v>1</v>
      </c>
      <c r="AI766">
        <v>1</v>
      </c>
      <c r="AJ766">
        <v>1</v>
      </c>
      <c r="AK766">
        <v>7</v>
      </c>
      <c r="AL766">
        <v>1</v>
      </c>
      <c r="AM766">
        <f>AJ766*AK766*AL766/7</f>
        <v>1</v>
      </c>
      <c r="AN766" t="s">
        <v>56</v>
      </c>
      <c r="AO766">
        <v>0</v>
      </c>
      <c r="AV766">
        <f>AU766+AM766</f>
        <v>1</v>
      </c>
      <c r="AW766" t="s">
        <v>128</v>
      </c>
      <c r="AX766">
        <v>1</v>
      </c>
      <c r="AY766" t="s">
        <v>128</v>
      </c>
      <c r="AZ766">
        <v>4</v>
      </c>
      <c r="BA766">
        <v>0.2</v>
      </c>
      <c r="BB766">
        <v>3</v>
      </c>
      <c r="BC766">
        <v>1</v>
      </c>
      <c r="BD766">
        <f>BA766*BB766*1/7</f>
        <v>8.5714285714285729E-2</v>
      </c>
      <c r="BE766">
        <f>AM766+AU766+BD766</f>
        <v>1.0857142857142856</v>
      </c>
      <c r="BF766" t="s">
        <v>128</v>
      </c>
      <c r="BG766">
        <v>0</v>
      </c>
      <c r="BH766">
        <v>3</v>
      </c>
      <c r="BI766">
        <v>1</v>
      </c>
      <c r="BJ766" t="s">
        <v>49</v>
      </c>
      <c r="BK766">
        <v>5</v>
      </c>
      <c r="BL766">
        <v>3</v>
      </c>
      <c r="BM766">
        <v>1</v>
      </c>
      <c r="BN766" t="s">
        <v>55</v>
      </c>
      <c r="BO766">
        <v>2</v>
      </c>
      <c r="BP766">
        <v>134</v>
      </c>
      <c r="BQ766">
        <v>0.1</v>
      </c>
      <c r="BR766">
        <v>2</v>
      </c>
      <c r="BS766">
        <v>0.2</v>
      </c>
      <c r="BT766">
        <f>BS766+BD766+AU766+AM766</f>
        <v>1.2857142857142858</v>
      </c>
      <c r="BU766">
        <v>1</v>
      </c>
      <c r="BV766">
        <v>0.5</v>
      </c>
      <c r="BW766">
        <v>73.25</v>
      </c>
      <c r="BX766">
        <f>BW766/7</f>
        <v>10.464285714285714</v>
      </c>
      <c r="BY766">
        <f>0.77*BX766</f>
        <v>8.0574999999999992</v>
      </c>
      <c r="BZ766">
        <f t="shared" si="11"/>
        <v>9.3432142857142857</v>
      </c>
    </row>
    <row r="767" spans="1:78">
      <c r="A767" s="1">
        <v>45215.170681770833</v>
      </c>
      <c r="C767">
        <v>766</v>
      </c>
      <c r="D767" s="10">
        <v>31624</v>
      </c>
      <c r="E767">
        <v>37</v>
      </c>
      <c r="F767">
        <v>1</v>
      </c>
      <c r="G767">
        <v>1</v>
      </c>
      <c r="H767">
        <v>4</v>
      </c>
      <c r="I767" s="10">
        <v>44401</v>
      </c>
      <c r="J767">
        <v>2</v>
      </c>
      <c r="K767">
        <v>0</v>
      </c>
      <c r="L767">
        <v>1</v>
      </c>
      <c r="M767">
        <v>3450</v>
      </c>
      <c r="N767">
        <v>2</v>
      </c>
      <c r="O767" s="10">
        <v>44142</v>
      </c>
      <c r="P767">
        <v>1</v>
      </c>
      <c r="Q767">
        <v>37</v>
      </c>
      <c r="R767">
        <v>2</v>
      </c>
      <c r="S767">
        <v>69</v>
      </c>
      <c r="T767">
        <v>154</v>
      </c>
      <c r="U767">
        <v>76</v>
      </c>
      <c r="V767">
        <v>7</v>
      </c>
      <c r="W767">
        <v>2</v>
      </c>
      <c r="X767">
        <v>29.094282341035587</v>
      </c>
      <c r="Y767">
        <v>32.045876201720361</v>
      </c>
      <c r="Z767">
        <v>2.951593860684774</v>
      </c>
      <c r="AA767">
        <v>3</v>
      </c>
      <c r="AB767">
        <v>4</v>
      </c>
      <c r="AC767" t="s">
        <v>33</v>
      </c>
      <c r="AD767">
        <v>3</v>
      </c>
      <c r="AE767">
        <v>0</v>
      </c>
      <c r="AG767">
        <v>5</v>
      </c>
      <c r="AH767">
        <v>0</v>
      </c>
      <c r="AI767">
        <v>0</v>
      </c>
      <c r="AO767">
        <v>0</v>
      </c>
      <c r="AX767">
        <v>0</v>
      </c>
      <c r="BG767">
        <v>0</v>
      </c>
      <c r="BJ767" t="s">
        <v>51</v>
      </c>
      <c r="BK767">
        <v>1</v>
      </c>
      <c r="BL767">
        <v>1</v>
      </c>
      <c r="BM767">
        <v>1</v>
      </c>
      <c r="BN767" t="s">
        <v>55</v>
      </c>
      <c r="BO767">
        <v>2</v>
      </c>
      <c r="BP767">
        <v>134</v>
      </c>
      <c r="BQ767">
        <v>0.1</v>
      </c>
      <c r="BR767">
        <v>2</v>
      </c>
      <c r="BS767">
        <v>0.2</v>
      </c>
      <c r="BT767">
        <f>BS767+BD767+AU767+AM767</f>
        <v>0.2</v>
      </c>
      <c r="BU767">
        <v>1</v>
      </c>
      <c r="BV767">
        <v>2</v>
      </c>
      <c r="BW767">
        <v>293</v>
      </c>
      <c r="BX767">
        <f>BW767/7</f>
        <v>41.857142857142854</v>
      </c>
      <c r="BY767">
        <f>0.77*BX767</f>
        <v>32.229999999999997</v>
      </c>
      <c r="BZ767">
        <f t="shared" si="11"/>
        <v>32.43</v>
      </c>
    </row>
    <row r="768" spans="1:78">
      <c r="A768" s="1">
        <v>45215.17680637732</v>
      </c>
      <c r="C768">
        <v>767</v>
      </c>
      <c r="D768" s="10">
        <v>33746</v>
      </c>
      <c r="E768">
        <v>31</v>
      </c>
      <c r="F768">
        <v>1</v>
      </c>
      <c r="G768">
        <v>1</v>
      </c>
      <c r="H768">
        <v>4</v>
      </c>
      <c r="I768" s="10">
        <v>43887</v>
      </c>
      <c r="J768">
        <v>3</v>
      </c>
      <c r="K768">
        <v>0</v>
      </c>
      <c r="L768">
        <v>1</v>
      </c>
      <c r="M768">
        <v>3080</v>
      </c>
      <c r="N768">
        <v>2</v>
      </c>
      <c r="O768" s="10">
        <v>43621</v>
      </c>
      <c r="P768">
        <v>0</v>
      </c>
      <c r="Q768">
        <v>38</v>
      </c>
      <c r="R768">
        <v>2</v>
      </c>
      <c r="S768">
        <v>78</v>
      </c>
      <c r="T768">
        <v>159</v>
      </c>
      <c r="U768">
        <v>81</v>
      </c>
      <c r="V768">
        <v>3</v>
      </c>
      <c r="W768">
        <v>1</v>
      </c>
      <c r="X768">
        <v>30.853209920493647</v>
      </c>
      <c r="Y768">
        <v>32.039871840512632</v>
      </c>
      <c r="Z768">
        <v>1.1866619200189845</v>
      </c>
      <c r="AA768">
        <v>4</v>
      </c>
      <c r="AB768">
        <v>4</v>
      </c>
      <c r="AC768" t="s">
        <v>33</v>
      </c>
      <c r="AD768">
        <v>3</v>
      </c>
      <c r="AE768">
        <v>1</v>
      </c>
      <c r="AF768" t="s">
        <v>386</v>
      </c>
      <c r="AG768">
        <v>4</v>
      </c>
      <c r="AH768">
        <v>1</v>
      </c>
      <c r="AI768">
        <v>13</v>
      </c>
      <c r="AJ768">
        <v>1</v>
      </c>
      <c r="AK768">
        <v>7</v>
      </c>
      <c r="AL768">
        <v>1</v>
      </c>
      <c r="AM768">
        <f>AJ768*AK768*AL768/7</f>
        <v>1</v>
      </c>
      <c r="AN768" t="s">
        <v>79</v>
      </c>
      <c r="AO768">
        <v>0</v>
      </c>
      <c r="AV768">
        <f>AU768+AM768</f>
        <v>1</v>
      </c>
      <c r="AX768">
        <v>0</v>
      </c>
      <c r="BE768">
        <f>AM768+AU768+BD768</f>
        <v>1</v>
      </c>
      <c r="BG768">
        <v>0</v>
      </c>
      <c r="BJ768" t="s">
        <v>49</v>
      </c>
      <c r="BK768">
        <v>5</v>
      </c>
      <c r="BL768">
        <v>1</v>
      </c>
      <c r="BM768">
        <v>1</v>
      </c>
      <c r="BN768" t="s">
        <v>30</v>
      </c>
      <c r="BO768">
        <v>1</v>
      </c>
      <c r="BP768">
        <v>168</v>
      </c>
      <c r="BQ768">
        <v>0.13</v>
      </c>
      <c r="BR768">
        <v>2</v>
      </c>
      <c r="BS768">
        <v>0.26</v>
      </c>
      <c r="BT768">
        <f>BS768+BD768+AU768+AM768</f>
        <v>1.26</v>
      </c>
      <c r="BU768">
        <v>1</v>
      </c>
      <c r="BV768">
        <v>1</v>
      </c>
      <c r="BW768">
        <v>146.5</v>
      </c>
      <c r="BX768">
        <f>BW768/7</f>
        <v>20.928571428571427</v>
      </c>
      <c r="BY768">
        <f>0.77*BX768</f>
        <v>16.114999999999998</v>
      </c>
      <c r="BZ768">
        <f t="shared" si="11"/>
        <v>17.375</v>
      </c>
    </row>
    <row r="769" spans="1:78">
      <c r="A769" s="1">
        <v>45215.231196967594</v>
      </c>
      <c r="C769">
        <v>768</v>
      </c>
      <c r="D769" s="10">
        <v>32455</v>
      </c>
      <c r="E769">
        <v>34</v>
      </c>
      <c r="F769">
        <v>1</v>
      </c>
      <c r="G769">
        <v>1</v>
      </c>
      <c r="H769">
        <v>5</v>
      </c>
      <c r="I769" s="10">
        <v>43529</v>
      </c>
      <c r="J769">
        <v>1</v>
      </c>
      <c r="K769">
        <v>1</v>
      </c>
      <c r="L769">
        <v>1</v>
      </c>
      <c r="M769">
        <v>2540</v>
      </c>
      <c r="N769">
        <v>2</v>
      </c>
      <c r="O769" s="10">
        <v>43270</v>
      </c>
      <c r="P769">
        <v>0</v>
      </c>
      <c r="Q769">
        <v>37</v>
      </c>
      <c r="R769">
        <v>2</v>
      </c>
      <c r="S769">
        <v>68</v>
      </c>
      <c r="T769">
        <v>164</v>
      </c>
      <c r="U769">
        <v>77</v>
      </c>
      <c r="V769">
        <v>9</v>
      </c>
      <c r="W769">
        <v>2</v>
      </c>
      <c r="X769">
        <v>25.282569898869724</v>
      </c>
      <c r="Y769">
        <v>28.628792385484836</v>
      </c>
      <c r="Z769">
        <v>3.3462224866151118</v>
      </c>
      <c r="AA769">
        <v>3</v>
      </c>
      <c r="AB769">
        <v>3</v>
      </c>
      <c r="AC769" t="s">
        <v>33</v>
      </c>
      <c r="AD769">
        <v>3</v>
      </c>
      <c r="AE769">
        <v>0</v>
      </c>
      <c r="AG769">
        <v>5</v>
      </c>
      <c r="AH769">
        <v>1</v>
      </c>
      <c r="AI769">
        <v>13</v>
      </c>
      <c r="AJ769">
        <v>1</v>
      </c>
      <c r="AK769">
        <v>7</v>
      </c>
      <c r="AL769">
        <v>1</v>
      </c>
      <c r="AM769">
        <f>AJ769*AK769*AL769/7</f>
        <v>1</v>
      </c>
      <c r="AN769" t="s">
        <v>79</v>
      </c>
      <c r="AO769">
        <v>0</v>
      </c>
      <c r="AV769">
        <f>AU769+AM769</f>
        <v>1</v>
      </c>
      <c r="AX769">
        <v>0</v>
      </c>
      <c r="BE769">
        <f>AM769+AU769+BD769</f>
        <v>1</v>
      </c>
      <c r="BG769">
        <v>0</v>
      </c>
      <c r="BJ769" t="s">
        <v>49</v>
      </c>
      <c r="BK769">
        <v>5</v>
      </c>
      <c r="BL769">
        <v>1</v>
      </c>
      <c r="BM769">
        <v>1</v>
      </c>
      <c r="BN769" t="s">
        <v>30</v>
      </c>
      <c r="BO769">
        <v>1</v>
      </c>
      <c r="BP769">
        <v>168</v>
      </c>
      <c r="BQ769">
        <v>0.13</v>
      </c>
      <c r="BR769">
        <v>2</v>
      </c>
      <c r="BS769">
        <v>0.26</v>
      </c>
      <c r="BT769">
        <f>BS769+BD769+AU769+AM769</f>
        <v>1.26</v>
      </c>
      <c r="BU769">
        <v>1</v>
      </c>
      <c r="BV769">
        <v>1</v>
      </c>
      <c r="BW769">
        <v>146.5</v>
      </c>
      <c r="BX769">
        <f>BW769/7</f>
        <v>20.928571428571427</v>
      </c>
      <c r="BY769">
        <f>0.77*BX769</f>
        <v>16.114999999999998</v>
      </c>
      <c r="BZ769">
        <f t="shared" si="11"/>
        <v>17.375</v>
      </c>
    </row>
    <row r="770" spans="1:78">
      <c r="A770" s="1">
        <v>45215.249970289355</v>
      </c>
      <c r="C770">
        <v>769</v>
      </c>
      <c r="D770" s="10">
        <v>29795</v>
      </c>
      <c r="E770">
        <v>42</v>
      </c>
      <c r="F770">
        <v>1</v>
      </c>
      <c r="G770">
        <v>1</v>
      </c>
      <c r="H770">
        <v>2</v>
      </c>
      <c r="I770" s="10">
        <v>43915</v>
      </c>
      <c r="J770">
        <v>2</v>
      </c>
      <c r="K770">
        <v>0</v>
      </c>
      <c r="L770">
        <v>2</v>
      </c>
      <c r="M770">
        <v>3030</v>
      </c>
      <c r="N770">
        <v>2</v>
      </c>
      <c r="O770" s="10">
        <v>43649</v>
      </c>
      <c r="P770">
        <v>0</v>
      </c>
      <c r="Q770">
        <v>38</v>
      </c>
      <c r="R770">
        <v>2</v>
      </c>
      <c r="S770">
        <v>75</v>
      </c>
      <c r="T770">
        <v>158</v>
      </c>
      <c r="U770">
        <v>79</v>
      </c>
      <c r="V770">
        <v>4</v>
      </c>
      <c r="W770">
        <v>1</v>
      </c>
      <c r="X770">
        <v>30.043262297708697</v>
      </c>
      <c r="Y770">
        <v>31.645569620253159</v>
      </c>
      <c r="Z770">
        <v>1.602307322544462</v>
      </c>
      <c r="AA770">
        <v>4</v>
      </c>
      <c r="AB770">
        <v>4</v>
      </c>
      <c r="AC770" t="s">
        <v>33</v>
      </c>
      <c r="AD770">
        <v>3</v>
      </c>
      <c r="AE770">
        <v>0</v>
      </c>
      <c r="AG770">
        <v>5</v>
      </c>
      <c r="AH770">
        <v>1</v>
      </c>
      <c r="AI770">
        <v>13</v>
      </c>
      <c r="AJ770">
        <v>1</v>
      </c>
      <c r="AK770">
        <v>7</v>
      </c>
      <c r="AL770">
        <v>1</v>
      </c>
      <c r="AM770">
        <f>AJ770*AK770*AL770/7</f>
        <v>1</v>
      </c>
      <c r="AN770" t="s">
        <v>79</v>
      </c>
      <c r="AO770">
        <v>0</v>
      </c>
      <c r="AV770">
        <f>AU770+AM770</f>
        <v>1</v>
      </c>
      <c r="AX770">
        <v>0</v>
      </c>
      <c r="BE770">
        <f>AM770+AU770+BD770</f>
        <v>1</v>
      </c>
      <c r="BG770">
        <v>0</v>
      </c>
      <c r="BJ770" t="s">
        <v>49</v>
      </c>
      <c r="BK770">
        <v>5</v>
      </c>
      <c r="BL770">
        <v>1</v>
      </c>
      <c r="BM770">
        <v>1</v>
      </c>
      <c r="BN770" t="s">
        <v>30</v>
      </c>
      <c r="BO770">
        <v>1</v>
      </c>
      <c r="BP770">
        <v>84</v>
      </c>
      <c r="BQ770">
        <v>0.13</v>
      </c>
      <c r="BR770">
        <v>1</v>
      </c>
      <c r="BS770">
        <v>0.13</v>
      </c>
      <c r="BT770">
        <f>BS770+BD770+AU770+AM770</f>
        <v>1.1299999999999999</v>
      </c>
      <c r="BU770">
        <v>1</v>
      </c>
      <c r="BV770">
        <v>1</v>
      </c>
      <c r="BW770">
        <v>146.5</v>
      </c>
      <c r="BX770">
        <f>BW770/7</f>
        <v>20.928571428571427</v>
      </c>
      <c r="BY770">
        <f>0.77*BX770</f>
        <v>16.114999999999998</v>
      </c>
      <c r="BZ770">
        <f t="shared" si="11"/>
        <v>17.244999999999997</v>
      </c>
    </row>
    <row r="771" spans="1:78">
      <c r="A771" s="1">
        <v>45215.298572280095</v>
      </c>
      <c r="C771">
        <v>770</v>
      </c>
      <c r="D771" s="10">
        <v>30376</v>
      </c>
      <c r="E771">
        <v>40</v>
      </c>
      <c r="F771">
        <v>1</v>
      </c>
      <c r="G771">
        <v>9</v>
      </c>
      <c r="H771">
        <v>5</v>
      </c>
      <c r="I771" s="10">
        <v>44522</v>
      </c>
      <c r="J771">
        <v>1</v>
      </c>
      <c r="K771">
        <v>1</v>
      </c>
      <c r="L771">
        <v>1</v>
      </c>
      <c r="M771">
        <v>3850</v>
      </c>
      <c r="N771">
        <v>2</v>
      </c>
      <c r="O771" s="10">
        <v>44235</v>
      </c>
      <c r="P771">
        <v>1</v>
      </c>
      <c r="Q771">
        <v>41</v>
      </c>
      <c r="R771">
        <v>2</v>
      </c>
      <c r="S771">
        <v>68</v>
      </c>
      <c r="T771">
        <v>157</v>
      </c>
      <c r="U771">
        <v>80</v>
      </c>
      <c r="V771">
        <v>12</v>
      </c>
      <c r="W771">
        <v>3</v>
      </c>
      <c r="X771">
        <v>27.587326057852245</v>
      </c>
      <c r="Y771">
        <v>32.455677715120288</v>
      </c>
      <c r="Z771">
        <v>4.8683516572680432</v>
      </c>
      <c r="AA771">
        <v>3</v>
      </c>
      <c r="AB771">
        <v>4</v>
      </c>
      <c r="AC771" t="s">
        <v>33</v>
      </c>
      <c r="AD771">
        <v>3</v>
      </c>
      <c r="AE771">
        <v>0</v>
      </c>
      <c r="AG771">
        <v>5</v>
      </c>
      <c r="AH771">
        <v>1</v>
      </c>
      <c r="AI771">
        <v>4</v>
      </c>
      <c r="AJ771">
        <v>1</v>
      </c>
      <c r="AK771">
        <v>7</v>
      </c>
      <c r="AL771">
        <v>1</v>
      </c>
      <c r="AM771">
        <f>AJ771*AK771*AL771/7</f>
        <v>1</v>
      </c>
      <c r="AN771" t="s">
        <v>43</v>
      </c>
      <c r="AO771">
        <v>0</v>
      </c>
      <c r="AV771">
        <f>AU771+AM771</f>
        <v>1</v>
      </c>
      <c r="AW771" t="s">
        <v>415</v>
      </c>
      <c r="AX771">
        <v>1</v>
      </c>
      <c r="AY771" t="s">
        <v>415</v>
      </c>
      <c r="AZ771">
        <v>5</v>
      </c>
      <c r="BA771">
        <v>0.4</v>
      </c>
      <c r="BB771">
        <v>7</v>
      </c>
      <c r="BC771">
        <v>1</v>
      </c>
      <c r="BD771">
        <f>BA771*BB771*1/7</f>
        <v>0.4</v>
      </c>
      <c r="BE771">
        <f>AM771+AU771+BD771</f>
        <v>1.4</v>
      </c>
      <c r="BF771" t="s">
        <v>415</v>
      </c>
      <c r="BG771">
        <v>0</v>
      </c>
      <c r="BH771">
        <v>7</v>
      </c>
      <c r="BI771">
        <v>1</v>
      </c>
      <c r="BJ771" t="s">
        <v>42</v>
      </c>
      <c r="BK771">
        <v>6</v>
      </c>
      <c r="BL771">
        <v>1</v>
      </c>
      <c r="BM771">
        <v>1</v>
      </c>
      <c r="BN771" t="s">
        <v>30</v>
      </c>
      <c r="BO771">
        <v>1</v>
      </c>
      <c r="BP771">
        <v>84</v>
      </c>
      <c r="BQ771">
        <v>0.13</v>
      </c>
      <c r="BR771">
        <v>1</v>
      </c>
      <c r="BS771">
        <v>0.13</v>
      </c>
      <c r="BT771">
        <f>BS771+BD771+AU771+AM771</f>
        <v>1.53</v>
      </c>
      <c r="BU771">
        <v>1</v>
      </c>
      <c r="BV771">
        <v>1</v>
      </c>
      <c r="BW771">
        <v>146.5</v>
      </c>
      <c r="BX771">
        <f>BW771/7</f>
        <v>20.928571428571427</v>
      </c>
      <c r="BY771">
        <f>0.77*BX771</f>
        <v>16.114999999999998</v>
      </c>
      <c r="BZ771">
        <f t="shared" si="11"/>
        <v>17.645</v>
      </c>
    </row>
    <row r="772" spans="1:78">
      <c r="A772" s="1">
        <v>45215.421991631942</v>
      </c>
      <c r="C772">
        <v>771</v>
      </c>
      <c r="D772" s="10">
        <v>35564</v>
      </c>
      <c r="E772">
        <v>27</v>
      </c>
      <c r="F772">
        <v>1</v>
      </c>
      <c r="G772">
        <v>1</v>
      </c>
      <c r="H772">
        <v>4</v>
      </c>
      <c r="I772" s="10">
        <v>44507</v>
      </c>
      <c r="J772">
        <v>1</v>
      </c>
      <c r="K772">
        <v>1</v>
      </c>
      <c r="L772">
        <v>2</v>
      </c>
      <c r="M772">
        <v>3660</v>
      </c>
      <c r="N772">
        <v>2</v>
      </c>
      <c r="O772" s="10">
        <v>44227</v>
      </c>
      <c r="P772">
        <v>1</v>
      </c>
      <c r="Q772">
        <v>40</v>
      </c>
      <c r="R772">
        <v>2</v>
      </c>
      <c r="S772">
        <v>80</v>
      </c>
      <c r="T772">
        <v>173</v>
      </c>
      <c r="U772">
        <v>110</v>
      </c>
      <c r="V772">
        <v>30</v>
      </c>
      <c r="W772">
        <v>3</v>
      </c>
      <c r="X772">
        <v>26.729927495071667</v>
      </c>
      <c r="Y772">
        <v>36.753650305723546</v>
      </c>
      <c r="Z772">
        <v>10.023722810651879</v>
      </c>
      <c r="AA772">
        <v>3</v>
      </c>
      <c r="AB772">
        <v>4</v>
      </c>
      <c r="AC772" t="s">
        <v>25</v>
      </c>
      <c r="AD772">
        <v>1</v>
      </c>
      <c r="AE772">
        <v>0</v>
      </c>
      <c r="AG772">
        <v>5</v>
      </c>
      <c r="AH772">
        <v>0</v>
      </c>
      <c r="AI772">
        <v>0</v>
      </c>
      <c r="AN772" t="s">
        <v>41</v>
      </c>
      <c r="AO772">
        <v>0</v>
      </c>
      <c r="AW772" t="s">
        <v>58</v>
      </c>
      <c r="AX772">
        <v>1</v>
      </c>
      <c r="AY772" t="s">
        <v>58</v>
      </c>
      <c r="AZ772">
        <v>1</v>
      </c>
      <c r="BA772">
        <v>0.8</v>
      </c>
      <c r="BB772">
        <v>7</v>
      </c>
      <c r="BC772">
        <v>1</v>
      </c>
      <c r="BD772">
        <f>BA772*BB772*1/7</f>
        <v>0.8</v>
      </c>
      <c r="BE772">
        <f>AM772+AU772+BD772</f>
        <v>0.8</v>
      </c>
      <c r="BF772" t="s">
        <v>58</v>
      </c>
      <c r="BG772">
        <v>0</v>
      </c>
      <c r="BH772">
        <v>7</v>
      </c>
      <c r="BI772">
        <v>1</v>
      </c>
      <c r="BJ772" t="s">
        <v>42</v>
      </c>
      <c r="BK772">
        <v>6</v>
      </c>
      <c r="BL772">
        <v>1</v>
      </c>
      <c r="BM772">
        <v>1</v>
      </c>
      <c r="BN772" t="s">
        <v>55</v>
      </c>
      <c r="BO772">
        <v>2</v>
      </c>
      <c r="BP772">
        <v>134</v>
      </c>
      <c r="BQ772">
        <v>0.1</v>
      </c>
      <c r="BR772">
        <v>2</v>
      </c>
      <c r="BS772">
        <v>0.2</v>
      </c>
      <c r="BT772">
        <f>BS772+BD772+AU772+AM772</f>
        <v>1</v>
      </c>
      <c r="BU772">
        <v>1</v>
      </c>
      <c r="BV772">
        <v>2</v>
      </c>
      <c r="BW772">
        <v>293</v>
      </c>
      <c r="BX772">
        <f>BW772/7</f>
        <v>41.857142857142854</v>
      </c>
      <c r="BY772">
        <f>0.77*BX772</f>
        <v>32.229999999999997</v>
      </c>
      <c r="BZ772">
        <f t="shared" ref="BZ772:BZ835" si="12">BS772+BD772+AU772+AM772+BY772</f>
        <v>33.229999999999997</v>
      </c>
    </row>
    <row r="773" spans="1:78">
      <c r="A773" s="1">
        <v>45215.459949374999</v>
      </c>
      <c r="C773">
        <v>772</v>
      </c>
      <c r="D773" s="10">
        <v>32919</v>
      </c>
      <c r="E773">
        <v>33</v>
      </c>
      <c r="F773">
        <v>1</v>
      </c>
      <c r="G773">
        <v>1</v>
      </c>
      <c r="H773">
        <v>3</v>
      </c>
      <c r="I773" s="10">
        <v>44688</v>
      </c>
      <c r="J773">
        <v>3</v>
      </c>
      <c r="K773">
        <v>0</v>
      </c>
      <c r="L773">
        <v>1</v>
      </c>
      <c r="M773">
        <v>3480</v>
      </c>
      <c r="N773">
        <v>2</v>
      </c>
      <c r="O773" s="10">
        <v>44408</v>
      </c>
      <c r="P773">
        <v>1</v>
      </c>
      <c r="Q773">
        <v>40</v>
      </c>
      <c r="R773">
        <v>2</v>
      </c>
      <c r="S773">
        <v>55</v>
      </c>
      <c r="T773">
        <v>158</v>
      </c>
      <c r="U773">
        <v>64</v>
      </c>
      <c r="V773">
        <v>9</v>
      </c>
      <c r="W773">
        <v>1</v>
      </c>
      <c r="X773">
        <v>22.031725684986377</v>
      </c>
      <c r="Y773">
        <v>25.63691716071142</v>
      </c>
      <c r="Z773">
        <v>3.6051914757250429</v>
      </c>
      <c r="AA773">
        <v>2</v>
      </c>
      <c r="AB773">
        <v>3</v>
      </c>
      <c r="AC773" t="s">
        <v>191</v>
      </c>
      <c r="AD773">
        <v>2</v>
      </c>
      <c r="AE773">
        <v>0</v>
      </c>
      <c r="AG773">
        <v>5</v>
      </c>
      <c r="AH773">
        <v>1</v>
      </c>
      <c r="AI773">
        <v>2</v>
      </c>
      <c r="AJ773">
        <v>5</v>
      </c>
      <c r="AK773">
        <v>7</v>
      </c>
      <c r="AL773">
        <v>1</v>
      </c>
      <c r="AM773">
        <f>AJ773*AK773*AL773/7</f>
        <v>5</v>
      </c>
      <c r="AN773" t="s">
        <v>57</v>
      </c>
      <c r="AO773">
        <v>0</v>
      </c>
      <c r="AV773">
        <f>AU773+AM773</f>
        <v>5</v>
      </c>
      <c r="AW773" t="s">
        <v>472</v>
      </c>
      <c r="AX773">
        <v>0</v>
      </c>
      <c r="BE773">
        <f>AM773+AU773+BD773</f>
        <v>5</v>
      </c>
      <c r="BF773" t="s">
        <v>472</v>
      </c>
      <c r="BG773">
        <v>1</v>
      </c>
      <c r="BH773">
        <v>7</v>
      </c>
      <c r="BI773">
        <v>1</v>
      </c>
      <c r="BJ773" t="s">
        <v>49</v>
      </c>
      <c r="BK773">
        <v>5</v>
      </c>
      <c r="BL773">
        <v>1</v>
      </c>
      <c r="BM773">
        <v>1</v>
      </c>
      <c r="BN773" t="s">
        <v>30</v>
      </c>
      <c r="BO773">
        <v>1</v>
      </c>
      <c r="BP773">
        <v>168</v>
      </c>
      <c r="BQ773">
        <v>0.13</v>
      </c>
      <c r="BR773">
        <v>2</v>
      </c>
      <c r="BS773">
        <v>0.26</v>
      </c>
      <c r="BT773">
        <f>BS773+BD773+AU773+AM773</f>
        <v>5.26</v>
      </c>
      <c r="BU773">
        <v>1</v>
      </c>
      <c r="BV773">
        <v>3</v>
      </c>
      <c r="BW773">
        <v>439.5</v>
      </c>
      <c r="BX773">
        <f>BW773/7</f>
        <v>62.785714285714285</v>
      </c>
      <c r="BY773">
        <f>0.77*BX773</f>
        <v>48.344999999999999</v>
      </c>
      <c r="BZ773">
        <f t="shared" si="12"/>
        <v>53.604999999999997</v>
      </c>
    </row>
    <row r="774" spans="1:78">
      <c r="A774" s="1">
        <v>45215.465867025458</v>
      </c>
      <c r="C774">
        <v>773</v>
      </c>
      <c r="D774" s="10">
        <v>31021</v>
      </c>
      <c r="E774">
        <v>38</v>
      </c>
      <c r="F774">
        <v>1</v>
      </c>
      <c r="G774">
        <v>6</v>
      </c>
      <c r="H774">
        <v>4</v>
      </c>
      <c r="I774" s="10">
        <v>44841</v>
      </c>
      <c r="J774">
        <v>1</v>
      </c>
      <c r="K774">
        <v>1</v>
      </c>
      <c r="L774">
        <v>2</v>
      </c>
      <c r="M774">
        <v>3150</v>
      </c>
      <c r="N774">
        <v>2</v>
      </c>
      <c r="O774" s="10">
        <v>44573</v>
      </c>
      <c r="P774">
        <v>0</v>
      </c>
      <c r="Q774">
        <v>38.285714285714285</v>
      </c>
      <c r="R774">
        <v>2</v>
      </c>
      <c r="S774">
        <v>87</v>
      </c>
      <c r="T774">
        <v>161</v>
      </c>
      <c r="U774">
        <v>95</v>
      </c>
      <c r="V774">
        <v>8</v>
      </c>
      <c r="W774">
        <v>2</v>
      </c>
      <c r="X774">
        <v>33.56351992592878</v>
      </c>
      <c r="Y774">
        <v>36.649820608772806</v>
      </c>
      <c r="Z774">
        <v>3.0863006828440263</v>
      </c>
      <c r="AA774">
        <v>4</v>
      </c>
      <c r="AB774">
        <v>4</v>
      </c>
      <c r="AC774" t="s">
        <v>33</v>
      </c>
      <c r="AD774">
        <v>3</v>
      </c>
      <c r="AE774">
        <v>0</v>
      </c>
      <c r="AG774">
        <v>5</v>
      </c>
      <c r="AH774">
        <v>1</v>
      </c>
      <c r="AI774">
        <v>4</v>
      </c>
      <c r="AJ774">
        <v>1</v>
      </c>
      <c r="AK774">
        <v>7</v>
      </c>
      <c r="AL774">
        <v>1</v>
      </c>
      <c r="AM774">
        <f>AJ774*AK774*AL774/7</f>
        <v>1</v>
      </c>
      <c r="AN774" t="s">
        <v>43</v>
      </c>
      <c r="AO774">
        <v>0</v>
      </c>
      <c r="AV774">
        <f>AU774+AM774</f>
        <v>1</v>
      </c>
      <c r="AW774" t="s">
        <v>35</v>
      </c>
      <c r="AX774">
        <v>1</v>
      </c>
      <c r="AY774" t="s">
        <v>35</v>
      </c>
      <c r="AZ774">
        <v>12</v>
      </c>
      <c r="BA774">
        <v>0.4</v>
      </c>
      <c r="BB774">
        <v>7</v>
      </c>
      <c r="BC774">
        <v>1</v>
      </c>
      <c r="BD774">
        <f>BA774*BB774*1/7</f>
        <v>0.4</v>
      </c>
      <c r="BE774">
        <f>AM774+AU774+BD774</f>
        <v>1.4</v>
      </c>
      <c r="BF774" t="s">
        <v>35</v>
      </c>
      <c r="BG774">
        <v>0</v>
      </c>
      <c r="BH774">
        <v>7</v>
      </c>
      <c r="BI774">
        <v>1</v>
      </c>
      <c r="BJ774" t="s">
        <v>42</v>
      </c>
      <c r="BK774">
        <v>6</v>
      </c>
      <c r="BL774">
        <v>1</v>
      </c>
      <c r="BM774">
        <v>1</v>
      </c>
      <c r="BN774" t="s">
        <v>30</v>
      </c>
      <c r="BO774">
        <v>1</v>
      </c>
      <c r="BP774">
        <v>84</v>
      </c>
      <c r="BQ774">
        <v>0.13</v>
      </c>
      <c r="BR774">
        <v>1</v>
      </c>
      <c r="BS774">
        <v>0.13</v>
      </c>
      <c r="BT774">
        <f>BS774+BD774+AU774+AM774</f>
        <v>1.53</v>
      </c>
      <c r="BU774">
        <v>1</v>
      </c>
      <c r="BV774">
        <v>0.5</v>
      </c>
      <c r="BW774">
        <v>73.25</v>
      </c>
      <c r="BX774">
        <f>BW774/7</f>
        <v>10.464285714285714</v>
      </c>
      <c r="BY774">
        <f>0.77*BX774</f>
        <v>8.0574999999999992</v>
      </c>
      <c r="BZ774">
        <f t="shared" si="12"/>
        <v>9.5874999999999986</v>
      </c>
    </row>
    <row r="775" spans="1:78">
      <c r="A775" s="1">
        <v>45215.483603125002</v>
      </c>
      <c r="C775">
        <v>774</v>
      </c>
      <c r="D775" s="10">
        <v>33501</v>
      </c>
      <c r="E775">
        <v>32</v>
      </c>
      <c r="F775">
        <v>1</v>
      </c>
      <c r="G775">
        <v>1</v>
      </c>
      <c r="H775">
        <v>4</v>
      </c>
      <c r="I775" s="10">
        <v>43964</v>
      </c>
      <c r="J775">
        <v>1</v>
      </c>
      <c r="K775">
        <v>1</v>
      </c>
      <c r="L775">
        <v>2</v>
      </c>
      <c r="M775">
        <v>2100</v>
      </c>
      <c r="N775">
        <v>1</v>
      </c>
      <c r="O775" s="10">
        <v>43733</v>
      </c>
      <c r="P775">
        <v>0</v>
      </c>
      <c r="Q775">
        <v>33</v>
      </c>
      <c r="R775">
        <v>3</v>
      </c>
      <c r="S775">
        <v>95</v>
      </c>
      <c r="T775">
        <v>160</v>
      </c>
      <c r="U775">
        <v>106</v>
      </c>
      <c r="V775">
        <v>11</v>
      </c>
      <c r="W775">
        <v>2</v>
      </c>
      <c r="X775">
        <v>37.109374999999993</v>
      </c>
      <c r="Y775">
        <v>41.406249999999993</v>
      </c>
      <c r="Z775">
        <v>4.296875</v>
      </c>
      <c r="AA775">
        <v>4</v>
      </c>
      <c r="AB775">
        <v>4</v>
      </c>
      <c r="AC775" t="s">
        <v>44</v>
      </c>
      <c r="AD775">
        <v>1</v>
      </c>
      <c r="AE775">
        <v>0</v>
      </c>
      <c r="AG775">
        <v>5</v>
      </c>
      <c r="AH775">
        <v>1</v>
      </c>
      <c r="AI775">
        <v>5</v>
      </c>
      <c r="AJ775">
        <v>5</v>
      </c>
      <c r="AK775">
        <v>7</v>
      </c>
      <c r="AL775">
        <v>1</v>
      </c>
      <c r="AM775">
        <f>AJ775*AK775*AL775/7</f>
        <v>5</v>
      </c>
      <c r="AN775" t="s">
        <v>27</v>
      </c>
      <c r="AO775">
        <v>0</v>
      </c>
      <c r="AV775">
        <f>AU775+AM775</f>
        <v>5</v>
      </c>
      <c r="AX775">
        <v>0</v>
      </c>
      <c r="BE775">
        <f>AM775+AU775+BD775</f>
        <v>5</v>
      </c>
      <c r="BG775">
        <v>0</v>
      </c>
      <c r="BJ775" t="s">
        <v>49</v>
      </c>
      <c r="BK775">
        <v>5</v>
      </c>
      <c r="BL775">
        <v>1</v>
      </c>
      <c r="BM775">
        <v>1</v>
      </c>
      <c r="BN775" t="s">
        <v>30</v>
      </c>
      <c r="BO775">
        <v>1</v>
      </c>
      <c r="BP775">
        <v>168</v>
      </c>
      <c r="BQ775">
        <v>0.13</v>
      </c>
      <c r="BR775">
        <v>2</v>
      </c>
      <c r="BS775">
        <v>0.26</v>
      </c>
      <c r="BT775">
        <f>BS775+BD775+AU775+AM775</f>
        <v>5.26</v>
      </c>
      <c r="BU775">
        <v>1</v>
      </c>
      <c r="BV775">
        <v>1</v>
      </c>
      <c r="BW775">
        <v>146.5</v>
      </c>
      <c r="BX775">
        <f>BW775/7</f>
        <v>20.928571428571427</v>
      </c>
      <c r="BY775">
        <f>0.77*BX775</f>
        <v>16.114999999999998</v>
      </c>
      <c r="BZ775">
        <f t="shared" si="12"/>
        <v>21.375</v>
      </c>
    </row>
    <row r="776" spans="1:78">
      <c r="A776" s="1">
        <v>45215.557415856485</v>
      </c>
      <c r="C776">
        <v>775</v>
      </c>
      <c r="D776" s="10">
        <v>31896</v>
      </c>
      <c r="E776">
        <v>36</v>
      </c>
      <c r="F776">
        <v>1</v>
      </c>
      <c r="G776">
        <v>8</v>
      </c>
      <c r="H776">
        <v>4</v>
      </c>
      <c r="I776" s="10">
        <v>44934</v>
      </c>
      <c r="J776">
        <v>2</v>
      </c>
      <c r="K776">
        <v>0</v>
      </c>
      <c r="L776">
        <v>2</v>
      </c>
      <c r="M776">
        <v>3230</v>
      </c>
      <c r="N776">
        <v>2</v>
      </c>
      <c r="O776" s="10">
        <v>44665</v>
      </c>
      <c r="P776">
        <v>0</v>
      </c>
      <c r="Q776">
        <v>38.428571428571431</v>
      </c>
      <c r="R776">
        <v>2</v>
      </c>
      <c r="S776">
        <v>67</v>
      </c>
      <c r="T776">
        <v>153</v>
      </c>
      <c r="U776">
        <v>87</v>
      </c>
      <c r="V776">
        <v>20</v>
      </c>
      <c r="W776">
        <v>3</v>
      </c>
      <c r="X776">
        <v>28.621470374642232</v>
      </c>
      <c r="Y776">
        <v>37.165192874535435</v>
      </c>
      <c r="Z776">
        <v>8.5437224998932031</v>
      </c>
      <c r="AA776">
        <v>3</v>
      </c>
      <c r="AB776">
        <v>4</v>
      </c>
      <c r="AC776" t="s">
        <v>33</v>
      </c>
      <c r="AD776">
        <v>3</v>
      </c>
      <c r="AE776">
        <v>0</v>
      </c>
      <c r="AG776">
        <v>5</v>
      </c>
      <c r="AH776">
        <v>1</v>
      </c>
      <c r="AI776">
        <v>13</v>
      </c>
      <c r="AJ776">
        <v>1</v>
      </c>
      <c r="AK776">
        <v>7</v>
      </c>
      <c r="AL776">
        <v>1</v>
      </c>
      <c r="AM776">
        <f>AJ776*AK776*AL776/7</f>
        <v>1</v>
      </c>
      <c r="AN776" t="s">
        <v>79</v>
      </c>
      <c r="AO776">
        <v>0</v>
      </c>
      <c r="AV776">
        <f>AU776+AM776</f>
        <v>1</v>
      </c>
      <c r="AW776" t="s">
        <v>128</v>
      </c>
      <c r="AX776">
        <v>1</v>
      </c>
      <c r="AY776" t="s">
        <v>128</v>
      </c>
      <c r="AZ776">
        <v>4</v>
      </c>
      <c r="BA776">
        <v>0.2</v>
      </c>
      <c r="BB776">
        <v>7</v>
      </c>
      <c r="BC776">
        <v>1</v>
      </c>
      <c r="BD776">
        <f>BA776*BB776*1/7</f>
        <v>0.2</v>
      </c>
      <c r="BE776">
        <f>AM776+AU776+BD776</f>
        <v>1.2</v>
      </c>
      <c r="BF776" t="s">
        <v>128</v>
      </c>
      <c r="BG776">
        <v>0</v>
      </c>
      <c r="BH776">
        <v>7</v>
      </c>
      <c r="BI776">
        <v>1</v>
      </c>
      <c r="BJ776" t="s">
        <v>114</v>
      </c>
      <c r="BK776">
        <v>6</v>
      </c>
      <c r="BL776">
        <v>1</v>
      </c>
      <c r="BM776">
        <v>1</v>
      </c>
      <c r="BN776" t="s">
        <v>30</v>
      </c>
      <c r="BO776">
        <v>1</v>
      </c>
      <c r="BP776">
        <v>84</v>
      </c>
      <c r="BQ776">
        <v>0.13</v>
      </c>
      <c r="BR776">
        <v>1</v>
      </c>
      <c r="BS776">
        <v>0.13</v>
      </c>
      <c r="BT776">
        <f>BS776+BD776+AU776+AM776</f>
        <v>1.33</v>
      </c>
      <c r="BU776">
        <v>1</v>
      </c>
      <c r="BV776">
        <v>2</v>
      </c>
      <c r="BW776">
        <v>293</v>
      </c>
      <c r="BX776">
        <f>BW776/7</f>
        <v>41.857142857142854</v>
      </c>
      <c r="BY776">
        <f>0.77*BX776</f>
        <v>32.229999999999997</v>
      </c>
      <c r="BZ776">
        <f t="shared" si="12"/>
        <v>33.559999999999995</v>
      </c>
    </row>
    <row r="777" spans="1:78">
      <c r="A777" s="1">
        <v>45215.56221181713</v>
      </c>
      <c r="C777">
        <v>776</v>
      </c>
      <c r="D777" s="10">
        <v>35151</v>
      </c>
      <c r="E777">
        <v>27</v>
      </c>
      <c r="F777">
        <v>1</v>
      </c>
      <c r="G777">
        <v>1</v>
      </c>
      <c r="H777">
        <v>4</v>
      </c>
      <c r="I777" s="10">
        <v>45132</v>
      </c>
      <c r="J777">
        <v>2</v>
      </c>
      <c r="K777">
        <v>0</v>
      </c>
      <c r="L777">
        <v>1</v>
      </c>
      <c r="M777">
        <v>3440</v>
      </c>
      <c r="N777">
        <v>2</v>
      </c>
      <c r="O777" s="10">
        <v>44868</v>
      </c>
      <c r="P777">
        <v>0</v>
      </c>
      <c r="Q777">
        <v>37.714285714285715</v>
      </c>
      <c r="R777">
        <v>2</v>
      </c>
      <c r="S777">
        <v>80</v>
      </c>
      <c r="T777">
        <v>177</v>
      </c>
      <c r="U777">
        <v>95</v>
      </c>
      <c r="V777">
        <v>15</v>
      </c>
      <c r="W777">
        <v>3</v>
      </c>
      <c r="X777">
        <v>25.535446391522228</v>
      </c>
      <c r="Y777">
        <v>30.323342589932647</v>
      </c>
      <c r="Z777">
        <v>4.7878961984104187</v>
      </c>
      <c r="AA777">
        <v>3</v>
      </c>
      <c r="AB777">
        <v>4</v>
      </c>
      <c r="AC777" t="s">
        <v>33</v>
      </c>
      <c r="AD777">
        <v>3</v>
      </c>
      <c r="AE777">
        <v>0</v>
      </c>
      <c r="AG777">
        <v>5</v>
      </c>
      <c r="AH777">
        <v>1</v>
      </c>
      <c r="AI777">
        <v>13</v>
      </c>
      <c r="AJ777">
        <v>1</v>
      </c>
      <c r="AK777">
        <v>7</v>
      </c>
      <c r="AL777">
        <v>1</v>
      </c>
      <c r="AM777">
        <f>AJ777*AK777*AL777/7</f>
        <v>1</v>
      </c>
      <c r="AN777" t="s">
        <v>79</v>
      </c>
      <c r="AO777">
        <v>0</v>
      </c>
      <c r="AV777">
        <f>AU777+AM777</f>
        <v>1</v>
      </c>
      <c r="AX777">
        <v>0</v>
      </c>
      <c r="BE777">
        <f>AM777+AU777+BD777</f>
        <v>1</v>
      </c>
      <c r="BG777">
        <v>0</v>
      </c>
      <c r="BJ777" t="s">
        <v>49</v>
      </c>
      <c r="BK777">
        <v>5</v>
      </c>
      <c r="BL777">
        <v>1</v>
      </c>
      <c r="BM777">
        <v>1</v>
      </c>
      <c r="BN777" t="s">
        <v>55</v>
      </c>
      <c r="BO777">
        <v>2</v>
      </c>
      <c r="BP777">
        <v>134</v>
      </c>
      <c r="BQ777">
        <v>0.1</v>
      </c>
      <c r="BR777">
        <v>2</v>
      </c>
      <c r="BS777">
        <v>0.2</v>
      </c>
      <c r="BT777">
        <f>BS777+BD777+AU777+AM777</f>
        <v>1.2</v>
      </c>
      <c r="BU777">
        <v>1</v>
      </c>
      <c r="BV777">
        <v>2</v>
      </c>
      <c r="BW777">
        <v>293</v>
      </c>
      <c r="BX777">
        <f>BW777/7</f>
        <v>41.857142857142854</v>
      </c>
      <c r="BY777">
        <f>0.77*BX777</f>
        <v>32.229999999999997</v>
      </c>
      <c r="BZ777">
        <f t="shared" si="12"/>
        <v>33.43</v>
      </c>
    </row>
    <row r="778" spans="1:78">
      <c r="A778" s="1">
        <v>45215.593444074075</v>
      </c>
      <c r="C778">
        <v>777</v>
      </c>
      <c r="D778" s="10">
        <v>33123</v>
      </c>
      <c r="E778">
        <v>33</v>
      </c>
      <c r="F778">
        <v>2</v>
      </c>
      <c r="G778">
        <v>1</v>
      </c>
      <c r="H778">
        <v>4</v>
      </c>
      <c r="I778" s="10">
        <v>44164</v>
      </c>
      <c r="J778">
        <v>1</v>
      </c>
      <c r="K778">
        <v>1</v>
      </c>
      <c r="L778">
        <v>2</v>
      </c>
      <c r="M778">
        <v>3350</v>
      </c>
      <c r="N778">
        <v>2</v>
      </c>
      <c r="O778" s="10">
        <v>43891</v>
      </c>
      <c r="P778">
        <v>1</v>
      </c>
      <c r="Q778">
        <v>39</v>
      </c>
      <c r="R778">
        <v>2</v>
      </c>
      <c r="S778">
        <v>63</v>
      </c>
      <c r="T778">
        <v>158</v>
      </c>
      <c r="U778">
        <v>67</v>
      </c>
      <c r="V778">
        <v>4</v>
      </c>
      <c r="W778">
        <v>1</v>
      </c>
      <c r="X778">
        <v>25.236340330075304</v>
      </c>
      <c r="Y778">
        <v>26.83864765261977</v>
      </c>
      <c r="Z778">
        <v>1.6023073225444655</v>
      </c>
      <c r="AA778">
        <v>3</v>
      </c>
      <c r="AB778">
        <v>3</v>
      </c>
      <c r="AC778" t="s">
        <v>33</v>
      </c>
      <c r="AD778">
        <v>3</v>
      </c>
      <c r="AE778">
        <v>0</v>
      </c>
      <c r="AG778">
        <v>5</v>
      </c>
      <c r="AH778">
        <v>1</v>
      </c>
      <c r="AI778">
        <v>2</v>
      </c>
      <c r="AJ778">
        <v>5</v>
      </c>
      <c r="AK778">
        <v>7</v>
      </c>
      <c r="AL778">
        <v>1</v>
      </c>
      <c r="AM778">
        <f>AJ778*AK778*AL778/7</f>
        <v>5</v>
      </c>
      <c r="AN778" t="s">
        <v>57</v>
      </c>
      <c r="AO778">
        <v>0</v>
      </c>
      <c r="AV778">
        <f>AU778+AM778</f>
        <v>5</v>
      </c>
      <c r="AW778" t="s">
        <v>71</v>
      </c>
      <c r="AX778">
        <v>1</v>
      </c>
      <c r="AY778" t="s">
        <v>71</v>
      </c>
      <c r="AZ778">
        <v>5</v>
      </c>
      <c r="BA778">
        <v>0.4</v>
      </c>
      <c r="BB778">
        <v>7</v>
      </c>
      <c r="BC778">
        <v>1</v>
      </c>
      <c r="BD778">
        <f>BA778*BB778*1/7</f>
        <v>0.4</v>
      </c>
      <c r="BE778">
        <f>AM778+AU778+BD778</f>
        <v>5.4</v>
      </c>
      <c r="BF778" t="s">
        <v>71</v>
      </c>
      <c r="BG778">
        <v>0</v>
      </c>
      <c r="BH778">
        <v>7</v>
      </c>
      <c r="BI778">
        <v>1</v>
      </c>
      <c r="BJ778" t="s">
        <v>49</v>
      </c>
      <c r="BK778">
        <v>5</v>
      </c>
      <c r="BL778">
        <v>1</v>
      </c>
      <c r="BM778">
        <v>0</v>
      </c>
      <c r="BO778">
        <v>14</v>
      </c>
      <c r="BP778">
        <v>0</v>
      </c>
      <c r="BQ778">
        <v>0.1</v>
      </c>
      <c r="BR778">
        <v>0</v>
      </c>
      <c r="BS778">
        <v>0</v>
      </c>
      <c r="BT778">
        <f>BS778+BD778+AU778+AM778</f>
        <v>5.4</v>
      </c>
      <c r="BU778">
        <v>0</v>
      </c>
      <c r="BW778">
        <v>0</v>
      </c>
      <c r="BX778">
        <f>BW778/7</f>
        <v>0</v>
      </c>
      <c r="BY778">
        <f>0.77*BX778</f>
        <v>0</v>
      </c>
      <c r="BZ778">
        <f t="shared" si="12"/>
        <v>5.4</v>
      </c>
    </row>
    <row r="779" spans="1:78">
      <c r="A779" s="1">
        <v>45215.594806354165</v>
      </c>
      <c r="C779">
        <v>778</v>
      </c>
      <c r="D779" s="10">
        <v>33285</v>
      </c>
      <c r="E779">
        <v>32</v>
      </c>
      <c r="F779">
        <v>1</v>
      </c>
      <c r="G779">
        <v>2</v>
      </c>
      <c r="H779">
        <v>4</v>
      </c>
      <c r="I779" s="10">
        <v>44624</v>
      </c>
      <c r="J779">
        <v>4</v>
      </c>
      <c r="K779">
        <v>0</v>
      </c>
      <c r="L779">
        <v>2</v>
      </c>
      <c r="M779">
        <v>3480</v>
      </c>
      <c r="N779">
        <v>2</v>
      </c>
      <c r="O779" s="10">
        <v>44353</v>
      </c>
      <c r="P779">
        <v>1</v>
      </c>
      <c r="Q779">
        <v>38.714285714285715</v>
      </c>
      <c r="R779">
        <v>2</v>
      </c>
      <c r="S779">
        <v>91</v>
      </c>
      <c r="T779">
        <v>163</v>
      </c>
      <c r="U779">
        <v>101</v>
      </c>
      <c r="V779">
        <v>10</v>
      </c>
      <c r="W779">
        <v>2</v>
      </c>
      <c r="X779">
        <v>34.250442244721292</v>
      </c>
      <c r="Y779">
        <v>38.014227106778577</v>
      </c>
      <c r="Z779">
        <v>3.7637848620572854</v>
      </c>
      <c r="AA779">
        <v>4</v>
      </c>
      <c r="AB779">
        <v>4</v>
      </c>
      <c r="AC779" t="s">
        <v>33</v>
      </c>
      <c r="AD779">
        <v>3</v>
      </c>
      <c r="AE779">
        <v>0</v>
      </c>
      <c r="AG779">
        <v>5</v>
      </c>
      <c r="AH779">
        <v>1</v>
      </c>
      <c r="AI779">
        <v>13</v>
      </c>
      <c r="AJ779">
        <v>1</v>
      </c>
      <c r="AK779">
        <v>7</v>
      </c>
      <c r="AL779">
        <v>1</v>
      </c>
      <c r="AM779">
        <f>AJ779*AK779*AL779/7</f>
        <v>1</v>
      </c>
      <c r="AN779" t="s">
        <v>79</v>
      </c>
      <c r="AO779">
        <v>0</v>
      </c>
      <c r="AV779">
        <f>AU779+AM779</f>
        <v>1</v>
      </c>
      <c r="AX779">
        <v>0</v>
      </c>
      <c r="BE779">
        <f>AM779+AU779+BD779</f>
        <v>1</v>
      </c>
      <c r="BG779">
        <v>0</v>
      </c>
      <c r="BJ779" t="s">
        <v>28</v>
      </c>
      <c r="BK779">
        <v>3</v>
      </c>
      <c r="BL779">
        <v>1</v>
      </c>
      <c r="BM779">
        <v>1</v>
      </c>
      <c r="BN779" t="s">
        <v>55</v>
      </c>
      <c r="BO779">
        <v>2</v>
      </c>
      <c r="BP779">
        <v>134</v>
      </c>
      <c r="BQ779">
        <v>0.1</v>
      </c>
      <c r="BR779">
        <v>2</v>
      </c>
      <c r="BS779">
        <v>0.2</v>
      </c>
      <c r="BT779">
        <f>BS779+BD779+AU779+AM779</f>
        <v>1.2</v>
      </c>
      <c r="BU779">
        <v>1</v>
      </c>
      <c r="BV779">
        <v>2</v>
      </c>
      <c r="BW779">
        <v>293</v>
      </c>
      <c r="BX779">
        <f>BW779/7</f>
        <v>41.857142857142854</v>
      </c>
      <c r="BY779">
        <f>0.77*BX779</f>
        <v>32.229999999999997</v>
      </c>
      <c r="BZ779">
        <f t="shared" si="12"/>
        <v>33.43</v>
      </c>
    </row>
    <row r="780" spans="1:78">
      <c r="A780" s="1">
        <v>45215.602467615739</v>
      </c>
      <c r="C780">
        <v>779</v>
      </c>
      <c r="D780" s="10">
        <v>31713</v>
      </c>
      <c r="E780">
        <v>36</v>
      </c>
      <c r="F780">
        <v>1</v>
      </c>
      <c r="G780">
        <v>9</v>
      </c>
      <c r="H780">
        <v>4</v>
      </c>
      <c r="I780" s="10">
        <v>44881</v>
      </c>
      <c r="J780">
        <v>2</v>
      </c>
      <c r="K780">
        <v>0</v>
      </c>
      <c r="L780">
        <v>2</v>
      </c>
      <c r="M780">
        <v>3320</v>
      </c>
      <c r="N780">
        <v>2</v>
      </c>
      <c r="O780" s="10">
        <v>44608</v>
      </c>
      <c r="P780">
        <v>0</v>
      </c>
      <c r="Q780">
        <v>39</v>
      </c>
      <c r="R780">
        <v>2</v>
      </c>
      <c r="S780">
        <v>63</v>
      </c>
      <c r="T780">
        <v>158</v>
      </c>
      <c r="U780">
        <v>73</v>
      </c>
      <c r="V780">
        <v>10</v>
      </c>
      <c r="W780">
        <v>2</v>
      </c>
      <c r="X780">
        <v>25.236340330075304</v>
      </c>
      <c r="Y780">
        <v>29.242108636436463</v>
      </c>
      <c r="Z780">
        <v>4.0057683063611584</v>
      </c>
      <c r="AA780">
        <v>3</v>
      </c>
      <c r="AB780">
        <v>3</v>
      </c>
      <c r="AC780" t="s">
        <v>33</v>
      </c>
      <c r="AD780">
        <v>3</v>
      </c>
      <c r="AE780">
        <v>0</v>
      </c>
      <c r="AG780">
        <v>5</v>
      </c>
      <c r="AH780">
        <v>1</v>
      </c>
      <c r="AI780">
        <v>5</v>
      </c>
      <c r="AJ780">
        <v>5</v>
      </c>
      <c r="AK780">
        <v>7</v>
      </c>
      <c r="AL780">
        <v>1</v>
      </c>
      <c r="AM780">
        <f>AJ780*AK780*AL780/7</f>
        <v>5</v>
      </c>
      <c r="AN780" t="s">
        <v>27</v>
      </c>
      <c r="AO780">
        <v>1</v>
      </c>
      <c r="AP780">
        <v>18</v>
      </c>
      <c r="AQ780" t="s">
        <v>217</v>
      </c>
      <c r="AR780">
        <v>2</v>
      </c>
      <c r="AS780">
        <v>7</v>
      </c>
      <c r="AT780">
        <v>1</v>
      </c>
      <c r="AU780">
        <f>AR780*AS780*AT780/7</f>
        <v>2</v>
      </c>
      <c r="AV780">
        <f>AU780+AM780</f>
        <v>7</v>
      </c>
      <c r="AW780" t="s">
        <v>217</v>
      </c>
      <c r="AX780">
        <v>0</v>
      </c>
      <c r="BE780">
        <f>AM780+AU780+BD780</f>
        <v>7</v>
      </c>
      <c r="BG780">
        <v>0</v>
      </c>
      <c r="BJ780" t="s">
        <v>42</v>
      </c>
      <c r="BK780">
        <v>6</v>
      </c>
      <c r="BL780">
        <v>1</v>
      </c>
      <c r="BM780">
        <v>1</v>
      </c>
      <c r="BN780" t="s">
        <v>59</v>
      </c>
      <c r="BO780">
        <v>3</v>
      </c>
      <c r="BP780">
        <v>168</v>
      </c>
      <c r="BQ780">
        <v>0.08</v>
      </c>
      <c r="BR780">
        <v>3</v>
      </c>
      <c r="BS780">
        <v>0.24</v>
      </c>
      <c r="BT780">
        <f>BS780+BD780+AU780+AM780</f>
        <v>7.24</v>
      </c>
      <c r="BU780">
        <v>1</v>
      </c>
      <c r="BV780">
        <v>3</v>
      </c>
      <c r="BW780">
        <v>439.5</v>
      </c>
      <c r="BX780">
        <f>BW780/7</f>
        <v>62.785714285714285</v>
      </c>
      <c r="BY780">
        <f>0.77*BX780</f>
        <v>48.344999999999999</v>
      </c>
      <c r="BZ780">
        <f t="shared" si="12"/>
        <v>55.585000000000001</v>
      </c>
    </row>
    <row r="781" spans="1:78">
      <c r="A781" s="1">
        <v>45215.608460312498</v>
      </c>
      <c r="C781">
        <v>780</v>
      </c>
      <c r="D781" s="10">
        <v>35772</v>
      </c>
      <c r="E781">
        <v>25</v>
      </c>
      <c r="F781">
        <v>1</v>
      </c>
      <c r="G781">
        <v>12</v>
      </c>
      <c r="H781">
        <v>4</v>
      </c>
      <c r="I781" s="10">
        <v>44419</v>
      </c>
      <c r="J781">
        <v>1</v>
      </c>
      <c r="K781">
        <v>1</v>
      </c>
      <c r="L781">
        <v>1</v>
      </c>
      <c r="M781">
        <v>2080</v>
      </c>
      <c r="N781">
        <v>1</v>
      </c>
      <c r="O781" s="10">
        <v>44188</v>
      </c>
      <c r="P781">
        <v>1</v>
      </c>
      <c r="Q781">
        <v>33</v>
      </c>
      <c r="R781">
        <v>3</v>
      </c>
      <c r="S781">
        <v>62</v>
      </c>
      <c r="T781">
        <v>159</v>
      </c>
      <c r="U781">
        <v>67</v>
      </c>
      <c r="V781">
        <v>5</v>
      </c>
      <c r="W781">
        <v>1</v>
      </c>
      <c r="X781">
        <v>24.524346347059055</v>
      </c>
      <c r="Y781">
        <v>26.502116213757365</v>
      </c>
      <c r="Z781">
        <v>1.9777698666983099</v>
      </c>
      <c r="AA781">
        <v>2</v>
      </c>
      <c r="AB781">
        <v>3</v>
      </c>
      <c r="AC781" t="s">
        <v>33</v>
      </c>
      <c r="AD781">
        <v>3</v>
      </c>
      <c r="AE781">
        <v>0</v>
      </c>
      <c r="AG781">
        <v>5</v>
      </c>
      <c r="AH781">
        <v>1</v>
      </c>
      <c r="AI781">
        <v>13</v>
      </c>
      <c r="AJ781">
        <v>1</v>
      </c>
      <c r="AK781">
        <v>7</v>
      </c>
      <c r="AL781">
        <v>1</v>
      </c>
      <c r="AM781">
        <f>AJ781*AK781*AL781/7</f>
        <v>1</v>
      </c>
      <c r="AN781" t="s">
        <v>79</v>
      </c>
      <c r="AO781">
        <v>0</v>
      </c>
      <c r="AV781">
        <f>AU781+AM781</f>
        <v>1</v>
      </c>
      <c r="AW781" t="s">
        <v>58</v>
      </c>
      <c r="AX781">
        <v>1</v>
      </c>
      <c r="AY781" t="s">
        <v>58</v>
      </c>
      <c r="AZ781">
        <v>1</v>
      </c>
      <c r="BA781">
        <v>0.8</v>
      </c>
      <c r="BB781">
        <v>7</v>
      </c>
      <c r="BC781">
        <v>1</v>
      </c>
      <c r="BD781">
        <f>BA781*BB781*1/7</f>
        <v>0.8</v>
      </c>
      <c r="BE781">
        <f>AM781+AU781+BD781</f>
        <v>1.8</v>
      </c>
      <c r="BF781" t="s">
        <v>58</v>
      </c>
      <c r="BG781">
        <v>0</v>
      </c>
      <c r="BH781">
        <v>7</v>
      </c>
      <c r="BI781">
        <v>1</v>
      </c>
      <c r="BJ781" t="s">
        <v>49</v>
      </c>
      <c r="BK781">
        <v>5</v>
      </c>
      <c r="BL781">
        <v>1</v>
      </c>
      <c r="BM781">
        <v>1</v>
      </c>
      <c r="BN781" t="s">
        <v>30</v>
      </c>
      <c r="BO781">
        <v>1</v>
      </c>
      <c r="BP781">
        <v>336</v>
      </c>
      <c r="BQ781">
        <v>0.13</v>
      </c>
      <c r="BR781">
        <v>4</v>
      </c>
      <c r="BS781">
        <v>0.52</v>
      </c>
      <c r="BT781">
        <f>BS781+BD781+AU781+AM781</f>
        <v>2.3200000000000003</v>
      </c>
      <c r="BU781">
        <v>1</v>
      </c>
      <c r="BV781">
        <v>2</v>
      </c>
      <c r="BW781">
        <v>293</v>
      </c>
      <c r="BX781">
        <f>BW781/7</f>
        <v>41.857142857142854</v>
      </c>
      <c r="BY781">
        <f>0.77*BX781</f>
        <v>32.229999999999997</v>
      </c>
      <c r="BZ781">
        <f t="shared" si="12"/>
        <v>34.549999999999997</v>
      </c>
    </row>
    <row r="782" spans="1:78">
      <c r="A782" s="1">
        <v>45215.618373414356</v>
      </c>
      <c r="C782">
        <v>781</v>
      </c>
      <c r="D782" s="10">
        <v>31929</v>
      </c>
      <c r="E782">
        <v>36</v>
      </c>
      <c r="F782">
        <v>1</v>
      </c>
      <c r="G782">
        <v>1</v>
      </c>
      <c r="H782">
        <v>5</v>
      </c>
      <c r="I782" s="10">
        <v>44909</v>
      </c>
      <c r="J782">
        <v>1</v>
      </c>
      <c r="K782">
        <v>1</v>
      </c>
      <c r="L782">
        <v>2</v>
      </c>
      <c r="M782">
        <v>3970</v>
      </c>
      <c r="N782">
        <v>2</v>
      </c>
      <c r="O782" s="10">
        <v>44623</v>
      </c>
      <c r="P782">
        <v>0</v>
      </c>
      <c r="Q782">
        <v>40.857142857142854</v>
      </c>
      <c r="R782">
        <v>2</v>
      </c>
      <c r="S782">
        <v>80</v>
      </c>
      <c r="T782">
        <v>164</v>
      </c>
      <c r="U782">
        <v>89</v>
      </c>
      <c r="V782">
        <v>9</v>
      </c>
      <c r="W782">
        <v>2</v>
      </c>
      <c r="X782">
        <v>29.744199881023206</v>
      </c>
      <c r="Y782">
        <v>33.090422367638318</v>
      </c>
      <c r="Z782">
        <v>3.3462224866151118</v>
      </c>
      <c r="AA782">
        <v>3</v>
      </c>
      <c r="AB782">
        <v>4</v>
      </c>
      <c r="AC782" t="s">
        <v>123</v>
      </c>
      <c r="AD782">
        <v>2</v>
      </c>
      <c r="AE782">
        <v>1</v>
      </c>
      <c r="AF782" t="s">
        <v>95</v>
      </c>
      <c r="AG782" t="e">
        <v>#N/A</v>
      </c>
      <c r="AH782">
        <v>1</v>
      </c>
      <c r="AI782">
        <v>4</v>
      </c>
      <c r="AJ782">
        <v>1</v>
      </c>
      <c r="AK782">
        <v>7</v>
      </c>
      <c r="AL782">
        <v>1</v>
      </c>
      <c r="AM782">
        <f>AJ782*AK782*AL782/7</f>
        <v>1</v>
      </c>
      <c r="AN782" t="s">
        <v>43</v>
      </c>
      <c r="AO782">
        <v>0</v>
      </c>
      <c r="AV782">
        <f>AU782+AM782</f>
        <v>1</v>
      </c>
      <c r="AX782">
        <v>0</v>
      </c>
      <c r="BE782">
        <f>AM782+AU782+BD782</f>
        <v>1</v>
      </c>
      <c r="BG782">
        <v>0</v>
      </c>
      <c r="BJ782" t="s">
        <v>36</v>
      </c>
      <c r="BK782">
        <v>4</v>
      </c>
      <c r="BL782">
        <v>3</v>
      </c>
      <c r="BM782">
        <v>1</v>
      </c>
      <c r="BN782" t="s">
        <v>30</v>
      </c>
      <c r="BO782">
        <v>1</v>
      </c>
      <c r="BP782">
        <v>42</v>
      </c>
      <c r="BQ782">
        <v>0.13</v>
      </c>
      <c r="BR782">
        <v>0.5</v>
      </c>
      <c r="BS782">
        <v>6.5000000000000002E-2</v>
      </c>
      <c r="BT782">
        <f>BS782+BD782+AU782+AM782</f>
        <v>1.0649999999999999</v>
      </c>
      <c r="BU782">
        <v>1</v>
      </c>
      <c r="BV782">
        <v>1</v>
      </c>
      <c r="BW782">
        <v>146.5</v>
      </c>
      <c r="BX782">
        <f>BW782/7</f>
        <v>20.928571428571427</v>
      </c>
      <c r="BY782">
        <f>0.77*BX782</f>
        <v>16.114999999999998</v>
      </c>
      <c r="BZ782">
        <f t="shared" si="12"/>
        <v>17.18</v>
      </c>
    </row>
    <row r="783" spans="1:78">
      <c r="A783" s="1">
        <v>45215.621125000005</v>
      </c>
      <c r="C783">
        <v>782</v>
      </c>
      <c r="D783" s="10">
        <v>33850</v>
      </c>
      <c r="E783">
        <v>31</v>
      </c>
      <c r="F783">
        <v>1</v>
      </c>
      <c r="G783">
        <v>4</v>
      </c>
      <c r="H783">
        <v>4</v>
      </c>
      <c r="I783" s="10">
        <v>44659</v>
      </c>
      <c r="J783">
        <v>1</v>
      </c>
      <c r="K783">
        <v>1</v>
      </c>
      <c r="L783">
        <v>2</v>
      </c>
      <c r="M783">
        <v>3460</v>
      </c>
      <c r="N783">
        <v>2</v>
      </c>
      <c r="O783" s="10">
        <v>44386</v>
      </c>
      <c r="P783">
        <v>1</v>
      </c>
      <c r="Q783">
        <v>39</v>
      </c>
      <c r="R783">
        <v>2</v>
      </c>
      <c r="S783">
        <v>60</v>
      </c>
      <c r="T783">
        <v>163</v>
      </c>
      <c r="U783">
        <v>68</v>
      </c>
      <c r="V783">
        <v>8</v>
      </c>
      <c r="W783">
        <v>1</v>
      </c>
      <c r="X783">
        <v>22.582709172343712</v>
      </c>
      <c r="Y783">
        <v>25.59373706198954</v>
      </c>
      <c r="Z783">
        <v>3.0110278896458276</v>
      </c>
      <c r="AA783">
        <v>2</v>
      </c>
      <c r="AB783">
        <v>3</v>
      </c>
      <c r="AC783" t="s">
        <v>33</v>
      </c>
      <c r="AD783">
        <v>3</v>
      </c>
      <c r="AE783">
        <v>0</v>
      </c>
      <c r="AG783">
        <v>5</v>
      </c>
      <c r="AH783">
        <v>1</v>
      </c>
      <c r="AI783">
        <v>13</v>
      </c>
      <c r="AJ783">
        <v>1</v>
      </c>
      <c r="AK783">
        <v>7</v>
      </c>
      <c r="AL783">
        <v>1</v>
      </c>
      <c r="AM783">
        <f>AJ783*AK783*AL783/7</f>
        <v>1</v>
      </c>
      <c r="AN783" t="s">
        <v>79</v>
      </c>
      <c r="AO783">
        <v>0</v>
      </c>
      <c r="AV783">
        <f>AU783+AM783</f>
        <v>1</v>
      </c>
      <c r="AW783" t="s">
        <v>473</v>
      </c>
      <c r="AX783">
        <v>0</v>
      </c>
      <c r="BE783">
        <f>AM783+AU783+BD783</f>
        <v>1</v>
      </c>
      <c r="BF783" t="s">
        <v>473</v>
      </c>
      <c r="BG783">
        <v>1</v>
      </c>
      <c r="BH783">
        <v>7</v>
      </c>
      <c r="BI783">
        <v>1</v>
      </c>
      <c r="BJ783" t="s">
        <v>36</v>
      </c>
      <c r="BK783">
        <v>4</v>
      </c>
      <c r="BL783">
        <v>1</v>
      </c>
      <c r="BM783">
        <v>1</v>
      </c>
      <c r="BN783" t="s">
        <v>55</v>
      </c>
      <c r="BO783">
        <v>2</v>
      </c>
      <c r="BP783">
        <v>134</v>
      </c>
      <c r="BQ783">
        <v>0.1</v>
      </c>
      <c r="BR783">
        <v>2</v>
      </c>
      <c r="BS783">
        <v>0.2</v>
      </c>
      <c r="BT783">
        <f>BS783+BD783+AU783+AM783</f>
        <v>1.2</v>
      </c>
      <c r="BU783">
        <v>1</v>
      </c>
      <c r="BV783">
        <v>2</v>
      </c>
      <c r="BW783">
        <v>293</v>
      </c>
      <c r="BX783">
        <f>BW783/7</f>
        <v>41.857142857142854</v>
      </c>
      <c r="BY783">
        <f>0.77*BX783</f>
        <v>32.229999999999997</v>
      </c>
      <c r="BZ783">
        <f t="shared" si="12"/>
        <v>33.43</v>
      </c>
    </row>
    <row r="784" spans="1:78">
      <c r="A784" s="1">
        <v>45215.62356655093</v>
      </c>
      <c r="C784">
        <v>783</v>
      </c>
      <c r="D784" s="10">
        <v>29951</v>
      </c>
      <c r="E784">
        <v>41</v>
      </c>
      <c r="F784">
        <v>1</v>
      </c>
      <c r="G784">
        <v>1</v>
      </c>
      <c r="H784">
        <v>3</v>
      </c>
      <c r="I784" s="10">
        <v>43168</v>
      </c>
      <c r="J784">
        <v>3</v>
      </c>
      <c r="K784">
        <v>0</v>
      </c>
      <c r="L784">
        <v>2</v>
      </c>
      <c r="M784">
        <v>4870</v>
      </c>
      <c r="N784">
        <v>3</v>
      </c>
      <c r="O784" s="10">
        <v>42902</v>
      </c>
      <c r="P784">
        <v>0</v>
      </c>
      <c r="Q784">
        <v>38</v>
      </c>
      <c r="R784">
        <v>2</v>
      </c>
      <c r="S784">
        <v>98</v>
      </c>
      <c r="T784">
        <v>168</v>
      </c>
      <c r="U784">
        <v>103</v>
      </c>
      <c r="V784">
        <v>5</v>
      </c>
      <c r="W784">
        <v>1</v>
      </c>
      <c r="X784">
        <v>34.722222222222229</v>
      </c>
      <c r="Y784">
        <v>36.493764172335609</v>
      </c>
      <c r="Z784">
        <v>1.7715419501133809</v>
      </c>
      <c r="AA784">
        <v>4</v>
      </c>
      <c r="AB784">
        <v>4</v>
      </c>
      <c r="AC784" t="s">
        <v>33</v>
      </c>
      <c r="AD784">
        <v>3</v>
      </c>
      <c r="AE784">
        <v>0</v>
      </c>
      <c r="AG784">
        <v>5</v>
      </c>
      <c r="AH784">
        <v>0</v>
      </c>
      <c r="AI784">
        <v>0</v>
      </c>
      <c r="AO784">
        <v>0</v>
      </c>
      <c r="AX784">
        <v>0</v>
      </c>
      <c r="BG784">
        <v>0</v>
      </c>
      <c r="BJ784" t="s">
        <v>51</v>
      </c>
      <c r="BK784">
        <v>1</v>
      </c>
      <c r="BL784">
        <v>1</v>
      </c>
      <c r="BM784">
        <v>1</v>
      </c>
      <c r="BN784" t="s">
        <v>30</v>
      </c>
      <c r="BO784">
        <v>1</v>
      </c>
      <c r="BP784">
        <v>168</v>
      </c>
      <c r="BQ784">
        <v>0.13</v>
      </c>
      <c r="BR784">
        <v>2</v>
      </c>
      <c r="BS784">
        <v>0.26</v>
      </c>
      <c r="BT784">
        <f>BS784+BD784+AU784+AM784</f>
        <v>0.26</v>
      </c>
      <c r="BU784">
        <v>1</v>
      </c>
      <c r="BV784">
        <v>2</v>
      </c>
      <c r="BW784">
        <v>293</v>
      </c>
      <c r="BX784">
        <f>BW784/7</f>
        <v>41.857142857142854</v>
      </c>
      <c r="BY784">
        <f>0.77*BX784</f>
        <v>32.229999999999997</v>
      </c>
      <c r="BZ784">
        <f t="shared" si="12"/>
        <v>32.489999999999995</v>
      </c>
    </row>
    <row r="785" spans="1:78">
      <c r="A785" s="1">
        <v>45215.628633229164</v>
      </c>
      <c r="C785">
        <v>784</v>
      </c>
      <c r="D785" s="10">
        <v>35579</v>
      </c>
      <c r="E785">
        <v>26</v>
      </c>
      <c r="F785">
        <v>1</v>
      </c>
      <c r="G785">
        <v>3</v>
      </c>
      <c r="H785">
        <v>4</v>
      </c>
      <c r="I785" s="10">
        <v>44852</v>
      </c>
      <c r="J785">
        <v>1</v>
      </c>
      <c r="K785">
        <v>1</v>
      </c>
      <c r="L785">
        <v>2</v>
      </c>
      <c r="M785">
        <v>3345</v>
      </c>
      <c r="N785">
        <v>2</v>
      </c>
      <c r="O785" s="10">
        <v>44586</v>
      </c>
      <c r="P785">
        <v>0</v>
      </c>
      <c r="Q785">
        <v>38</v>
      </c>
      <c r="R785">
        <v>2</v>
      </c>
      <c r="S785">
        <v>83</v>
      </c>
      <c r="T785">
        <v>167</v>
      </c>
      <c r="U785">
        <v>96</v>
      </c>
      <c r="V785">
        <v>13</v>
      </c>
      <c r="W785">
        <v>3</v>
      </c>
      <c r="X785">
        <v>29.760837606224676</v>
      </c>
      <c r="Y785">
        <v>34.42217361683818</v>
      </c>
      <c r="Z785">
        <v>4.6613360106135033</v>
      </c>
      <c r="AA785">
        <v>3</v>
      </c>
      <c r="AB785">
        <v>4</v>
      </c>
      <c r="AC785" t="s">
        <v>33</v>
      </c>
      <c r="AD785">
        <v>3</v>
      </c>
      <c r="AE785">
        <v>0</v>
      </c>
      <c r="AG785">
        <v>5</v>
      </c>
      <c r="AH785">
        <v>1</v>
      </c>
      <c r="AI785">
        <v>2</v>
      </c>
      <c r="AJ785">
        <v>5</v>
      </c>
      <c r="AK785">
        <v>7</v>
      </c>
      <c r="AL785">
        <v>1</v>
      </c>
      <c r="AM785">
        <f>AJ785*AK785*AL785/7</f>
        <v>5</v>
      </c>
      <c r="AN785" t="s">
        <v>57</v>
      </c>
      <c r="AO785">
        <v>0</v>
      </c>
      <c r="AV785">
        <f>AU785+AM785</f>
        <v>5</v>
      </c>
      <c r="AW785" t="s">
        <v>219</v>
      </c>
      <c r="AX785">
        <v>1</v>
      </c>
      <c r="AY785" t="s">
        <v>219</v>
      </c>
      <c r="AZ785">
        <v>5</v>
      </c>
      <c r="BA785">
        <v>0.4</v>
      </c>
      <c r="BB785">
        <v>7</v>
      </c>
      <c r="BC785">
        <v>1</v>
      </c>
      <c r="BD785">
        <f>BA785*BB785*1/7</f>
        <v>0.4</v>
      </c>
      <c r="BE785">
        <f>AM785+AU785+BD785</f>
        <v>5.4</v>
      </c>
      <c r="BF785" t="s">
        <v>219</v>
      </c>
      <c r="BG785">
        <v>0</v>
      </c>
      <c r="BH785">
        <v>7</v>
      </c>
      <c r="BI785">
        <v>1</v>
      </c>
      <c r="BJ785" t="s">
        <v>49</v>
      </c>
      <c r="BK785">
        <v>5</v>
      </c>
      <c r="BL785">
        <v>1</v>
      </c>
      <c r="BM785">
        <v>1</v>
      </c>
      <c r="BN785" t="s">
        <v>37</v>
      </c>
      <c r="BO785">
        <v>4</v>
      </c>
      <c r="BP785">
        <v>165</v>
      </c>
      <c r="BQ785">
        <v>0.05</v>
      </c>
      <c r="BR785">
        <v>3</v>
      </c>
      <c r="BS785">
        <v>0.15000000000000002</v>
      </c>
      <c r="BT785">
        <f>BS785+BD785+AU785+AM785</f>
        <v>5.55</v>
      </c>
      <c r="BU785">
        <v>1</v>
      </c>
      <c r="BV785">
        <v>2</v>
      </c>
      <c r="BW785">
        <v>293</v>
      </c>
      <c r="BX785">
        <f>BW785/7</f>
        <v>41.857142857142854</v>
      </c>
      <c r="BY785">
        <f>0.77*BX785</f>
        <v>32.229999999999997</v>
      </c>
      <c r="BZ785">
        <f t="shared" si="12"/>
        <v>37.779999999999994</v>
      </c>
    </row>
    <row r="786" spans="1:78">
      <c r="A786" s="1">
        <v>45215.65438954861</v>
      </c>
      <c r="C786">
        <v>785</v>
      </c>
      <c r="D786" s="10">
        <v>33315</v>
      </c>
      <c r="E786">
        <v>32</v>
      </c>
      <c r="F786">
        <v>1</v>
      </c>
      <c r="G786">
        <v>9</v>
      </c>
      <c r="H786">
        <v>4</v>
      </c>
      <c r="I786" s="10">
        <v>44958</v>
      </c>
      <c r="J786">
        <v>1</v>
      </c>
      <c r="K786">
        <v>1</v>
      </c>
      <c r="L786">
        <v>1</v>
      </c>
      <c r="M786">
        <v>3420</v>
      </c>
      <c r="N786">
        <v>2</v>
      </c>
      <c r="O786" s="10">
        <v>44706</v>
      </c>
      <c r="P786">
        <v>0</v>
      </c>
      <c r="Q786">
        <v>36</v>
      </c>
      <c r="R786">
        <v>3</v>
      </c>
      <c r="S786">
        <v>80</v>
      </c>
      <c r="T786">
        <v>170</v>
      </c>
      <c r="U786">
        <v>87</v>
      </c>
      <c r="V786">
        <v>7</v>
      </c>
      <c r="W786">
        <v>2</v>
      </c>
      <c r="X786">
        <v>27.681660899653981</v>
      </c>
      <c r="Y786">
        <v>30.103806228373706</v>
      </c>
      <c r="Z786">
        <v>2.4221453287197257</v>
      </c>
      <c r="AA786">
        <v>3</v>
      </c>
      <c r="AB786">
        <v>4</v>
      </c>
      <c r="AC786" t="s">
        <v>33</v>
      </c>
      <c r="AD786">
        <v>3</v>
      </c>
      <c r="AE786">
        <v>0</v>
      </c>
      <c r="AG786">
        <v>5</v>
      </c>
      <c r="AH786">
        <v>1</v>
      </c>
      <c r="AI786">
        <v>5</v>
      </c>
      <c r="AJ786">
        <v>5</v>
      </c>
      <c r="AK786">
        <v>7</v>
      </c>
      <c r="AL786">
        <v>1</v>
      </c>
      <c r="AM786">
        <f>AJ786*AK786*AL786/7</f>
        <v>5</v>
      </c>
      <c r="AN786" t="s">
        <v>27</v>
      </c>
      <c r="AO786">
        <v>0</v>
      </c>
      <c r="AV786">
        <f>AU786+AM786</f>
        <v>5</v>
      </c>
      <c r="AW786" t="s">
        <v>69</v>
      </c>
      <c r="AX786">
        <v>1</v>
      </c>
      <c r="AY786" t="s">
        <v>69</v>
      </c>
      <c r="AZ786">
        <v>6</v>
      </c>
      <c r="BA786">
        <v>0.3</v>
      </c>
      <c r="BB786">
        <v>7</v>
      </c>
      <c r="BC786">
        <v>1</v>
      </c>
      <c r="BD786">
        <f>BA786*BB786*1/7</f>
        <v>0.3</v>
      </c>
      <c r="BE786">
        <f>AM786+AU786+BD786</f>
        <v>5.3</v>
      </c>
      <c r="BF786" t="s">
        <v>69</v>
      </c>
      <c r="BG786">
        <v>0</v>
      </c>
      <c r="BH786">
        <v>7</v>
      </c>
      <c r="BI786">
        <v>1</v>
      </c>
      <c r="BJ786" t="s">
        <v>28</v>
      </c>
      <c r="BK786">
        <v>3</v>
      </c>
      <c r="BL786">
        <v>1</v>
      </c>
      <c r="BM786">
        <v>1</v>
      </c>
      <c r="BN786" t="s">
        <v>30</v>
      </c>
      <c r="BO786">
        <v>1</v>
      </c>
      <c r="BP786">
        <v>168</v>
      </c>
      <c r="BQ786">
        <v>0.13</v>
      </c>
      <c r="BR786">
        <v>2</v>
      </c>
      <c r="BS786">
        <v>0.26</v>
      </c>
      <c r="BT786">
        <f>BS786+BD786+AU786+AM786</f>
        <v>5.5600000000000005</v>
      </c>
      <c r="BU786">
        <v>1</v>
      </c>
      <c r="BV786">
        <v>0.5</v>
      </c>
      <c r="BW786">
        <v>73.25</v>
      </c>
      <c r="BX786">
        <f>BW786/7</f>
        <v>10.464285714285714</v>
      </c>
      <c r="BY786">
        <f>0.77*BX786</f>
        <v>8.0574999999999992</v>
      </c>
      <c r="BZ786">
        <f t="shared" si="12"/>
        <v>13.6175</v>
      </c>
    </row>
    <row r="787" spans="1:78">
      <c r="A787" s="1">
        <v>45215.655764687501</v>
      </c>
      <c r="B787" s="9" t="s">
        <v>866</v>
      </c>
      <c r="C787">
        <v>786</v>
      </c>
      <c r="D787" s="10">
        <v>31050</v>
      </c>
      <c r="E787">
        <v>38</v>
      </c>
      <c r="F787">
        <v>1</v>
      </c>
      <c r="G787">
        <v>10</v>
      </c>
      <c r="H787">
        <v>5</v>
      </c>
      <c r="I787" s="10">
        <v>44551</v>
      </c>
      <c r="J787">
        <v>1</v>
      </c>
      <c r="K787">
        <v>1</v>
      </c>
      <c r="L787">
        <v>1</v>
      </c>
      <c r="M787">
        <v>3020</v>
      </c>
      <c r="N787">
        <v>2</v>
      </c>
      <c r="O787" s="10">
        <v>44292</v>
      </c>
      <c r="P787">
        <v>1</v>
      </c>
      <c r="Q787">
        <v>37</v>
      </c>
      <c r="R787">
        <v>2</v>
      </c>
      <c r="S787">
        <v>90</v>
      </c>
      <c r="T787">
        <v>158</v>
      </c>
      <c r="U787">
        <v>95</v>
      </c>
      <c r="V787">
        <v>5</v>
      </c>
      <c r="W787">
        <v>1</v>
      </c>
      <c r="X787">
        <v>36.051914757250437</v>
      </c>
      <c r="Y787">
        <v>38.054798910431018</v>
      </c>
      <c r="Z787">
        <v>2.002884153180581</v>
      </c>
      <c r="AA787">
        <v>4</v>
      </c>
      <c r="AB787">
        <v>4</v>
      </c>
      <c r="AC787" t="s">
        <v>33</v>
      </c>
      <c r="AD787">
        <v>3</v>
      </c>
      <c r="AE787">
        <v>0</v>
      </c>
      <c r="AG787">
        <v>5</v>
      </c>
      <c r="AH787">
        <v>1</v>
      </c>
      <c r="AI787" t="s">
        <v>258</v>
      </c>
      <c r="AJ787" t="s">
        <v>258</v>
      </c>
      <c r="AK787">
        <v>7</v>
      </c>
      <c r="AL787">
        <v>1</v>
      </c>
      <c r="AM787" t="s">
        <v>258</v>
      </c>
      <c r="AN787" t="s">
        <v>839</v>
      </c>
      <c r="AO787">
        <v>0</v>
      </c>
      <c r="AX787">
        <v>0</v>
      </c>
      <c r="BE787" t="s">
        <v>258</v>
      </c>
      <c r="BG787">
        <v>0</v>
      </c>
      <c r="BJ787" t="s">
        <v>28</v>
      </c>
      <c r="BK787">
        <v>3</v>
      </c>
      <c r="BL787">
        <v>1</v>
      </c>
      <c r="BM787">
        <v>1</v>
      </c>
      <c r="BN787" t="s">
        <v>55</v>
      </c>
      <c r="BO787">
        <v>2</v>
      </c>
      <c r="BP787">
        <v>335</v>
      </c>
      <c r="BQ787">
        <v>0.1</v>
      </c>
      <c r="BR787">
        <v>5</v>
      </c>
      <c r="BS787">
        <v>0.5</v>
      </c>
      <c r="BT787" t="e">
        <f>BS787+BD787+AU787+AM787</f>
        <v>#VALUE!</v>
      </c>
      <c r="BU787">
        <v>1</v>
      </c>
      <c r="BV787">
        <v>4</v>
      </c>
      <c r="BW787">
        <v>586</v>
      </c>
      <c r="BX787">
        <f>BW787/7</f>
        <v>83.714285714285708</v>
      </c>
      <c r="BY787">
        <f>0.77*BX787</f>
        <v>64.459999999999994</v>
      </c>
      <c r="BZ787" t="e">
        <f t="shared" si="12"/>
        <v>#VALUE!</v>
      </c>
    </row>
    <row r="788" spans="1:78">
      <c r="A788" s="1">
        <v>45215.664819062498</v>
      </c>
      <c r="C788">
        <v>787</v>
      </c>
      <c r="D788" s="10">
        <v>33625</v>
      </c>
      <c r="E788">
        <v>31</v>
      </c>
      <c r="F788">
        <v>1</v>
      </c>
      <c r="G788">
        <v>2</v>
      </c>
      <c r="H788">
        <v>3</v>
      </c>
      <c r="I788" s="10">
        <v>44486</v>
      </c>
      <c r="J788">
        <v>2</v>
      </c>
      <c r="K788">
        <v>0</v>
      </c>
      <c r="L788">
        <v>1</v>
      </c>
      <c r="M788">
        <v>3320</v>
      </c>
      <c r="N788">
        <v>2</v>
      </c>
      <c r="O788" s="10">
        <v>44220</v>
      </c>
      <c r="P788">
        <v>1</v>
      </c>
      <c r="Q788">
        <v>38</v>
      </c>
      <c r="R788">
        <v>2</v>
      </c>
      <c r="S788">
        <v>64</v>
      </c>
      <c r="T788">
        <v>165</v>
      </c>
      <c r="U788">
        <v>80</v>
      </c>
      <c r="V788">
        <v>16</v>
      </c>
      <c r="W788">
        <v>2</v>
      </c>
      <c r="X788">
        <v>23.507805325987146</v>
      </c>
      <c r="Y788">
        <v>29.384756657483933</v>
      </c>
      <c r="Z788">
        <v>5.8769513314967874</v>
      </c>
      <c r="AA788">
        <v>2</v>
      </c>
      <c r="AB788">
        <v>3</v>
      </c>
      <c r="AC788" t="s">
        <v>123</v>
      </c>
      <c r="AD788">
        <v>2</v>
      </c>
      <c r="AE788">
        <v>0</v>
      </c>
      <c r="AG788">
        <v>5</v>
      </c>
      <c r="AH788">
        <v>0</v>
      </c>
      <c r="AI788">
        <v>0</v>
      </c>
      <c r="AN788" t="s">
        <v>41</v>
      </c>
      <c r="AO788">
        <v>0</v>
      </c>
      <c r="AX788">
        <v>1</v>
      </c>
      <c r="AY788" t="s">
        <v>882</v>
      </c>
      <c r="AZ788">
        <v>1</v>
      </c>
      <c r="BA788">
        <v>0.8</v>
      </c>
      <c r="BB788">
        <v>7</v>
      </c>
      <c r="BC788">
        <v>1</v>
      </c>
      <c r="BD788">
        <f>BA788*BB788*1/7</f>
        <v>0.8</v>
      </c>
      <c r="BE788">
        <f>AM788+AU788+BD788</f>
        <v>0.8</v>
      </c>
      <c r="BF788" t="s">
        <v>882</v>
      </c>
      <c r="BG788">
        <v>0</v>
      </c>
      <c r="BH788">
        <v>7</v>
      </c>
      <c r="BI788">
        <v>1</v>
      </c>
      <c r="BJ788" t="s">
        <v>49</v>
      </c>
      <c r="BK788">
        <v>5</v>
      </c>
      <c r="BL788">
        <v>3</v>
      </c>
      <c r="BM788">
        <v>1</v>
      </c>
      <c r="BN788" t="s">
        <v>55</v>
      </c>
      <c r="BO788">
        <v>2</v>
      </c>
      <c r="BP788">
        <v>201</v>
      </c>
      <c r="BQ788">
        <v>0.1</v>
      </c>
      <c r="BR788">
        <v>3</v>
      </c>
      <c r="BS788">
        <v>0.30000000000000004</v>
      </c>
      <c r="BT788">
        <f>BS788+BD788+AU788+AM788</f>
        <v>1.1000000000000001</v>
      </c>
      <c r="BU788">
        <v>1</v>
      </c>
      <c r="BV788">
        <v>2</v>
      </c>
      <c r="BW788">
        <v>293</v>
      </c>
      <c r="BX788">
        <f>BW788/7</f>
        <v>41.857142857142854</v>
      </c>
      <c r="BY788">
        <f>0.77*BX788</f>
        <v>32.229999999999997</v>
      </c>
      <c r="BZ788">
        <f t="shared" si="12"/>
        <v>33.33</v>
      </c>
    </row>
    <row r="789" spans="1:78">
      <c r="A789" s="1">
        <v>45215.665497719907</v>
      </c>
      <c r="C789">
        <v>788</v>
      </c>
      <c r="D789" s="10">
        <v>31659</v>
      </c>
      <c r="E789">
        <v>37</v>
      </c>
      <c r="F789">
        <v>1</v>
      </c>
      <c r="G789">
        <v>1</v>
      </c>
      <c r="H789">
        <v>2</v>
      </c>
      <c r="I789" s="10">
        <v>43730</v>
      </c>
      <c r="J789">
        <v>2</v>
      </c>
      <c r="K789">
        <v>0</v>
      </c>
      <c r="L789">
        <v>2</v>
      </c>
      <c r="M789">
        <v>2780</v>
      </c>
      <c r="N789">
        <v>2</v>
      </c>
      <c r="O789" s="10">
        <v>43457</v>
      </c>
      <c r="P789">
        <v>0</v>
      </c>
      <c r="Q789">
        <v>39</v>
      </c>
      <c r="R789">
        <v>2</v>
      </c>
      <c r="S789">
        <v>64</v>
      </c>
      <c r="T789">
        <v>152</v>
      </c>
      <c r="U789">
        <v>72</v>
      </c>
      <c r="V789">
        <v>8</v>
      </c>
      <c r="W789">
        <v>2</v>
      </c>
      <c r="X789">
        <v>27.700831024930746</v>
      </c>
      <c r="Y789">
        <v>31.16343490304709</v>
      </c>
      <c r="Z789">
        <v>3.4626038781163437</v>
      </c>
      <c r="AA789">
        <v>3</v>
      </c>
      <c r="AB789">
        <v>4</v>
      </c>
      <c r="AC789" t="s">
        <v>33</v>
      </c>
      <c r="AD789">
        <v>3</v>
      </c>
      <c r="AE789">
        <v>0</v>
      </c>
      <c r="AG789">
        <v>5</v>
      </c>
      <c r="AH789">
        <v>1</v>
      </c>
      <c r="AI789">
        <v>13</v>
      </c>
      <c r="AJ789">
        <v>1</v>
      </c>
      <c r="AK789">
        <v>7</v>
      </c>
      <c r="AL789">
        <v>1</v>
      </c>
      <c r="AM789">
        <f>AJ789*AK789*AL789/7</f>
        <v>1</v>
      </c>
      <c r="AN789" t="s">
        <v>475</v>
      </c>
      <c r="AO789">
        <v>0</v>
      </c>
      <c r="AV789">
        <f>AU789+AM789</f>
        <v>1</v>
      </c>
      <c r="AX789">
        <v>0</v>
      </c>
      <c r="BE789">
        <f>AM789+AU789+BD789</f>
        <v>1</v>
      </c>
      <c r="BG789">
        <v>0</v>
      </c>
      <c r="BJ789" t="s">
        <v>42</v>
      </c>
      <c r="BK789">
        <v>6</v>
      </c>
      <c r="BL789">
        <v>1</v>
      </c>
      <c r="BM789">
        <v>1</v>
      </c>
      <c r="BN789" t="s">
        <v>30</v>
      </c>
      <c r="BO789">
        <v>1</v>
      </c>
      <c r="BP789">
        <v>252</v>
      </c>
      <c r="BQ789">
        <v>0.13</v>
      </c>
      <c r="BR789">
        <v>3</v>
      </c>
      <c r="BS789">
        <v>0.39</v>
      </c>
      <c r="BT789">
        <f>BS789+BD789+AU789+AM789</f>
        <v>1.3900000000000001</v>
      </c>
      <c r="BU789">
        <v>1</v>
      </c>
      <c r="BV789">
        <v>1</v>
      </c>
      <c r="BW789">
        <v>146.5</v>
      </c>
      <c r="BX789">
        <f>BW789/7</f>
        <v>20.928571428571427</v>
      </c>
      <c r="BY789">
        <f>0.77*BX789</f>
        <v>16.114999999999998</v>
      </c>
      <c r="BZ789">
        <f t="shared" si="12"/>
        <v>17.504999999999999</v>
      </c>
    </row>
    <row r="790" spans="1:78">
      <c r="A790" s="1">
        <v>45215.731134363421</v>
      </c>
      <c r="C790">
        <v>789</v>
      </c>
      <c r="D790" s="10">
        <v>30046</v>
      </c>
      <c r="E790">
        <v>41</v>
      </c>
      <c r="F790">
        <v>1</v>
      </c>
      <c r="G790">
        <v>6</v>
      </c>
      <c r="H790">
        <v>4</v>
      </c>
      <c r="I790" s="10">
        <v>43560</v>
      </c>
      <c r="J790">
        <v>1</v>
      </c>
      <c r="K790">
        <v>1</v>
      </c>
      <c r="L790">
        <v>1</v>
      </c>
      <c r="M790">
        <v>2550</v>
      </c>
      <c r="N790">
        <v>2</v>
      </c>
      <c r="O790" s="10">
        <v>43287</v>
      </c>
      <c r="P790">
        <v>0</v>
      </c>
      <c r="Q790">
        <v>39</v>
      </c>
      <c r="R790">
        <v>2</v>
      </c>
      <c r="S790">
        <v>70</v>
      </c>
      <c r="T790">
        <v>153</v>
      </c>
      <c r="U790">
        <v>73</v>
      </c>
      <c r="V790">
        <v>3</v>
      </c>
      <c r="W790">
        <v>1</v>
      </c>
      <c r="X790">
        <v>29.903028749626213</v>
      </c>
      <c r="Y790">
        <v>31.184587124610193</v>
      </c>
      <c r="Z790">
        <v>1.2815583749839803</v>
      </c>
      <c r="AA790">
        <v>3</v>
      </c>
      <c r="AB790">
        <v>4</v>
      </c>
      <c r="AC790" t="s">
        <v>33</v>
      </c>
      <c r="AD790">
        <v>3</v>
      </c>
      <c r="AE790">
        <v>1</v>
      </c>
      <c r="AF790" t="s">
        <v>476</v>
      </c>
      <c r="AG790">
        <v>1</v>
      </c>
      <c r="AH790">
        <v>1</v>
      </c>
      <c r="AI790">
        <v>1</v>
      </c>
      <c r="AJ790">
        <v>1</v>
      </c>
      <c r="AK790">
        <v>7</v>
      </c>
      <c r="AL790">
        <v>1</v>
      </c>
      <c r="AM790">
        <f>AJ790*AK790*AL790/7</f>
        <v>1</v>
      </c>
      <c r="AN790" t="s">
        <v>56</v>
      </c>
      <c r="AO790">
        <v>0</v>
      </c>
      <c r="AV790">
        <f>AU790+AM790</f>
        <v>1</v>
      </c>
      <c r="AX790">
        <v>0</v>
      </c>
      <c r="BE790">
        <f>AM790+AU790+BD790</f>
        <v>1</v>
      </c>
      <c r="BG790">
        <v>0</v>
      </c>
      <c r="BJ790" t="s">
        <v>42</v>
      </c>
      <c r="BK790">
        <v>6</v>
      </c>
      <c r="BL790">
        <v>3</v>
      </c>
      <c r="BM790">
        <v>1</v>
      </c>
      <c r="BN790" t="s">
        <v>30</v>
      </c>
      <c r="BO790">
        <v>1</v>
      </c>
      <c r="BP790">
        <v>252</v>
      </c>
      <c r="BQ790">
        <v>0.13</v>
      </c>
      <c r="BR790">
        <v>3</v>
      </c>
      <c r="BS790">
        <v>0.39</v>
      </c>
      <c r="BT790">
        <f>BS790+BD790+AU790+AM790</f>
        <v>1.3900000000000001</v>
      </c>
      <c r="BU790">
        <v>1</v>
      </c>
      <c r="BV790">
        <v>2</v>
      </c>
      <c r="BW790">
        <v>293</v>
      </c>
      <c r="BX790">
        <f>BW790/7</f>
        <v>41.857142857142854</v>
      </c>
      <c r="BY790">
        <f>0.77*BX790</f>
        <v>32.229999999999997</v>
      </c>
      <c r="BZ790">
        <f t="shared" si="12"/>
        <v>33.619999999999997</v>
      </c>
    </row>
    <row r="791" spans="1:78">
      <c r="A791" s="1">
        <v>45215.732074837964</v>
      </c>
      <c r="C791">
        <v>790</v>
      </c>
      <c r="D791" s="10">
        <v>31762</v>
      </c>
      <c r="E791">
        <v>36</v>
      </c>
      <c r="F791">
        <v>1</v>
      </c>
      <c r="G791">
        <v>4</v>
      </c>
      <c r="H791">
        <v>4</v>
      </c>
      <c r="I791" s="10">
        <v>44772</v>
      </c>
      <c r="J791">
        <v>1</v>
      </c>
      <c r="K791">
        <v>1</v>
      </c>
      <c r="L791">
        <v>1</v>
      </c>
      <c r="M791">
        <v>3660</v>
      </c>
      <c r="N791">
        <v>2</v>
      </c>
      <c r="O791" s="10">
        <v>44502</v>
      </c>
      <c r="P791">
        <v>0</v>
      </c>
      <c r="Q791">
        <v>38.571428571428569</v>
      </c>
      <c r="R791">
        <v>2</v>
      </c>
      <c r="S791">
        <v>72</v>
      </c>
      <c r="T791">
        <v>170</v>
      </c>
      <c r="U791">
        <v>78</v>
      </c>
      <c r="V791">
        <v>6</v>
      </c>
      <c r="W791">
        <v>1</v>
      </c>
      <c r="X791">
        <v>24.913494809688583</v>
      </c>
      <c r="Y791">
        <v>26.989619377162633</v>
      </c>
      <c r="Z791">
        <v>2.0761245674740501</v>
      </c>
      <c r="AA791">
        <v>2</v>
      </c>
      <c r="AB791">
        <v>3</v>
      </c>
      <c r="AC791" t="s">
        <v>33</v>
      </c>
      <c r="AD791">
        <v>3</v>
      </c>
      <c r="AE791">
        <v>0</v>
      </c>
      <c r="AG791">
        <v>5</v>
      </c>
      <c r="AH791">
        <v>1</v>
      </c>
      <c r="AI791">
        <v>2</v>
      </c>
      <c r="AJ791">
        <v>5</v>
      </c>
      <c r="AK791">
        <v>7</v>
      </c>
      <c r="AL791">
        <v>1</v>
      </c>
      <c r="AM791">
        <f>AJ791*AK791*AL791/7</f>
        <v>5</v>
      </c>
      <c r="AN791" t="s">
        <v>57</v>
      </c>
      <c r="AO791">
        <v>0</v>
      </c>
      <c r="AV791">
        <f>AU791+AM791</f>
        <v>5</v>
      </c>
      <c r="AW791" t="s">
        <v>71</v>
      </c>
      <c r="AX791">
        <v>1</v>
      </c>
      <c r="AY791" t="s">
        <v>71</v>
      </c>
      <c r="AZ791">
        <v>5</v>
      </c>
      <c r="BA791">
        <v>0.4</v>
      </c>
      <c r="BB791">
        <v>7</v>
      </c>
      <c r="BC791">
        <v>1</v>
      </c>
      <c r="BD791">
        <f>BA791*BB791*1/7</f>
        <v>0.4</v>
      </c>
      <c r="BE791">
        <f>AM791+AU791+BD791</f>
        <v>5.4</v>
      </c>
      <c r="BF791" t="s">
        <v>71</v>
      </c>
      <c r="BG791">
        <v>0</v>
      </c>
      <c r="BH791">
        <v>7</v>
      </c>
      <c r="BI791">
        <v>1</v>
      </c>
      <c r="BJ791" t="s">
        <v>28</v>
      </c>
      <c r="BK791">
        <v>3</v>
      </c>
      <c r="BL791">
        <v>1</v>
      </c>
      <c r="BM791">
        <v>1</v>
      </c>
      <c r="BN791" t="s">
        <v>30</v>
      </c>
      <c r="BO791">
        <v>1</v>
      </c>
      <c r="BP791">
        <v>84</v>
      </c>
      <c r="BQ791">
        <v>0.13</v>
      </c>
      <c r="BR791">
        <v>1</v>
      </c>
      <c r="BS791">
        <v>0.13</v>
      </c>
      <c r="BT791">
        <f>BS791+BD791+AU791+AM791</f>
        <v>5.53</v>
      </c>
      <c r="BU791">
        <v>1</v>
      </c>
      <c r="BV791">
        <v>1</v>
      </c>
      <c r="BW791">
        <v>146.5</v>
      </c>
      <c r="BX791">
        <f>BW791/7</f>
        <v>20.928571428571427</v>
      </c>
      <c r="BY791">
        <f>0.77*BX791</f>
        <v>16.114999999999998</v>
      </c>
      <c r="BZ791">
        <f t="shared" si="12"/>
        <v>21.645</v>
      </c>
    </row>
    <row r="792" spans="1:78">
      <c r="A792" s="1">
        <v>45215.735394143514</v>
      </c>
      <c r="C792">
        <v>791</v>
      </c>
      <c r="D792" s="10">
        <v>33143</v>
      </c>
      <c r="E792">
        <v>33</v>
      </c>
      <c r="F792">
        <v>1</v>
      </c>
      <c r="G792">
        <v>11</v>
      </c>
      <c r="H792">
        <v>4</v>
      </c>
      <c r="I792" s="10">
        <v>44241</v>
      </c>
      <c r="J792">
        <v>2</v>
      </c>
      <c r="K792">
        <v>0</v>
      </c>
      <c r="L792">
        <v>1</v>
      </c>
      <c r="M792">
        <v>2420</v>
      </c>
      <c r="N792">
        <v>1</v>
      </c>
      <c r="O792" s="10">
        <v>43996</v>
      </c>
      <c r="P792">
        <v>1</v>
      </c>
      <c r="Q792">
        <v>35</v>
      </c>
      <c r="R792">
        <v>3</v>
      </c>
      <c r="S792">
        <v>65</v>
      </c>
      <c r="T792">
        <v>158</v>
      </c>
      <c r="U792">
        <v>70</v>
      </c>
      <c r="V792">
        <v>5</v>
      </c>
      <c r="W792">
        <v>1</v>
      </c>
      <c r="X792">
        <v>26.037493991347535</v>
      </c>
      <c r="Y792">
        <v>28.040378144528116</v>
      </c>
      <c r="Z792">
        <v>2.002884153180581</v>
      </c>
      <c r="AA792">
        <v>3</v>
      </c>
      <c r="AB792">
        <v>3</v>
      </c>
      <c r="AC792" t="s">
        <v>44</v>
      </c>
      <c r="AD792">
        <v>1</v>
      </c>
      <c r="AE792">
        <v>0</v>
      </c>
      <c r="AG792">
        <v>5</v>
      </c>
      <c r="AH792">
        <v>1</v>
      </c>
      <c r="AI792">
        <v>13</v>
      </c>
      <c r="AJ792">
        <v>1</v>
      </c>
      <c r="AK792">
        <v>7</v>
      </c>
      <c r="AL792">
        <v>1</v>
      </c>
      <c r="AM792">
        <f>AJ792*AK792*AL792/7</f>
        <v>1</v>
      </c>
      <c r="AN792" t="s">
        <v>79</v>
      </c>
      <c r="AO792">
        <v>0</v>
      </c>
      <c r="AV792">
        <f>AU792+AM792</f>
        <v>1</v>
      </c>
      <c r="AW792" t="s">
        <v>61</v>
      </c>
      <c r="AX792">
        <v>1</v>
      </c>
      <c r="AY792" t="s">
        <v>61</v>
      </c>
      <c r="AZ792">
        <v>2</v>
      </c>
      <c r="BA792">
        <v>0.27</v>
      </c>
      <c r="BB792">
        <v>7</v>
      </c>
      <c r="BC792">
        <v>1</v>
      </c>
      <c r="BD792">
        <f>BA792*BB792*1/7</f>
        <v>0.27</v>
      </c>
      <c r="BE792">
        <f>AM792+AU792+BD792</f>
        <v>1.27</v>
      </c>
      <c r="BF792" t="s">
        <v>61</v>
      </c>
      <c r="BG792">
        <v>0</v>
      </c>
      <c r="BH792">
        <v>7</v>
      </c>
      <c r="BI792">
        <v>1</v>
      </c>
      <c r="BJ792" t="s">
        <v>49</v>
      </c>
      <c r="BK792">
        <v>5</v>
      </c>
      <c r="BL792">
        <v>4</v>
      </c>
      <c r="BM792">
        <v>1</v>
      </c>
      <c r="BN792" t="s">
        <v>55</v>
      </c>
      <c r="BO792">
        <v>2</v>
      </c>
      <c r="BP792">
        <v>134</v>
      </c>
      <c r="BQ792">
        <v>0.1</v>
      </c>
      <c r="BR792">
        <v>2</v>
      </c>
      <c r="BS792">
        <v>0.2</v>
      </c>
      <c r="BT792">
        <f>BS792+BD792+AU792+AM792</f>
        <v>1.47</v>
      </c>
      <c r="BU792">
        <v>1</v>
      </c>
      <c r="BV792">
        <v>2</v>
      </c>
      <c r="BW792">
        <v>293</v>
      </c>
      <c r="BX792">
        <f>BW792/7</f>
        <v>41.857142857142854</v>
      </c>
      <c r="BY792">
        <f>0.77*BX792</f>
        <v>32.229999999999997</v>
      </c>
      <c r="BZ792">
        <f t="shared" si="12"/>
        <v>33.699999999999996</v>
      </c>
    </row>
    <row r="793" spans="1:78">
      <c r="A793" s="1">
        <v>45215.743881469913</v>
      </c>
      <c r="C793">
        <v>792</v>
      </c>
      <c r="D793" s="10">
        <v>31554</v>
      </c>
      <c r="E793">
        <v>37</v>
      </c>
      <c r="F793">
        <v>1</v>
      </c>
      <c r="G793">
        <v>12</v>
      </c>
      <c r="H793">
        <v>4</v>
      </c>
      <c r="I793" s="10">
        <v>44166</v>
      </c>
      <c r="J793">
        <v>1</v>
      </c>
      <c r="K793">
        <v>1</v>
      </c>
      <c r="L793">
        <v>2</v>
      </c>
      <c r="M793">
        <v>3700</v>
      </c>
      <c r="N793">
        <v>2</v>
      </c>
      <c r="O793" s="10">
        <v>43895</v>
      </c>
      <c r="P793">
        <v>1</v>
      </c>
      <c r="Q793">
        <v>38.714285714285715</v>
      </c>
      <c r="R793">
        <v>2</v>
      </c>
      <c r="S793">
        <v>96</v>
      </c>
      <c r="T793">
        <v>161</v>
      </c>
      <c r="U793">
        <v>112</v>
      </c>
      <c r="V793">
        <v>16</v>
      </c>
      <c r="W793">
        <v>3</v>
      </c>
      <c r="X793">
        <v>37.035608194128308</v>
      </c>
      <c r="Y793">
        <v>43.20820955981636</v>
      </c>
      <c r="Z793">
        <v>6.1726013656880525</v>
      </c>
      <c r="AA793">
        <v>4</v>
      </c>
      <c r="AB793">
        <v>4</v>
      </c>
      <c r="AC793" t="s">
        <v>33</v>
      </c>
      <c r="AD793">
        <v>3</v>
      </c>
      <c r="AE793">
        <v>0</v>
      </c>
      <c r="AG793">
        <v>5</v>
      </c>
      <c r="AH793">
        <v>1</v>
      </c>
      <c r="AI793">
        <v>13</v>
      </c>
      <c r="AJ793">
        <v>1</v>
      </c>
      <c r="AK793">
        <v>7</v>
      </c>
      <c r="AL793">
        <v>1</v>
      </c>
      <c r="AM793">
        <f>AJ793*AK793*AL793/7</f>
        <v>1</v>
      </c>
      <c r="AN793" t="s">
        <v>79</v>
      </c>
      <c r="AO793">
        <v>0</v>
      </c>
      <c r="AV793">
        <f>AU793+AM793</f>
        <v>1</v>
      </c>
      <c r="AW793" t="s">
        <v>281</v>
      </c>
      <c r="AX793">
        <v>1</v>
      </c>
      <c r="AY793" t="s">
        <v>281</v>
      </c>
      <c r="AZ793">
        <v>14</v>
      </c>
      <c r="BA793">
        <v>0.5</v>
      </c>
      <c r="BB793">
        <v>7</v>
      </c>
      <c r="BC793">
        <v>2</v>
      </c>
      <c r="BD793">
        <f>BA793*BB793*1/7</f>
        <v>0.5</v>
      </c>
      <c r="BE793">
        <f>AM793+AU793+BD793</f>
        <v>1.5</v>
      </c>
      <c r="BF793" t="s">
        <v>281</v>
      </c>
      <c r="BG793">
        <v>0</v>
      </c>
      <c r="BH793">
        <v>7</v>
      </c>
      <c r="BI793">
        <v>2</v>
      </c>
      <c r="BJ793" t="s">
        <v>49</v>
      </c>
      <c r="BK793">
        <v>5</v>
      </c>
      <c r="BL793">
        <v>1</v>
      </c>
      <c r="BM793">
        <v>1</v>
      </c>
      <c r="BN793" t="s">
        <v>37</v>
      </c>
      <c r="BO793">
        <v>4</v>
      </c>
      <c r="BP793">
        <v>220</v>
      </c>
      <c r="BQ793">
        <v>0.05</v>
      </c>
      <c r="BR793">
        <v>4</v>
      </c>
      <c r="BS793">
        <v>0.2</v>
      </c>
      <c r="BT793">
        <f>BS793+BD793+AU793+AM793</f>
        <v>1.7</v>
      </c>
      <c r="BU793">
        <v>1</v>
      </c>
      <c r="BV793">
        <v>0.5</v>
      </c>
      <c r="BW793">
        <v>73.25</v>
      </c>
      <c r="BX793">
        <f>BW793/7</f>
        <v>10.464285714285714</v>
      </c>
      <c r="BY793">
        <f>0.77*BX793</f>
        <v>8.0574999999999992</v>
      </c>
      <c r="BZ793">
        <f t="shared" si="12"/>
        <v>9.7574999999999985</v>
      </c>
    </row>
    <row r="794" spans="1:78">
      <c r="A794" s="1">
        <v>45215.75961444444</v>
      </c>
      <c r="C794">
        <v>793</v>
      </c>
      <c r="D794" s="10">
        <v>33276</v>
      </c>
      <c r="E794">
        <v>32</v>
      </c>
      <c r="F794">
        <v>1</v>
      </c>
      <c r="G794">
        <v>8</v>
      </c>
      <c r="H794">
        <v>4</v>
      </c>
      <c r="I794" s="10">
        <v>45050</v>
      </c>
      <c r="J794">
        <v>1</v>
      </c>
      <c r="K794">
        <v>1</v>
      </c>
      <c r="L794">
        <v>1</v>
      </c>
      <c r="M794">
        <v>3540</v>
      </c>
      <c r="N794">
        <v>2</v>
      </c>
      <c r="O794" s="10">
        <v>44770</v>
      </c>
      <c r="P794">
        <v>0</v>
      </c>
      <c r="Q794">
        <v>40</v>
      </c>
      <c r="R794">
        <v>2</v>
      </c>
      <c r="S794">
        <v>96</v>
      </c>
      <c r="T794">
        <v>157</v>
      </c>
      <c r="U794">
        <v>100</v>
      </c>
      <c r="V794">
        <v>4</v>
      </c>
      <c r="W794">
        <v>1</v>
      </c>
      <c r="X794">
        <v>38.946813258144346</v>
      </c>
      <c r="Y794">
        <v>40.56959714390036</v>
      </c>
      <c r="Z794">
        <v>1.6227838857560144</v>
      </c>
      <c r="AA794">
        <v>4</v>
      </c>
      <c r="AB794">
        <v>4</v>
      </c>
      <c r="AC794" t="s">
        <v>44</v>
      </c>
      <c r="AD794">
        <v>1</v>
      </c>
      <c r="AE794">
        <v>1</v>
      </c>
      <c r="AF794" t="s">
        <v>480</v>
      </c>
      <c r="AG794" t="e">
        <v>#N/A</v>
      </c>
      <c r="AH794">
        <v>1</v>
      </c>
      <c r="AI794">
        <v>2</v>
      </c>
      <c r="AJ794">
        <v>5</v>
      </c>
      <c r="AK794">
        <v>7</v>
      </c>
      <c r="AL794">
        <v>1</v>
      </c>
      <c r="AM794">
        <f>AJ794*AK794*AL794/7</f>
        <v>5</v>
      </c>
      <c r="AN794" t="s">
        <v>57</v>
      </c>
      <c r="AO794">
        <v>0</v>
      </c>
      <c r="AV794">
        <f>AU794+AM794</f>
        <v>5</v>
      </c>
      <c r="AX794">
        <v>0</v>
      </c>
      <c r="BE794">
        <f>AM794+AU794+BD794</f>
        <v>5</v>
      </c>
      <c r="BG794">
        <v>0</v>
      </c>
      <c r="BJ794" t="s">
        <v>49</v>
      </c>
      <c r="BK794">
        <v>5</v>
      </c>
      <c r="BL794">
        <v>4</v>
      </c>
      <c r="BM794">
        <v>1</v>
      </c>
      <c r="BN794" t="s">
        <v>30</v>
      </c>
      <c r="BO794">
        <v>1</v>
      </c>
      <c r="BP794">
        <v>84</v>
      </c>
      <c r="BQ794">
        <v>0.13</v>
      </c>
      <c r="BR794">
        <v>1</v>
      </c>
      <c r="BS794">
        <v>0.13</v>
      </c>
      <c r="BT794">
        <f>BS794+BD794+AU794+AM794</f>
        <v>5.13</v>
      </c>
      <c r="BU794">
        <v>1</v>
      </c>
      <c r="BV794">
        <v>1</v>
      </c>
      <c r="BW794">
        <v>146.5</v>
      </c>
      <c r="BX794">
        <f>BW794/7</f>
        <v>20.928571428571427</v>
      </c>
      <c r="BY794">
        <f>0.77*BX794</f>
        <v>16.114999999999998</v>
      </c>
      <c r="BZ794">
        <f t="shared" si="12"/>
        <v>21.244999999999997</v>
      </c>
    </row>
    <row r="795" spans="1:78">
      <c r="A795" s="1">
        <v>45215.773072557873</v>
      </c>
      <c r="C795">
        <v>794</v>
      </c>
      <c r="D795" s="10">
        <v>36879</v>
      </c>
      <c r="E795">
        <v>22</v>
      </c>
      <c r="F795">
        <v>1</v>
      </c>
      <c r="G795">
        <v>3</v>
      </c>
      <c r="H795">
        <v>3</v>
      </c>
      <c r="I795" s="10">
        <v>44826</v>
      </c>
      <c r="J795">
        <v>1</v>
      </c>
      <c r="K795">
        <v>1</v>
      </c>
      <c r="L795">
        <v>1</v>
      </c>
      <c r="M795">
        <v>2870</v>
      </c>
      <c r="N795">
        <v>2</v>
      </c>
      <c r="O795" s="10">
        <v>44553</v>
      </c>
      <c r="P795">
        <v>0</v>
      </c>
      <c r="Q795">
        <v>39</v>
      </c>
      <c r="R795">
        <v>2</v>
      </c>
      <c r="S795">
        <v>50</v>
      </c>
      <c r="T795">
        <v>160</v>
      </c>
      <c r="U795">
        <v>56</v>
      </c>
      <c r="V795">
        <v>6</v>
      </c>
      <c r="W795">
        <v>1</v>
      </c>
      <c r="X795">
        <v>19.531249999999996</v>
      </c>
      <c r="Y795">
        <v>21.874999999999996</v>
      </c>
      <c r="Z795">
        <v>2.34375</v>
      </c>
      <c r="AA795">
        <v>2</v>
      </c>
      <c r="AB795">
        <v>2</v>
      </c>
      <c r="AC795" t="s">
        <v>295</v>
      </c>
      <c r="AD795">
        <v>2</v>
      </c>
      <c r="AE795">
        <v>0</v>
      </c>
      <c r="AG795">
        <v>5</v>
      </c>
      <c r="AH795">
        <v>1</v>
      </c>
      <c r="AI795">
        <v>13</v>
      </c>
      <c r="AJ795">
        <v>1</v>
      </c>
      <c r="AK795">
        <v>7</v>
      </c>
      <c r="AL795">
        <v>1</v>
      </c>
      <c r="AM795">
        <f>AJ795*AK795*AL795/7</f>
        <v>1</v>
      </c>
      <c r="AN795" t="s">
        <v>79</v>
      </c>
      <c r="AO795">
        <v>0</v>
      </c>
      <c r="AV795">
        <f>AU795+AM795</f>
        <v>1</v>
      </c>
      <c r="AW795" t="s">
        <v>80</v>
      </c>
      <c r="AX795">
        <v>0</v>
      </c>
      <c r="BE795">
        <f>AM795+AU795+BD795</f>
        <v>1</v>
      </c>
      <c r="BF795" t="s">
        <v>80</v>
      </c>
      <c r="BG795">
        <v>1</v>
      </c>
      <c r="BH795">
        <v>7</v>
      </c>
      <c r="BI795">
        <v>1</v>
      </c>
      <c r="BJ795" t="s">
        <v>28</v>
      </c>
      <c r="BK795">
        <v>3</v>
      </c>
      <c r="BL795">
        <v>1</v>
      </c>
      <c r="BM795">
        <v>1</v>
      </c>
      <c r="BN795" t="s">
        <v>55</v>
      </c>
      <c r="BO795">
        <v>2</v>
      </c>
      <c r="BP795">
        <v>134</v>
      </c>
      <c r="BQ795">
        <v>0.1</v>
      </c>
      <c r="BR795">
        <v>2</v>
      </c>
      <c r="BS795">
        <v>0.2</v>
      </c>
      <c r="BT795">
        <f>BS795+BD795+AU795+AM795</f>
        <v>1.2</v>
      </c>
      <c r="BU795">
        <v>1</v>
      </c>
      <c r="BV795">
        <v>2</v>
      </c>
      <c r="BW795">
        <v>293</v>
      </c>
      <c r="BX795">
        <f>BW795/7</f>
        <v>41.857142857142854</v>
      </c>
      <c r="BY795">
        <f>0.77*BX795</f>
        <v>32.229999999999997</v>
      </c>
      <c r="BZ795">
        <f t="shared" si="12"/>
        <v>33.43</v>
      </c>
    </row>
    <row r="796" spans="1:78">
      <c r="A796" s="1">
        <v>45215.780051145834</v>
      </c>
      <c r="C796">
        <v>795</v>
      </c>
      <c r="D796" s="10">
        <v>34734</v>
      </c>
      <c r="E796">
        <v>28</v>
      </c>
      <c r="F796">
        <v>1</v>
      </c>
      <c r="G796">
        <v>10</v>
      </c>
      <c r="H796">
        <v>4</v>
      </c>
      <c r="I796" s="10">
        <v>44871</v>
      </c>
      <c r="J796">
        <v>1</v>
      </c>
      <c r="K796">
        <v>1</v>
      </c>
      <c r="L796">
        <v>2</v>
      </c>
      <c r="M796">
        <v>3430</v>
      </c>
      <c r="N796">
        <v>2</v>
      </c>
      <c r="O796" s="10">
        <v>44591</v>
      </c>
      <c r="P796">
        <v>0</v>
      </c>
      <c r="Q796">
        <v>40</v>
      </c>
      <c r="R796">
        <v>2</v>
      </c>
      <c r="S796">
        <v>80</v>
      </c>
      <c r="T796">
        <v>150</v>
      </c>
      <c r="U796">
        <v>100</v>
      </c>
      <c r="V796">
        <v>20</v>
      </c>
      <c r="W796">
        <v>3</v>
      </c>
      <c r="X796">
        <v>35.555555555555557</v>
      </c>
      <c r="Y796">
        <v>44.444444444444443</v>
      </c>
      <c r="Z796">
        <v>8.8888888888888857</v>
      </c>
      <c r="AA796">
        <v>4</v>
      </c>
      <c r="AB796">
        <v>4</v>
      </c>
      <c r="AC796" t="s">
        <v>33</v>
      </c>
      <c r="AD796">
        <v>3</v>
      </c>
      <c r="AE796">
        <v>0</v>
      </c>
      <c r="AG796">
        <v>5</v>
      </c>
      <c r="AH796">
        <v>1</v>
      </c>
      <c r="AI796">
        <v>13</v>
      </c>
      <c r="AJ796">
        <v>1</v>
      </c>
      <c r="AK796">
        <v>7</v>
      </c>
      <c r="AL796">
        <v>1</v>
      </c>
      <c r="AM796">
        <f>AJ796*AK796*AL796/7</f>
        <v>1</v>
      </c>
      <c r="AN796" t="s">
        <v>79</v>
      </c>
      <c r="AO796">
        <v>0</v>
      </c>
      <c r="AV796">
        <f>AU796+AM796</f>
        <v>1</v>
      </c>
      <c r="AX796">
        <v>0</v>
      </c>
      <c r="BE796">
        <f>AM796+AU796+BD796</f>
        <v>1</v>
      </c>
      <c r="BG796">
        <v>0</v>
      </c>
      <c r="BJ796" t="s">
        <v>49</v>
      </c>
      <c r="BK796">
        <v>5</v>
      </c>
      <c r="BL796">
        <v>1</v>
      </c>
      <c r="BM796">
        <v>1</v>
      </c>
      <c r="BN796" t="s">
        <v>30</v>
      </c>
      <c r="BO796">
        <v>1</v>
      </c>
      <c r="BP796">
        <v>84</v>
      </c>
      <c r="BQ796">
        <v>0.13</v>
      </c>
      <c r="BR796">
        <v>1</v>
      </c>
      <c r="BS796">
        <v>0.13</v>
      </c>
      <c r="BT796">
        <f>BS796+BD796+AU796+AM796</f>
        <v>1.1299999999999999</v>
      </c>
      <c r="BU796">
        <v>1</v>
      </c>
      <c r="BV796">
        <v>1</v>
      </c>
      <c r="BW796">
        <v>146.5</v>
      </c>
      <c r="BX796">
        <f>BW796/7</f>
        <v>20.928571428571427</v>
      </c>
      <c r="BY796">
        <f>0.77*BX796</f>
        <v>16.114999999999998</v>
      </c>
      <c r="BZ796">
        <f t="shared" si="12"/>
        <v>17.244999999999997</v>
      </c>
    </row>
    <row r="797" spans="1:78">
      <c r="A797" s="1">
        <v>45215.784300219908</v>
      </c>
      <c r="C797">
        <v>796</v>
      </c>
      <c r="D797" s="10">
        <v>33072</v>
      </c>
      <c r="E797">
        <v>33</v>
      </c>
      <c r="F797">
        <v>1</v>
      </c>
      <c r="G797">
        <v>11</v>
      </c>
      <c r="H797">
        <v>4</v>
      </c>
      <c r="I797" s="10">
        <v>45012</v>
      </c>
      <c r="J797">
        <v>4</v>
      </c>
      <c r="K797">
        <v>0</v>
      </c>
      <c r="L797">
        <v>2</v>
      </c>
      <c r="M797">
        <v>3970</v>
      </c>
      <c r="N797">
        <v>2</v>
      </c>
      <c r="O797" s="10">
        <v>44746</v>
      </c>
      <c r="P797">
        <v>0</v>
      </c>
      <c r="Q797">
        <v>38</v>
      </c>
      <c r="R797">
        <v>2</v>
      </c>
      <c r="S797">
        <v>75.5</v>
      </c>
      <c r="T797">
        <v>173</v>
      </c>
      <c r="U797">
        <v>87</v>
      </c>
      <c r="V797">
        <v>11.5</v>
      </c>
      <c r="W797">
        <v>2</v>
      </c>
      <c r="X797">
        <v>25.226369073473887</v>
      </c>
      <c r="Y797">
        <v>29.068796150890439</v>
      </c>
      <c r="Z797">
        <v>3.8424270774165521</v>
      </c>
      <c r="AA797">
        <v>3</v>
      </c>
      <c r="AB797">
        <v>3</v>
      </c>
      <c r="AC797" t="s">
        <v>33</v>
      </c>
      <c r="AD797">
        <v>3</v>
      </c>
      <c r="AE797">
        <v>0</v>
      </c>
      <c r="AG797">
        <v>5</v>
      </c>
      <c r="AH797">
        <v>1</v>
      </c>
      <c r="AI797">
        <v>13</v>
      </c>
      <c r="AJ797">
        <v>1</v>
      </c>
      <c r="AK797">
        <v>7</v>
      </c>
      <c r="AL797">
        <v>1</v>
      </c>
      <c r="AM797">
        <f>AJ797*AK797*AL797/7</f>
        <v>1</v>
      </c>
      <c r="AN797" t="s">
        <v>79</v>
      </c>
      <c r="AO797">
        <v>0</v>
      </c>
      <c r="AV797">
        <f>AU797+AM797</f>
        <v>1</v>
      </c>
      <c r="AX797">
        <v>0</v>
      </c>
      <c r="BE797">
        <f>AM797+AU797+BD797</f>
        <v>1</v>
      </c>
      <c r="BG797">
        <v>0</v>
      </c>
      <c r="BJ797" t="s">
        <v>28</v>
      </c>
      <c r="BK797">
        <v>3</v>
      </c>
      <c r="BL797">
        <v>1</v>
      </c>
      <c r="BM797">
        <v>1</v>
      </c>
      <c r="BN797" t="s">
        <v>482</v>
      </c>
      <c r="BO797">
        <v>13</v>
      </c>
      <c r="BP797">
        <v>90</v>
      </c>
      <c r="BQ797">
        <v>0.05</v>
      </c>
      <c r="BR797">
        <v>2</v>
      </c>
      <c r="BS797">
        <v>0.1</v>
      </c>
      <c r="BT797">
        <f>BS797+BD797+AU797+AM797</f>
        <v>1.1000000000000001</v>
      </c>
      <c r="BU797">
        <v>1</v>
      </c>
      <c r="BV797">
        <v>2</v>
      </c>
      <c r="BW797">
        <v>293</v>
      </c>
      <c r="BX797">
        <f>BW797/7</f>
        <v>41.857142857142854</v>
      </c>
      <c r="BY797">
        <f>0.77*BX797</f>
        <v>32.229999999999997</v>
      </c>
      <c r="BZ797">
        <f t="shared" si="12"/>
        <v>33.33</v>
      </c>
    </row>
    <row r="798" spans="1:78">
      <c r="A798" s="1">
        <v>45215.79359238426</v>
      </c>
      <c r="C798">
        <v>797</v>
      </c>
      <c r="D798" s="10">
        <v>31027</v>
      </c>
      <c r="E798">
        <v>38</v>
      </c>
      <c r="F798">
        <v>1</v>
      </c>
      <c r="G798">
        <v>12</v>
      </c>
      <c r="H798">
        <v>4</v>
      </c>
      <c r="I798" s="10">
        <v>44734</v>
      </c>
      <c r="J798">
        <v>1</v>
      </c>
      <c r="K798">
        <v>1</v>
      </c>
      <c r="L798">
        <v>1</v>
      </c>
      <c r="M798">
        <v>3070</v>
      </c>
      <c r="N798">
        <v>2</v>
      </c>
      <c r="O798" s="10">
        <v>44455</v>
      </c>
      <c r="P798">
        <v>1</v>
      </c>
      <c r="Q798">
        <v>39.857142857142854</v>
      </c>
      <c r="R798">
        <v>2</v>
      </c>
      <c r="S798">
        <v>57</v>
      </c>
      <c r="T798">
        <v>162</v>
      </c>
      <c r="U798">
        <v>72</v>
      </c>
      <c r="V798">
        <v>15</v>
      </c>
      <c r="W798">
        <v>2</v>
      </c>
      <c r="X798">
        <v>21.719250114311837</v>
      </c>
      <c r="Y798">
        <v>27.434842249657059</v>
      </c>
      <c r="Z798">
        <v>5.7155921353452221</v>
      </c>
      <c r="AA798">
        <v>2</v>
      </c>
      <c r="AB798">
        <v>3</v>
      </c>
      <c r="AC798" t="s">
        <v>106</v>
      </c>
      <c r="AD798">
        <v>2</v>
      </c>
      <c r="AE798">
        <v>0</v>
      </c>
      <c r="AG798">
        <v>5</v>
      </c>
      <c r="AH798">
        <v>1</v>
      </c>
      <c r="AI798">
        <v>4</v>
      </c>
      <c r="AJ798">
        <v>1</v>
      </c>
      <c r="AK798">
        <v>7</v>
      </c>
      <c r="AL798">
        <v>1</v>
      </c>
      <c r="AM798">
        <f>AJ798*AK798*AL798/7</f>
        <v>1</v>
      </c>
      <c r="AN798" t="s">
        <v>43</v>
      </c>
      <c r="AO798">
        <v>1</v>
      </c>
      <c r="AP798">
        <v>17</v>
      </c>
      <c r="AQ798" t="s">
        <v>140</v>
      </c>
      <c r="AR798">
        <v>0.6</v>
      </c>
      <c r="AS798">
        <v>7</v>
      </c>
      <c r="AT798">
        <v>1</v>
      </c>
      <c r="AU798">
        <f>AR798*AS798*AT798/7</f>
        <v>0.6</v>
      </c>
      <c r="AV798">
        <f>AU798+AM798</f>
        <v>1.6</v>
      </c>
      <c r="AW798" t="s">
        <v>483</v>
      </c>
      <c r="AX798">
        <v>1</v>
      </c>
      <c r="AY798" t="s">
        <v>71</v>
      </c>
      <c r="AZ798">
        <v>5</v>
      </c>
      <c r="BA798">
        <v>0.4</v>
      </c>
      <c r="BB798">
        <v>7</v>
      </c>
      <c r="BC798">
        <v>1</v>
      </c>
      <c r="BD798">
        <f>BA798*BB798*1/7</f>
        <v>0.4</v>
      </c>
      <c r="BE798">
        <f>AM798+AU798+BD798</f>
        <v>2</v>
      </c>
      <c r="BF798" t="s">
        <v>899</v>
      </c>
      <c r="BG798">
        <v>1</v>
      </c>
      <c r="BH798">
        <v>7</v>
      </c>
      <c r="BI798">
        <v>1</v>
      </c>
      <c r="BJ798" t="s">
        <v>49</v>
      </c>
      <c r="BK798">
        <v>5</v>
      </c>
      <c r="BL798">
        <v>3</v>
      </c>
      <c r="BM798">
        <v>1</v>
      </c>
      <c r="BN798" t="s">
        <v>484</v>
      </c>
      <c r="BO798">
        <v>9</v>
      </c>
      <c r="BP798">
        <v>45</v>
      </c>
      <c r="BQ798">
        <v>0.09</v>
      </c>
      <c r="BR798">
        <v>1</v>
      </c>
      <c r="BS798">
        <v>0.09</v>
      </c>
      <c r="BT798">
        <f>BS798+BD798+AU798+AM798</f>
        <v>2.09</v>
      </c>
      <c r="BU798">
        <v>1</v>
      </c>
      <c r="BV798">
        <v>1</v>
      </c>
      <c r="BW798">
        <v>146.5</v>
      </c>
      <c r="BX798">
        <f>BW798/7</f>
        <v>20.928571428571427</v>
      </c>
      <c r="BY798">
        <f>0.77*BX798</f>
        <v>16.114999999999998</v>
      </c>
      <c r="BZ798">
        <f t="shared" si="12"/>
        <v>18.204999999999998</v>
      </c>
    </row>
    <row r="799" spans="1:78">
      <c r="A799" s="1">
        <v>45215.799514270839</v>
      </c>
      <c r="C799">
        <v>798</v>
      </c>
      <c r="D799" s="10">
        <v>36230</v>
      </c>
      <c r="E799">
        <v>33</v>
      </c>
      <c r="F799">
        <v>1</v>
      </c>
      <c r="G799">
        <v>9</v>
      </c>
      <c r="H799">
        <v>4</v>
      </c>
      <c r="I799" s="10">
        <v>43836</v>
      </c>
      <c r="J799">
        <v>1</v>
      </c>
      <c r="K799">
        <v>1</v>
      </c>
      <c r="L799">
        <v>1</v>
      </c>
      <c r="M799">
        <v>3330</v>
      </c>
      <c r="N799">
        <v>2</v>
      </c>
      <c r="O799" s="10">
        <v>43570</v>
      </c>
      <c r="P799">
        <v>0</v>
      </c>
      <c r="Q799">
        <v>38</v>
      </c>
      <c r="R799">
        <v>2</v>
      </c>
      <c r="S799">
        <v>70</v>
      </c>
      <c r="T799">
        <v>167</v>
      </c>
      <c r="U799">
        <v>80</v>
      </c>
      <c r="V799">
        <v>10</v>
      </c>
      <c r="W799">
        <v>2</v>
      </c>
      <c r="X799">
        <v>25.099501595611173</v>
      </c>
      <c r="Y799">
        <v>28.685144680698485</v>
      </c>
      <c r="Z799">
        <v>3.5856430850873124</v>
      </c>
      <c r="AA799">
        <v>3</v>
      </c>
      <c r="AB799">
        <v>3</v>
      </c>
      <c r="AC799" t="s">
        <v>33</v>
      </c>
      <c r="AD799">
        <v>3</v>
      </c>
      <c r="AE799">
        <v>0</v>
      </c>
      <c r="AG799">
        <v>5</v>
      </c>
      <c r="AH799">
        <v>1</v>
      </c>
      <c r="AI799">
        <v>5</v>
      </c>
      <c r="AJ799">
        <v>5</v>
      </c>
      <c r="AK799">
        <v>7</v>
      </c>
      <c r="AL799">
        <v>1</v>
      </c>
      <c r="AM799">
        <f>AJ799*AK799*AL799/7</f>
        <v>5</v>
      </c>
      <c r="AN799" t="s">
        <v>27</v>
      </c>
      <c r="AO799">
        <v>0</v>
      </c>
      <c r="AV799">
        <f>AU799+AM799</f>
        <v>5</v>
      </c>
      <c r="AX799">
        <v>0</v>
      </c>
      <c r="BE799">
        <f>AM799+AU799+BD799</f>
        <v>5</v>
      </c>
      <c r="BG799">
        <v>0</v>
      </c>
      <c r="BJ799" t="s">
        <v>49</v>
      </c>
      <c r="BK799">
        <v>5</v>
      </c>
      <c r="BL799">
        <v>3</v>
      </c>
      <c r="BM799">
        <v>1</v>
      </c>
      <c r="BN799" t="s">
        <v>30</v>
      </c>
      <c r="BO799">
        <v>1</v>
      </c>
      <c r="BP799">
        <v>42</v>
      </c>
      <c r="BQ799">
        <v>0.13</v>
      </c>
      <c r="BR799">
        <v>0.5</v>
      </c>
      <c r="BS799">
        <v>6.5000000000000002E-2</v>
      </c>
      <c r="BT799">
        <f>BS799+BD799+AU799+AM799</f>
        <v>5.0650000000000004</v>
      </c>
      <c r="BU799">
        <v>1</v>
      </c>
      <c r="BV799">
        <v>1</v>
      </c>
      <c r="BW799">
        <v>146.5</v>
      </c>
      <c r="BX799">
        <f>BW799/7</f>
        <v>20.928571428571427</v>
      </c>
      <c r="BY799">
        <f>0.77*BX799</f>
        <v>16.114999999999998</v>
      </c>
      <c r="BZ799">
        <f t="shared" si="12"/>
        <v>21.18</v>
      </c>
    </row>
    <row r="800" spans="1:78">
      <c r="A800" s="1">
        <v>45215.80179626157</v>
      </c>
      <c r="C800">
        <v>799</v>
      </c>
      <c r="D800" s="10">
        <v>31834</v>
      </c>
      <c r="E800">
        <v>36</v>
      </c>
      <c r="F800">
        <v>1</v>
      </c>
      <c r="G800">
        <v>10</v>
      </c>
      <c r="H800">
        <v>4</v>
      </c>
      <c r="I800" s="10">
        <v>44851</v>
      </c>
      <c r="J800">
        <v>2</v>
      </c>
      <c r="K800">
        <v>0</v>
      </c>
      <c r="L800">
        <v>1</v>
      </c>
      <c r="M800">
        <v>4880</v>
      </c>
      <c r="N800">
        <v>3</v>
      </c>
      <c r="O800" s="10">
        <v>44578</v>
      </c>
      <c r="P800">
        <v>0</v>
      </c>
      <c r="Q800">
        <v>39</v>
      </c>
      <c r="R800">
        <v>2</v>
      </c>
      <c r="S800">
        <v>80</v>
      </c>
      <c r="T800">
        <v>162</v>
      </c>
      <c r="U800">
        <v>94</v>
      </c>
      <c r="V800">
        <v>14</v>
      </c>
      <c r="W800">
        <v>3</v>
      </c>
      <c r="X800">
        <v>30.48315805517451</v>
      </c>
      <c r="Y800">
        <v>35.817710714830049</v>
      </c>
      <c r="Z800">
        <v>5.3345526596555395</v>
      </c>
      <c r="AA800">
        <v>4</v>
      </c>
      <c r="AB800">
        <v>4</v>
      </c>
      <c r="AC800" t="s">
        <v>33</v>
      </c>
      <c r="AD800">
        <v>3</v>
      </c>
      <c r="AE800">
        <v>0</v>
      </c>
      <c r="AG800">
        <v>5</v>
      </c>
      <c r="AH800">
        <v>1</v>
      </c>
      <c r="AI800">
        <v>13</v>
      </c>
      <c r="AJ800">
        <v>1</v>
      </c>
      <c r="AK800">
        <v>7</v>
      </c>
      <c r="AL800">
        <v>1</v>
      </c>
      <c r="AM800">
        <f>AJ800*AK800*AL800/7</f>
        <v>1</v>
      </c>
      <c r="AN800" t="s">
        <v>79</v>
      </c>
      <c r="AO800">
        <v>0</v>
      </c>
      <c r="AV800">
        <f>AU800+AM800</f>
        <v>1</v>
      </c>
      <c r="AX800">
        <v>0</v>
      </c>
      <c r="BE800">
        <f>AM800+AU800+BD800</f>
        <v>1</v>
      </c>
      <c r="BG800">
        <v>0</v>
      </c>
      <c r="BJ800" t="s">
        <v>49</v>
      </c>
      <c r="BK800">
        <v>5</v>
      </c>
      <c r="BL800">
        <v>1</v>
      </c>
      <c r="BM800">
        <v>1</v>
      </c>
      <c r="BN800" t="s">
        <v>55</v>
      </c>
      <c r="BO800">
        <v>2</v>
      </c>
      <c r="BP800">
        <v>67</v>
      </c>
      <c r="BQ800">
        <v>0.1</v>
      </c>
      <c r="BR800">
        <v>1</v>
      </c>
      <c r="BS800">
        <v>0.1</v>
      </c>
      <c r="BT800">
        <f>BS800+BD800+AU800+AM800</f>
        <v>1.1000000000000001</v>
      </c>
      <c r="BU800">
        <v>1</v>
      </c>
      <c r="BV800">
        <v>1</v>
      </c>
      <c r="BW800">
        <v>146.5</v>
      </c>
      <c r="BX800">
        <f>BW800/7</f>
        <v>20.928571428571427</v>
      </c>
      <c r="BY800">
        <f>0.77*BX800</f>
        <v>16.114999999999998</v>
      </c>
      <c r="BZ800">
        <f t="shared" si="12"/>
        <v>17.215</v>
      </c>
    </row>
    <row r="801" spans="1:78">
      <c r="A801" s="1">
        <v>45215.805296840277</v>
      </c>
      <c r="C801">
        <v>800</v>
      </c>
      <c r="D801" s="10">
        <v>32433</v>
      </c>
      <c r="E801">
        <v>35</v>
      </c>
      <c r="F801">
        <v>1</v>
      </c>
      <c r="G801">
        <v>1</v>
      </c>
      <c r="H801">
        <v>2</v>
      </c>
      <c r="I801" s="10">
        <v>44287</v>
      </c>
      <c r="J801">
        <v>2</v>
      </c>
      <c r="K801">
        <v>0</v>
      </c>
      <c r="L801">
        <v>1</v>
      </c>
      <c r="M801">
        <v>4180</v>
      </c>
      <c r="N801">
        <v>3</v>
      </c>
      <c r="O801" s="10">
        <v>44014</v>
      </c>
      <c r="P801">
        <v>1</v>
      </c>
      <c r="Q801">
        <v>39</v>
      </c>
      <c r="R801">
        <v>2</v>
      </c>
      <c r="S801">
        <v>91</v>
      </c>
      <c r="T801">
        <v>168</v>
      </c>
      <c r="U801">
        <v>94</v>
      </c>
      <c r="V801">
        <v>3</v>
      </c>
      <c r="W801">
        <v>1</v>
      </c>
      <c r="X801">
        <v>32.242063492063494</v>
      </c>
      <c r="Y801">
        <v>33.304988662131521</v>
      </c>
      <c r="Z801">
        <v>1.0629251700680271</v>
      </c>
      <c r="AA801">
        <v>4</v>
      </c>
      <c r="AB801">
        <v>4</v>
      </c>
      <c r="AC801" t="s">
        <v>33</v>
      </c>
      <c r="AD801">
        <v>3</v>
      </c>
      <c r="AE801">
        <v>0</v>
      </c>
      <c r="AG801">
        <v>5</v>
      </c>
      <c r="AH801">
        <v>1</v>
      </c>
      <c r="AI801">
        <v>13</v>
      </c>
      <c r="AJ801">
        <v>1</v>
      </c>
      <c r="AK801">
        <v>7</v>
      </c>
      <c r="AL801">
        <v>1</v>
      </c>
      <c r="AM801">
        <f>AJ801*AK801*AL801/7</f>
        <v>1</v>
      </c>
      <c r="AN801" t="s">
        <v>79</v>
      </c>
      <c r="AO801">
        <v>0</v>
      </c>
      <c r="AV801">
        <f>AU801+AM801</f>
        <v>1</v>
      </c>
      <c r="AW801" t="s">
        <v>61</v>
      </c>
      <c r="AX801">
        <v>1</v>
      </c>
      <c r="AY801" t="s">
        <v>61</v>
      </c>
      <c r="AZ801">
        <v>2</v>
      </c>
      <c r="BA801">
        <v>0.27</v>
      </c>
      <c r="BB801">
        <v>7</v>
      </c>
      <c r="BC801">
        <v>1</v>
      </c>
      <c r="BD801">
        <f>BA801*BB801*1/7</f>
        <v>0.27</v>
      </c>
      <c r="BE801">
        <f>AM801+AU801+BD801</f>
        <v>1.27</v>
      </c>
      <c r="BF801" t="s">
        <v>61</v>
      </c>
      <c r="BG801">
        <v>0</v>
      </c>
      <c r="BH801">
        <v>7</v>
      </c>
      <c r="BI801">
        <v>1</v>
      </c>
      <c r="BJ801" t="s">
        <v>49</v>
      </c>
      <c r="BK801">
        <v>5</v>
      </c>
      <c r="BL801">
        <v>3</v>
      </c>
      <c r="BM801">
        <v>1</v>
      </c>
      <c r="BN801" t="s">
        <v>30</v>
      </c>
      <c r="BO801">
        <v>1</v>
      </c>
      <c r="BP801">
        <v>252</v>
      </c>
      <c r="BQ801">
        <v>0.13</v>
      </c>
      <c r="BR801">
        <v>3</v>
      </c>
      <c r="BS801">
        <v>0.39</v>
      </c>
      <c r="BT801">
        <f>BS801+BD801+AU801+AM801</f>
        <v>1.6600000000000001</v>
      </c>
      <c r="BU801">
        <v>1</v>
      </c>
      <c r="BV801">
        <v>1</v>
      </c>
      <c r="BW801">
        <v>146.5</v>
      </c>
      <c r="BX801">
        <f>BW801/7</f>
        <v>20.928571428571427</v>
      </c>
      <c r="BY801">
        <f>0.77*BX801</f>
        <v>16.114999999999998</v>
      </c>
      <c r="BZ801">
        <f t="shared" si="12"/>
        <v>17.774999999999999</v>
      </c>
    </row>
    <row r="802" spans="1:78">
      <c r="A802" s="1">
        <v>45215.815004629629</v>
      </c>
      <c r="C802">
        <v>801</v>
      </c>
      <c r="D802" s="10">
        <v>32725</v>
      </c>
      <c r="E802">
        <v>34</v>
      </c>
      <c r="F802">
        <v>1</v>
      </c>
      <c r="G802">
        <v>1</v>
      </c>
      <c r="H802">
        <v>4</v>
      </c>
      <c r="I802" s="10">
        <v>43453</v>
      </c>
      <c r="J802">
        <v>4</v>
      </c>
      <c r="K802">
        <v>0</v>
      </c>
      <c r="L802">
        <v>1</v>
      </c>
      <c r="M802">
        <v>3500</v>
      </c>
      <c r="N802">
        <v>2</v>
      </c>
      <c r="O802" s="10">
        <v>43180</v>
      </c>
      <c r="P802">
        <v>0</v>
      </c>
      <c r="Q802">
        <v>39</v>
      </c>
      <c r="R802">
        <v>2</v>
      </c>
      <c r="S802">
        <v>80.400000000000006</v>
      </c>
      <c r="T802">
        <v>160</v>
      </c>
      <c r="U802">
        <v>98</v>
      </c>
      <c r="V802">
        <v>17.599999999999994</v>
      </c>
      <c r="W802">
        <v>3</v>
      </c>
      <c r="X802">
        <v>31.406249999999996</v>
      </c>
      <c r="Y802">
        <v>38.281249999999993</v>
      </c>
      <c r="Z802">
        <v>6.8749999999999964</v>
      </c>
      <c r="AA802">
        <v>4</v>
      </c>
      <c r="AB802">
        <v>4</v>
      </c>
      <c r="AC802" t="s">
        <v>33</v>
      </c>
      <c r="AD802">
        <v>3</v>
      </c>
      <c r="AE802">
        <v>0</v>
      </c>
      <c r="AG802">
        <v>5</v>
      </c>
      <c r="AH802">
        <v>1</v>
      </c>
      <c r="AI802">
        <v>13</v>
      </c>
      <c r="AJ802">
        <v>1</v>
      </c>
      <c r="AK802">
        <v>7</v>
      </c>
      <c r="AL802">
        <v>1</v>
      </c>
      <c r="AM802">
        <f>AJ802*AK802*AL802/7</f>
        <v>1</v>
      </c>
      <c r="AN802" t="s">
        <v>79</v>
      </c>
      <c r="AO802">
        <v>0</v>
      </c>
      <c r="AV802">
        <f>AU802+AM802</f>
        <v>1</v>
      </c>
      <c r="AX802">
        <v>0</v>
      </c>
      <c r="BE802">
        <f>AM802+AU802+BD802</f>
        <v>1</v>
      </c>
      <c r="BG802">
        <v>0</v>
      </c>
      <c r="BJ802" t="s">
        <v>49</v>
      </c>
      <c r="BK802">
        <v>5</v>
      </c>
      <c r="BL802">
        <v>1</v>
      </c>
      <c r="BM802">
        <v>1</v>
      </c>
      <c r="BN802" t="s">
        <v>63</v>
      </c>
      <c r="BO802">
        <v>5</v>
      </c>
      <c r="BP802">
        <v>96</v>
      </c>
      <c r="BQ802">
        <v>0.06</v>
      </c>
      <c r="BR802">
        <v>2</v>
      </c>
      <c r="BS802">
        <v>0.12</v>
      </c>
      <c r="BT802">
        <f>BS802+BD802+AU802+AM802</f>
        <v>1.1200000000000001</v>
      </c>
      <c r="BU802">
        <v>1</v>
      </c>
      <c r="BV802">
        <v>1</v>
      </c>
      <c r="BW802">
        <v>146.5</v>
      </c>
      <c r="BX802">
        <f>BW802/7</f>
        <v>20.928571428571427</v>
      </c>
      <c r="BY802">
        <f>0.77*BX802</f>
        <v>16.114999999999998</v>
      </c>
      <c r="BZ802">
        <f t="shared" si="12"/>
        <v>17.234999999999999</v>
      </c>
    </row>
    <row r="803" spans="1:78">
      <c r="A803" s="1">
        <v>45215.822987013889</v>
      </c>
      <c r="B803" t="s">
        <v>1016</v>
      </c>
      <c r="C803">
        <v>802</v>
      </c>
      <c r="D803" s="10">
        <v>32389</v>
      </c>
      <c r="E803">
        <v>35</v>
      </c>
      <c r="F803">
        <v>1</v>
      </c>
      <c r="G803">
        <v>1</v>
      </c>
      <c r="H803">
        <v>4</v>
      </c>
      <c r="I803" s="10">
        <v>44812</v>
      </c>
      <c r="J803">
        <v>4</v>
      </c>
      <c r="K803">
        <v>0</v>
      </c>
      <c r="L803">
        <v>2</v>
      </c>
      <c r="M803">
        <v>3700</v>
      </c>
      <c r="N803">
        <v>2</v>
      </c>
      <c r="O803" s="10">
        <v>44546</v>
      </c>
      <c r="P803">
        <v>0</v>
      </c>
      <c r="Q803">
        <v>38</v>
      </c>
      <c r="R803">
        <v>2</v>
      </c>
      <c r="S803">
        <v>170</v>
      </c>
      <c r="T803">
        <v>168</v>
      </c>
      <c r="U803">
        <v>150</v>
      </c>
      <c r="V803">
        <v>-20</v>
      </c>
      <c r="W803">
        <v>1</v>
      </c>
      <c r="X803">
        <v>60.232426303854886</v>
      </c>
      <c r="Y803">
        <v>53.14625850340137</v>
      </c>
      <c r="Z803">
        <v>-7.0861678004535165</v>
      </c>
      <c r="AA803">
        <v>4</v>
      </c>
      <c r="AB803">
        <v>4</v>
      </c>
      <c r="AC803" t="s">
        <v>33</v>
      </c>
      <c r="AD803">
        <v>3</v>
      </c>
      <c r="AE803">
        <v>0</v>
      </c>
      <c r="AG803">
        <v>5</v>
      </c>
      <c r="AH803">
        <v>1</v>
      </c>
      <c r="AI803">
        <v>13</v>
      </c>
      <c r="AJ803">
        <v>1</v>
      </c>
      <c r="AK803">
        <v>3</v>
      </c>
      <c r="AL803">
        <v>1</v>
      </c>
      <c r="AM803">
        <f>AJ803*AK803*AL803/7</f>
        <v>0.42857142857142855</v>
      </c>
      <c r="AN803" t="s">
        <v>79</v>
      </c>
      <c r="AO803">
        <v>0</v>
      </c>
      <c r="AV803">
        <f>AU803+AM803</f>
        <v>0.42857142857142855</v>
      </c>
      <c r="AX803">
        <v>0</v>
      </c>
      <c r="BE803">
        <f>AM803+AU803+BD803</f>
        <v>0.42857142857142855</v>
      </c>
      <c r="BG803">
        <v>0</v>
      </c>
      <c r="BJ803" t="s">
        <v>49</v>
      </c>
      <c r="BK803">
        <v>5</v>
      </c>
      <c r="BL803">
        <v>1</v>
      </c>
      <c r="BM803">
        <v>1</v>
      </c>
      <c r="BN803" t="s">
        <v>30</v>
      </c>
      <c r="BO803">
        <v>1</v>
      </c>
      <c r="BP803">
        <v>168</v>
      </c>
      <c r="BQ803">
        <v>0.13</v>
      </c>
      <c r="BR803">
        <v>2</v>
      </c>
      <c r="BS803">
        <v>0.26</v>
      </c>
      <c r="BT803">
        <f>BS803+BD803+AU803+AM803</f>
        <v>0.68857142857142861</v>
      </c>
      <c r="BU803">
        <v>1</v>
      </c>
      <c r="BV803">
        <v>2</v>
      </c>
      <c r="BW803">
        <v>293</v>
      </c>
      <c r="BX803">
        <f>BW803/7</f>
        <v>41.857142857142854</v>
      </c>
      <c r="BY803">
        <f>0.77*BX803</f>
        <v>32.229999999999997</v>
      </c>
      <c r="BZ803">
        <f t="shared" si="12"/>
        <v>32.918571428571425</v>
      </c>
    </row>
    <row r="804" spans="1:78">
      <c r="A804" s="1">
        <v>45215.849118773149</v>
      </c>
      <c r="C804">
        <v>803</v>
      </c>
      <c r="D804" s="10">
        <v>35596</v>
      </c>
      <c r="E804">
        <v>26</v>
      </c>
      <c r="F804">
        <v>1</v>
      </c>
      <c r="G804">
        <v>10</v>
      </c>
      <c r="H804">
        <v>1</v>
      </c>
      <c r="I804" s="10">
        <v>44080</v>
      </c>
      <c r="J804">
        <v>3</v>
      </c>
      <c r="K804">
        <v>0</v>
      </c>
      <c r="L804">
        <v>1</v>
      </c>
      <c r="M804">
        <v>4225</v>
      </c>
      <c r="N804">
        <v>3</v>
      </c>
      <c r="O804" s="10">
        <v>43807</v>
      </c>
      <c r="P804">
        <v>0</v>
      </c>
      <c r="Q804">
        <v>39</v>
      </c>
      <c r="R804">
        <v>2</v>
      </c>
      <c r="S804">
        <v>103</v>
      </c>
      <c r="T804">
        <v>155</v>
      </c>
      <c r="U804">
        <v>103</v>
      </c>
      <c r="V804">
        <v>0</v>
      </c>
      <c r="W804">
        <v>1</v>
      </c>
      <c r="X804">
        <v>42.872008324661806</v>
      </c>
      <c r="Y804">
        <v>42.872008324661806</v>
      </c>
      <c r="Z804">
        <v>0</v>
      </c>
      <c r="AA804">
        <v>4</v>
      </c>
      <c r="AB804">
        <v>4</v>
      </c>
      <c r="AC804" t="s">
        <v>33</v>
      </c>
      <c r="AD804">
        <v>3</v>
      </c>
      <c r="AE804">
        <v>0</v>
      </c>
      <c r="AG804">
        <v>5</v>
      </c>
      <c r="AH804">
        <v>1</v>
      </c>
      <c r="AI804">
        <v>2</v>
      </c>
      <c r="AJ804">
        <v>5</v>
      </c>
      <c r="AK804">
        <v>7</v>
      </c>
      <c r="AL804">
        <v>1</v>
      </c>
      <c r="AM804">
        <f>AJ804*AK804*AL804/7</f>
        <v>5</v>
      </c>
      <c r="AN804" t="s">
        <v>57</v>
      </c>
      <c r="AO804">
        <v>0</v>
      </c>
      <c r="AV804">
        <f>AU804+AM804</f>
        <v>5</v>
      </c>
      <c r="AX804">
        <v>0</v>
      </c>
      <c r="BE804">
        <f>AM804+AU804+BD804</f>
        <v>5</v>
      </c>
      <c r="BG804">
        <v>0</v>
      </c>
      <c r="BJ804" t="s">
        <v>42</v>
      </c>
      <c r="BK804">
        <v>6</v>
      </c>
      <c r="BL804">
        <v>1</v>
      </c>
      <c r="BM804">
        <v>1</v>
      </c>
      <c r="BN804" t="s">
        <v>55</v>
      </c>
      <c r="BO804">
        <v>2</v>
      </c>
      <c r="BP804">
        <v>201</v>
      </c>
      <c r="BQ804">
        <v>0.1</v>
      </c>
      <c r="BR804">
        <v>3</v>
      </c>
      <c r="BS804">
        <v>0.30000000000000004</v>
      </c>
      <c r="BT804">
        <f>BS804+BD804+AU804+AM804</f>
        <v>5.3</v>
      </c>
      <c r="BU804">
        <v>1</v>
      </c>
      <c r="BV804">
        <v>2</v>
      </c>
      <c r="BW804">
        <v>293</v>
      </c>
      <c r="BX804">
        <f>BW804/7</f>
        <v>41.857142857142854</v>
      </c>
      <c r="BY804">
        <f>0.77*BX804</f>
        <v>32.229999999999997</v>
      </c>
      <c r="BZ804">
        <f t="shared" si="12"/>
        <v>37.529999999999994</v>
      </c>
    </row>
    <row r="805" spans="1:78">
      <c r="A805" s="1">
        <v>45215.852155659726</v>
      </c>
      <c r="C805">
        <v>804</v>
      </c>
      <c r="D805" s="10">
        <v>31162</v>
      </c>
      <c r="E805">
        <v>38</v>
      </c>
      <c r="F805">
        <v>1</v>
      </c>
      <c r="G805">
        <v>9</v>
      </c>
      <c r="H805">
        <v>5</v>
      </c>
      <c r="I805" s="10">
        <v>43133</v>
      </c>
      <c r="J805">
        <v>2</v>
      </c>
      <c r="K805">
        <v>0</v>
      </c>
      <c r="L805">
        <v>1</v>
      </c>
      <c r="M805">
        <v>3625</v>
      </c>
      <c r="N805">
        <v>2</v>
      </c>
      <c r="O805" s="10">
        <v>42853</v>
      </c>
      <c r="P805">
        <v>0</v>
      </c>
      <c r="Q805">
        <v>40</v>
      </c>
      <c r="R805">
        <v>2</v>
      </c>
      <c r="S805">
        <v>65</v>
      </c>
      <c r="T805">
        <v>160</v>
      </c>
      <c r="U805">
        <v>84</v>
      </c>
      <c r="V805">
        <v>19</v>
      </c>
      <c r="W805">
        <v>3</v>
      </c>
      <c r="X805">
        <v>25.390624999999996</v>
      </c>
      <c r="Y805">
        <v>32.812499999999993</v>
      </c>
      <c r="Z805">
        <v>7.4218749999999964</v>
      </c>
      <c r="AA805">
        <v>3</v>
      </c>
      <c r="AB805">
        <v>4</v>
      </c>
      <c r="AC805" t="s">
        <v>33</v>
      </c>
      <c r="AD805">
        <v>3</v>
      </c>
      <c r="AE805">
        <v>0</v>
      </c>
      <c r="AG805">
        <v>5</v>
      </c>
      <c r="AH805">
        <v>0</v>
      </c>
      <c r="AI805">
        <v>0</v>
      </c>
      <c r="AN805" t="s">
        <v>41</v>
      </c>
      <c r="AO805">
        <v>0</v>
      </c>
      <c r="AW805" t="s">
        <v>58</v>
      </c>
      <c r="AX805">
        <v>1</v>
      </c>
      <c r="AY805" t="s">
        <v>58</v>
      </c>
      <c r="AZ805">
        <v>1</v>
      </c>
      <c r="BA805">
        <v>0.8</v>
      </c>
      <c r="BB805">
        <v>7</v>
      </c>
      <c r="BC805">
        <v>1</v>
      </c>
      <c r="BD805">
        <f>BA805*BB805*1/7</f>
        <v>0.8</v>
      </c>
      <c r="BE805">
        <f>AM805+AU805+BD805</f>
        <v>0.8</v>
      </c>
      <c r="BF805" t="s">
        <v>58</v>
      </c>
      <c r="BG805">
        <v>0</v>
      </c>
      <c r="BH805">
        <v>7</v>
      </c>
      <c r="BI805">
        <v>1</v>
      </c>
      <c r="BJ805" t="s">
        <v>49</v>
      </c>
      <c r="BK805">
        <v>5</v>
      </c>
      <c r="BL805">
        <v>3</v>
      </c>
      <c r="BM805">
        <v>1</v>
      </c>
      <c r="BN805" t="s">
        <v>37</v>
      </c>
      <c r="BO805">
        <v>4</v>
      </c>
      <c r="BP805">
        <v>55</v>
      </c>
      <c r="BQ805">
        <v>0.05</v>
      </c>
      <c r="BR805">
        <v>1</v>
      </c>
      <c r="BS805">
        <v>0.05</v>
      </c>
      <c r="BT805">
        <f>BS805+BD805+AU805+AM805</f>
        <v>0.85000000000000009</v>
      </c>
      <c r="BU805">
        <v>1</v>
      </c>
      <c r="BV805">
        <v>1</v>
      </c>
      <c r="BW805">
        <v>146.5</v>
      </c>
      <c r="BX805">
        <f>BW805/7</f>
        <v>20.928571428571427</v>
      </c>
      <c r="BY805">
        <f>0.77*BX805</f>
        <v>16.114999999999998</v>
      </c>
      <c r="BZ805">
        <f t="shared" si="12"/>
        <v>16.965</v>
      </c>
    </row>
    <row r="806" spans="1:78">
      <c r="A806" s="1">
        <v>45215.852746157412</v>
      </c>
      <c r="C806">
        <v>805</v>
      </c>
      <c r="D806" s="10">
        <v>34801</v>
      </c>
      <c r="E806">
        <v>28</v>
      </c>
      <c r="F806">
        <v>1</v>
      </c>
      <c r="G806">
        <v>3</v>
      </c>
      <c r="H806">
        <v>3</v>
      </c>
      <c r="I806" s="10">
        <v>44324</v>
      </c>
      <c r="J806">
        <v>1</v>
      </c>
      <c r="K806">
        <v>1</v>
      </c>
      <c r="L806">
        <v>2</v>
      </c>
      <c r="M806">
        <v>3330</v>
      </c>
      <c r="N806">
        <v>2</v>
      </c>
      <c r="O806" s="10">
        <v>44065</v>
      </c>
      <c r="P806">
        <v>1</v>
      </c>
      <c r="Q806">
        <v>37</v>
      </c>
      <c r="R806">
        <v>2</v>
      </c>
      <c r="S806">
        <v>68</v>
      </c>
      <c r="T806">
        <v>160</v>
      </c>
      <c r="U806">
        <v>75</v>
      </c>
      <c r="V806">
        <v>7</v>
      </c>
      <c r="W806">
        <v>2</v>
      </c>
      <c r="X806">
        <v>26.562499999999996</v>
      </c>
      <c r="Y806">
        <v>29.296874999999993</v>
      </c>
      <c r="Z806">
        <v>2.7343749999999964</v>
      </c>
      <c r="AA806">
        <v>3</v>
      </c>
      <c r="AB806">
        <v>3</v>
      </c>
      <c r="AC806" t="s">
        <v>33</v>
      </c>
      <c r="AD806">
        <v>3</v>
      </c>
      <c r="AE806">
        <v>0</v>
      </c>
      <c r="AG806">
        <v>5</v>
      </c>
      <c r="AH806">
        <v>1</v>
      </c>
      <c r="AI806">
        <v>13</v>
      </c>
      <c r="AJ806">
        <v>1</v>
      </c>
      <c r="AK806">
        <v>7</v>
      </c>
      <c r="AL806">
        <v>1</v>
      </c>
      <c r="AM806">
        <f>AJ806*AK806*AL806/7</f>
        <v>1</v>
      </c>
      <c r="AN806" t="s">
        <v>79</v>
      </c>
      <c r="AO806">
        <v>0</v>
      </c>
      <c r="AV806">
        <f>AU806+AM806</f>
        <v>1</v>
      </c>
      <c r="AX806">
        <v>0</v>
      </c>
      <c r="BE806">
        <f>AM806+AU806+BD806</f>
        <v>1</v>
      </c>
      <c r="BG806">
        <v>0</v>
      </c>
      <c r="BJ806" t="s">
        <v>49</v>
      </c>
      <c r="BK806">
        <v>5</v>
      </c>
      <c r="BL806">
        <v>3</v>
      </c>
      <c r="BM806">
        <v>1</v>
      </c>
      <c r="BN806" t="s">
        <v>55</v>
      </c>
      <c r="BO806">
        <v>2</v>
      </c>
      <c r="BP806">
        <v>67</v>
      </c>
      <c r="BQ806">
        <v>0.1</v>
      </c>
      <c r="BR806">
        <v>1</v>
      </c>
      <c r="BS806">
        <v>0.1</v>
      </c>
      <c r="BT806">
        <f>BS806+BD806+AU806+AM806</f>
        <v>1.1000000000000001</v>
      </c>
      <c r="BU806">
        <v>1</v>
      </c>
      <c r="BV806">
        <v>1</v>
      </c>
      <c r="BW806">
        <v>146.5</v>
      </c>
      <c r="BX806">
        <f>BW806/7</f>
        <v>20.928571428571427</v>
      </c>
      <c r="BY806">
        <f>0.77*BX806</f>
        <v>16.114999999999998</v>
      </c>
      <c r="BZ806">
        <f t="shared" si="12"/>
        <v>17.215</v>
      </c>
    </row>
    <row r="807" spans="1:78">
      <c r="A807" s="1">
        <v>45215.885400266205</v>
      </c>
      <c r="B807" t="s">
        <v>865</v>
      </c>
      <c r="C807">
        <v>806</v>
      </c>
      <c r="D807" s="10">
        <v>31373</v>
      </c>
      <c r="E807">
        <v>37</v>
      </c>
      <c r="F807">
        <v>1</v>
      </c>
      <c r="G807">
        <v>1</v>
      </c>
      <c r="H807">
        <v>4</v>
      </c>
      <c r="I807" s="10">
        <v>43622</v>
      </c>
      <c r="J807">
        <v>1</v>
      </c>
      <c r="K807">
        <v>1</v>
      </c>
      <c r="L807">
        <v>2</v>
      </c>
      <c r="M807">
        <v>2885</v>
      </c>
      <c r="N807">
        <v>2</v>
      </c>
      <c r="O807" s="10">
        <v>43343</v>
      </c>
      <c r="P807">
        <v>0</v>
      </c>
      <c r="Q807">
        <v>39.857142857142854</v>
      </c>
      <c r="R807">
        <v>2</v>
      </c>
      <c r="S807">
        <v>60</v>
      </c>
      <c r="T807">
        <v>165</v>
      </c>
      <c r="U807">
        <v>72</v>
      </c>
      <c r="V807">
        <v>12</v>
      </c>
      <c r="W807">
        <v>2</v>
      </c>
      <c r="X807">
        <v>22.03856749311295</v>
      </c>
      <c r="Y807">
        <v>26.446280991735541</v>
      </c>
      <c r="Z807">
        <v>4.4077134986225914</v>
      </c>
      <c r="AA807">
        <v>2</v>
      </c>
      <c r="AB807">
        <v>3</v>
      </c>
      <c r="AC807" t="s">
        <v>33</v>
      </c>
      <c r="AD807">
        <v>3</v>
      </c>
      <c r="AE807">
        <v>0</v>
      </c>
      <c r="AG807">
        <v>5</v>
      </c>
      <c r="AH807">
        <v>1</v>
      </c>
      <c r="AI807">
        <v>1</v>
      </c>
      <c r="AJ807">
        <v>1</v>
      </c>
      <c r="AK807">
        <v>7</v>
      </c>
      <c r="AL807">
        <v>1</v>
      </c>
      <c r="AM807">
        <f>AJ807*AK807*AL807/7</f>
        <v>1</v>
      </c>
      <c r="AN807" t="s">
        <v>56</v>
      </c>
      <c r="AO807">
        <v>0</v>
      </c>
      <c r="AV807">
        <f>AU807+AM807</f>
        <v>1</v>
      </c>
      <c r="AW807" t="s">
        <v>843</v>
      </c>
      <c r="AX807">
        <v>1</v>
      </c>
      <c r="AY807" t="s">
        <v>843</v>
      </c>
      <c r="AZ807">
        <v>16</v>
      </c>
      <c r="BA807" t="s">
        <v>258</v>
      </c>
      <c r="BB807">
        <v>7</v>
      </c>
      <c r="BC807">
        <v>2</v>
      </c>
      <c r="BE807">
        <f>AM807+AU807+BD807</f>
        <v>1</v>
      </c>
      <c r="BF807" t="s">
        <v>843</v>
      </c>
      <c r="BG807" t="s">
        <v>258</v>
      </c>
      <c r="BH807">
        <v>7</v>
      </c>
      <c r="BI807">
        <v>2</v>
      </c>
      <c r="BJ807" t="s">
        <v>28</v>
      </c>
      <c r="BK807">
        <v>3</v>
      </c>
      <c r="BL807">
        <v>1</v>
      </c>
      <c r="BM807">
        <v>1</v>
      </c>
      <c r="BN807" t="s">
        <v>59</v>
      </c>
      <c r="BO807">
        <v>3</v>
      </c>
      <c r="BP807">
        <v>28</v>
      </c>
      <c r="BQ807">
        <v>0.08</v>
      </c>
      <c r="BR807">
        <v>0.5</v>
      </c>
      <c r="BS807">
        <v>0.04</v>
      </c>
      <c r="BT807">
        <f>BS807+BD807+AU807+AM807</f>
        <v>1.04</v>
      </c>
      <c r="BU807">
        <v>1</v>
      </c>
      <c r="BV807">
        <v>2</v>
      </c>
      <c r="BW807">
        <v>293</v>
      </c>
      <c r="BX807">
        <f>BW807/7</f>
        <v>41.857142857142854</v>
      </c>
      <c r="BY807">
        <f>0.77*BX807</f>
        <v>32.229999999999997</v>
      </c>
      <c r="BZ807">
        <f t="shared" si="12"/>
        <v>33.269999999999996</v>
      </c>
    </row>
    <row r="808" spans="1:78">
      <c r="A808" s="1">
        <v>45215.892187314814</v>
      </c>
      <c r="C808">
        <v>807</v>
      </c>
      <c r="D808" s="10">
        <v>35081</v>
      </c>
      <c r="E808">
        <v>27</v>
      </c>
      <c r="F808">
        <v>1</v>
      </c>
      <c r="G808">
        <v>1</v>
      </c>
      <c r="H808">
        <v>4</v>
      </c>
      <c r="I808" s="10">
        <v>44527</v>
      </c>
      <c r="J808">
        <v>2</v>
      </c>
      <c r="K808">
        <v>0</v>
      </c>
      <c r="L808">
        <v>2</v>
      </c>
      <c r="M808">
        <v>3690</v>
      </c>
      <c r="N808">
        <v>2</v>
      </c>
      <c r="O808" s="10">
        <v>44247</v>
      </c>
      <c r="P808">
        <v>1</v>
      </c>
      <c r="Q808">
        <v>40</v>
      </c>
      <c r="R808">
        <v>2</v>
      </c>
      <c r="S808">
        <v>67</v>
      </c>
      <c r="T808">
        <v>166</v>
      </c>
      <c r="U808">
        <v>84</v>
      </c>
      <c r="V808">
        <v>17</v>
      </c>
      <c r="W808">
        <v>3</v>
      </c>
      <c r="X808">
        <v>24.314123965742489</v>
      </c>
      <c r="Y808">
        <v>30.483379300333869</v>
      </c>
      <c r="Z808">
        <v>6.1692553345913801</v>
      </c>
      <c r="AA808">
        <v>2</v>
      </c>
      <c r="AB808">
        <v>4</v>
      </c>
      <c r="AC808" t="s">
        <v>33</v>
      </c>
      <c r="AD808">
        <v>3</v>
      </c>
      <c r="AE808">
        <v>0</v>
      </c>
      <c r="AG808">
        <v>5</v>
      </c>
      <c r="AH808">
        <v>1</v>
      </c>
      <c r="AI808">
        <v>5</v>
      </c>
      <c r="AJ808">
        <v>5</v>
      </c>
      <c r="AK808">
        <v>7</v>
      </c>
      <c r="AL808">
        <v>1</v>
      </c>
      <c r="AM808">
        <f>AJ808*AK808*AL808/7</f>
        <v>5</v>
      </c>
      <c r="AN808" t="s">
        <v>27</v>
      </c>
      <c r="AO808">
        <v>0</v>
      </c>
      <c r="AV808">
        <f>AU808+AM808</f>
        <v>5</v>
      </c>
      <c r="AW808" t="s">
        <v>58</v>
      </c>
      <c r="AX808">
        <v>1</v>
      </c>
      <c r="AY808" t="s">
        <v>58</v>
      </c>
      <c r="AZ808">
        <v>1</v>
      </c>
      <c r="BA808">
        <v>0.8</v>
      </c>
      <c r="BB808">
        <v>7</v>
      </c>
      <c r="BC808">
        <v>1</v>
      </c>
      <c r="BD808">
        <f>BA808*BB808*1/7</f>
        <v>0.8</v>
      </c>
      <c r="BE808">
        <f>AM808+AU808+BD808</f>
        <v>5.8</v>
      </c>
      <c r="BF808" t="s">
        <v>58</v>
      </c>
      <c r="BG808">
        <v>0</v>
      </c>
      <c r="BH808">
        <v>7</v>
      </c>
      <c r="BI808">
        <v>1</v>
      </c>
      <c r="BJ808" t="s">
        <v>42</v>
      </c>
      <c r="BK808">
        <v>6</v>
      </c>
      <c r="BL808">
        <v>1</v>
      </c>
      <c r="BM808">
        <v>1</v>
      </c>
      <c r="BN808" t="s">
        <v>30</v>
      </c>
      <c r="BO808">
        <v>1</v>
      </c>
      <c r="BP808">
        <v>168</v>
      </c>
      <c r="BQ808">
        <v>0.13</v>
      </c>
      <c r="BR808">
        <v>2</v>
      </c>
      <c r="BS808">
        <v>0.26</v>
      </c>
      <c r="BT808">
        <f>BS808+BD808+AU808+AM808</f>
        <v>6.0600000000000005</v>
      </c>
      <c r="BU808">
        <v>1</v>
      </c>
      <c r="BV808">
        <v>1</v>
      </c>
      <c r="BW808">
        <v>146.5</v>
      </c>
      <c r="BX808">
        <f>BW808/7</f>
        <v>20.928571428571427</v>
      </c>
      <c r="BY808">
        <f>0.77*BX808</f>
        <v>16.114999999999998</v>
      </c>
      <c r="BZ808">
        <f t="shared" si="12"/>
        <v>22.174999999999997</v>
      </c>
    </row>
    <row r="809" spans="1:78">
      <c r="A809" s="1">
        <v>45215.893045648147</v>
      </c>
      <c r="C809">
        <v>808</v>
      </c>
      <c r="D809" s="10">
        <v>34694</v>
      </c>
      <c r="E809">
        <v>28</v>
      </c>
      <c r="F809">
        <v>1</v>
      </c>
      <c r="G809">
        <v>6</v>
      </c>
      <c r="H809">
        <v>4</v>
      </c>
      <c r="I809" s="10">
        <v>44490</v>
      </c>
      <c r="J809">
        <v>1</v>
      </c>
      <c r="K809">
        <v>1</v>
      </c>
      <c r="L809">
        <v>1</v>
      </c>
      <c r="M809">
        <v>4480</v>
      </c>
      <c r="N809">
        <v>3</v>
      </c>
      <c r="O809" s="10">
        <v>44201</v>
      </c>
      <c r="P809">
        <v>1</v>
      </c>
      <c r="Q809">
        <v>41.285714285714285</v>
      </c>
      <c r="R809">
        <v>2</v>
      </c>
      <c r="S809">
        <v>62</v>
      </c>
      <c r="T809">
        <v>164</v>
      </c>
      <c r="U809">
        <v>78</v>
      </c>
      <c r="V809">
        <v>16</v>
      </c>
      <c r="W809">
        <v>2</v>
      </c>
      <c r="X809">
        <v>23.051754907792983</v>
      </c>
      <c r="Y809">
        <v>29.000594883997625</v>
      </c>
      <c r="Z809">
        <v>5.948839976204642</v>
      </c>
      <c r="AA809">
        <v>2</v>
      </c>
      <c r="AB809">
        <v>3</v>
      </c>
      <c r="AC809" t="s">
        <v>50</v>
      </c>
      <c r="AD809">
        <v>2</v>
      </c>
      <c r="AE809">
        <v>1</v>
      </c>
      <c r="AF809" t="s">
        <v>487</v>
      </c>
      <c r="AG809">
        <v>4</v>
      </c>
      <c r="AH809">
        <v>1</v>
      </c>
      <c r="AI809">
        <v>13</v>
      </c>
      <c r="AJ809">
        <v>1</v>
      </c>
      <c r="AK809">
        <v>4</v>
      </c>
      <c r="AL809">
        <v>1</v>
      </c>
      <c r="AM809">
        <f>AJ809*AK809*AL809/7</f>
        <v>0.5714285714285714</v>
      </c>
      <c r="AN809" t="s">
        <v>79</v>
      </c>
      <c r="AO809">
        <v>0</v>
      </c>
      <c r="AV809">
        <f>AU809+AM809</f>
        <v>0.5714285714285714</v>
      </c>
      <c r="AX809">
        <v>0</v>
      </c>
      <c r="BE809">
        <f>AM809+AU809+BD809</f>
        <v>0.5714285714285714</v>
      </c>
      <c r="BG809">
        <v>0</v>
      </c>
      <c r="BJ809" t="s">
        <v>49</v>
      </c>
      <c r="BK809">
        <v>5</v>
      </c>
      <c r="BL809">
        <v>1</v>
      </c>
      <c r="BM809">
        <v>1</v>
      </c>
      <c r="BN809" t="s">
        <v>55</v>
      </c>
      <c r="BO809">
        <v>2</v>
      </c>
      <c r="BP809">
        <v>67</v>
      </c>
      <c r="BQ809">
        <v>0.1</v>
      </c>
      <c r="BR809">
        <v>1</v>
      </c>
      <c r="BS809">
        <v>0.1</v>
      </c>
      <c r="BT809">
        <f>BS809+BD809+AU809+AM809</f>
        <v>0.67142857142857137</v>
      </c>
      <c r="BU809">
        <v>1</v>
      </c>
      <c r="BV809">
        <v>3</v>
      </c>
      <c r="BW809">
        <v>439.5</v>
      </c>
      <c r="BX809">
        <f>BW809/7</f>
        <v>62.785714285714285</v>
      </c>
      <c r="BY809">
        <f>0.77*BX809</f>
        <v>48.344999999999999</v>
      </c>
      <c r="BZ809">
        <f t="shared" si="12"/>
        <v>49.01642857142857</v>
      </c>
    </row>
    <row r="810" spans="1:78">
      <c r="A810" s="1">
        <v>45215.894337430553</v>
      </c>
      <c r="C810">
        <v>809</v>
      </c>
      <c r="D810" s="10">
        <v>29573</v>
      </c>
      <c r="E810">
        <v>42</v>
      </c>
      <c r="F810">
        <v>1</v>
      </c>
      <c r="G810">
        <v>1</v>
      </c>
      <c r="H810">
        <v>5</v>
      </c>
      <c r="I810" s="10">
        <v>44341</v>
      </c>
      <c r="J810">
        <v>1</v>
      </c>
      <c r="K810">
        <v>1</v>
      </c>
      <c r="L810">
        <v>1</v>
      </c>
      <c r="M810">
        <v>3405</v>
      </c>
      <c r="N810">
        <v>2</v>
      </c>
      <c r="O810" s="10">
        <v>44068</v>
      </c>
      <c r="P810">
        <v>1</v>
      </c>
      <c r="Q810">
        <v>39</v>
      </c>
      <c r="R810">
        <v>2</v>
      </c>
      <c r="S810">
        <v>50</v>
      </c>
      <c r="T810">
        <v>157</v>
      </c>
      <c r="U810">
        <v>59</v>
      </c>
      <c r="V810">
        <v>9</v>
      </c>
      <c r="W810">
        <v>1</v>
      </c>
      <c r="X810">
        <v>20.28479857195018</v>
      </c>
      <c r="Y810">
        <v>23.936062314901211</v>
      </c>
      <c r="Z810">
        <v>3.6512637429510306</v>
      </c>
      <c r="AA810">
        <v>2</v>
      </c>
      <c r="AB810">
        <v>2</v>
      </c>
      <c r="AC810" t="s">
        <v>33</v>
      </c>
      <c r="AD810">
        <v>3</v>
      </c>
      <c r="AE810">
        <v>0</v>
      </c>
      <c r="AG810">
        <v>5</v>
      </c>
      <c r="AH810">
        <v>1</v>
      </c>
      <c r="AI810">
        <v>5</v>
      </c>
      <c r="AJ810">
        <v>5</v>
      </c>
      <c r="AK810">
        <v>7</v>
      </c>
      <c r="AL810">
        <v>1</v>
      </c>
      <c r="AM810">
        <f>AJ810*AK810*AL810/7</f>
        <v>5</v>
      </c>
      <c r="AN810" t="s">
        <v>27</v>
      </c>
      <c r="AO810">
        <v>0</v>
      </c>
      <c r="AV810">
        <f>AU810+AM810</f>
        <v>5</v>
      </c>
      <c r="AX810">
        <v>0</v>
      </c>
      <c r="BE810">
        <f>AM810+AU810+BD810</f>
        <v>5</v>
      </c>
      <c r="BG810">
        <v>0</v>
      </c>
      <c r="BJ810" t="s">
        <v>49</v>
      </c>
      <c r="BK810">
        <v>5</v>
      </c>
      <c r="BL810">
        <v>1</v>
      </c>
      <c r="BM810">
        <v>1</v>
      </c>
      <c r="BN810" t="s">
        <v>30</v>
      </c>
      <c r="BO810">
        <v>1</v>
      </c>
      <c r="BP810">
        <v>84</v>
      </c>
      <c r="BQ810">
        <v>0.13</v>
      </c>
      <c r="BR810">
        <v>1</v>
      </c>
      <c r="BS810">
        <v>0.13</v>
      </c>
      <c r="BT810">
        <f>BS810+BD810+AU810+AM810</f>
        <v>5.13</v>
      </c>
      <c r="BU810">
        <v>1</v>
      </c>
      <c r="BV810">
        <v>1</v>
      </c>
      <c r="BW810">
        <v>146.5</v>
      </c>
      <c r="BX810">
        <f>BW810/7</f>
        <v>20.928571428571427</v>
      </c>
      <c r="BY810">
        <f>0.77*BX810</f>
        <v>16.114999999999998</v>
      </c>
      <c r="BZ810">
        <f t="shared" si="12"/>
        <v>21.244999999999997</v>
      </c>
    </row>
    <row r="811" spans="1:78">
      <c r="A811" s="1">
        <v>45215.898535960645</v>
      </c>
      <c r="C811">
        <v>810</v>
      </c>
      <c r="D811" s="10">
        <v>30516</v>
      </c>
      <c r="E811">
        <v>40</v>
      </c>
      <c r="F811">
        <v>1</v>
      </c>
      <c r="G811">
        <v>1</v>
      </c>
      <c r="H811">
        <v>4</v>
      </c>
      <c r="I811" s="10">
        <v>44161</v>
      </c>
      <c r="J811">
        <v>1</v>
      </c>
      <c r="K811">
        <v>1</v>
      </c>
      <c r="L811">
        <v>1</v>
      </c>
      <c r="M811">
        <v>3800</v>
      </c>
      <c r="N811">
        <v>2</v>
      </c>
      <c r="O811" s="10">
        <v>43897</v>
      </c>
      <c r="P811">
        <v>1</v>
      </c>
      <c r="Q811">
        <v>37.714285714285715</v>
      </c>
      <c r="R811">
        <v>2</v>
      </c>
      <c r="S811">
        <v>62</v>
      </c>
      <c r="T811">
        <v>158</v>
      </c>
      <c r="U811">
        <v>89</v>
      </c>
      <c r="V811">
        <v>27</v>
      </c>
      <c r="W811">
        <v>3</v>
      </c>
      <c r="X811">
        <v>24.835763499439189</v>
      </c>
      <c r="Y811">
        <v>35.651337926614318</v>
      </c>
      <c r="Z811">
        <v>10.815574427175129</v>
      </c>
      <c r="AA811">
        <v>2</v>
      </c>
      <c r="AB811">
        <v>4</v>
      </c>
      <c r="AC811" t="s">
        <v>25</v>
      </c>
      <c r="AD811">
        <v>1</v>
      </c>
      <c r="AE811">
        <v>0</v>
      </c>
      <c r="AG811">
        <v>5</v>
      </c>
      <c r="AH811">
        <v>0</v>
      </c>
      <c r="AI811">
        <v>0</v>
      </c>
      <c r="AN811" t="s">
        <v>121</v>
      </c>
      <c r="AO811">
        <v>0</v>
      </c>
      <c r="AX811">
        <v>0</v>
      </c>
      <c r="BG811">
        <v>0</v>
      </c>
      <c r="BJ811" t="s">
        <v>51</v>
      </c>
      <c r="BK811">
        <v>1</v>
      </c>
      <c r="BL811">
        <v>1</v>
      </c>
      <c r="BM811">
        <v>1</v>
      </c>
      <c r="BN811" t="s">
        <v>37</v>
      </c>
      <c r="BO811">
        <v>4</v>
      </c>
      <c r="BP811">
        <v>55</v>
      </c>
      <c r="BQ811">
        <v>0.05</v>
      </c>
      <c r="BR811">
        <v>1</v>
      </c>
      <c r="BS811">
        <v>0.05</v>
      </c>
      <c r="BT811">
        <f>BS811+BD811+AU811+AM811</f>
        <v>0.05</v>
      </c>
      <c r="BU811">
        <v>1</v>
      </c>
      <c r="BV811">
        <v>3</v>
      </c>
      <c r="BW811">
        <v>439.5</v>
      </c>
      <c r="BX811">
        <f>BW811/7</f>
        <v>62.785714285714285</v>
      </c>
      <c r="BY811">
        <f>0.77*BX811</f>
        <v>48.344999999999999</v>
      </c>
      <c r="BZ811">
        <f t="shared" si="12"/>
        <v>48.394999999999996</v>
      </c>
    </row>
    <row r="812" spans="1:78">
      <c r="A812" s="1">
        <v>45215.922022361112</v>
      </c>
      <c r="C812">
        <v>811</v>
      </c>
      <c r="D812" s="10">
        <v>32782</v>
      </c>
      <c r="E812">
        <v>34</v>
      </c>
      <c r="F812">
        <v>1</v>
      </c>
      <c r="G812">
        <v>1</v>
      </c>
      <c r="H812">
        <v>4</v>
      </c>
      <c r="I812" s="10">
        <v>42921</v>
      </c>
      <c r="J812">
        <v>1</v>
      </c>
      <c r="K812">
        <v>1</v>
      </c>
      <c r="L812">
        <v>1</v>
      </c>
      <c r="M812">
        <v>4280</v>
      </c>
      <c r="N812">
        <v>3</v>
      </c>
      <c r="O812" s="10">
        <v>42641</v>
      </c>
      <c r="P812">
        <v>0</v>
      </c>
      <c r="Q812">
        <v>40</v>
      </c>
      <c r="R812">
        <v>2</v>
      </c>
      <c r="S812">
        <v>73</v>
      </c>
      <c r="T812">
        <v>173</v>
      </c>
      <c r="U812">
        <v>89</v>
      </c>
      <c r="V812">
        <v>16</v>
      </c>
      <c r="W812">
        <v>2</v>
      </c>
      <c r="X812">
        <v>24.391058839252899</v>
      </c>
      <c r="Y812">
        <v>29.737044338267232</v>
      </c>
      <c r="Z812">
        <v>5.3459854990143327</v>
      </c>
      <c r="AA812">
        <v>2</v>
      </c>
      <c r="AB812">
        <v>3</v>
      </c>
      <c r="AC812" t="s">
        <v>123</v>
      </c>
      <c r="AD812">
        <v>2</v>
      </c>
      <c r="AE812">
        <v>0</v>
      </c>
      <c r="AG812">
        <v>5</v>
      </c>
      <c r="AH812">
        <v>1</v>
      </c>
      <c r="AI812">
        <v>13</v>
      </c>
      <c r="AJ812">
        <v>1</v>
      </c>
      <c r="AK812">
        <v>7</v>
      </c>
      <c r="AL812">
        <v>1</v>
      </c>
      <c r="AM812">
        <f>AJ812*AK812*AL812/7</f>
        <v>1</v>
      </c>
      <c r="AN812" t="s">
        <v>79</v>
      </c>
      <c r="AO812">
        <v>0</v>
      </c>
      <c r="AV812">
        <f>AU812+AM812</f>
        <v>1</v>
      </c>
      <c r="AW812" t="s">
        <v>58</v>
      </c>
      <c r="AX812">
        <v>1</v>
      </c>
      <c r="AY812" t="s">
        <v>58</v>
      </c>
      <c r="AZ812">
        <v>1</v>
      </c>
      <c r="BA812">
        <v>0.8</v>
      </c>
      <c r="BB812">
        <v>7</v>
      </c>
      <c r="BC812">
        <v>1</v>
      </c>
      <c r="BD812">
        <f>BA812*BB812*1/7</f>
        <v>0.8</v>
      </c>
      <c r="BE812">
        <f>AM812+AU812+BD812</f>
        <v>1.8</v>
      </c>
      <c r="BF812" t="s">
        <v>58</v>
      </c>
      <c r="BG812">
        <v>0</v>
      </c>
      <c r="BH812">
        <v>7</v>
      </c>
      <c r="BI812">
        <v>1</v>
      </c>
      <c r="BJ812" t="s">
        <v>49</v>
      </c>
      <c r="BK812">
        <v>5</v>
      </c>
      <c r="BL812">
        <v>1</v>
      </c>
      <c r="BM812">
        <v>1</v>
      </c>
      <c r="BN812" t="s">
        <v>30</v>
      </c>
      <c r="BO812">
        <v>1</v>
      </c>
      <c r="BP812">
        <v>168</v>
      </c>
      <c r="BQ812">
        <v>0.13</v>
      </c>
      <c r="BR812">
        <v>2</v>
      </c>
      <c r="BS812">
        <v>0.26</v>
      </c>
      <c r="BT812">
        <f>BS812+BD812+AU812+AM812</f>
        <v>2.06</v>
      </c>
      <c r="BU812">
        <v>1</v>
      </c>
      <c r="BV812">
        <v>2</v>
      </c>
      <c r="BW812">
        <v>293</v>
      </c>
      <c r="BX812">
        <f>BW812/7</f>
        <v>41.857142857142854</v>
      </c>
      <c r="BY812">
        <f>0.77*BX812</f>
        <v>32.229999999999997</v>
      </c>
      <c r="BZ812">
        <f t="shared" si="12"/>
        <v>34.29</v>
      </c>
    </row>
    <row r="813" spans="1:78">
      <c r="A813" s="1">
        <v>45215.92219125</v>
      </c>
      <c r="C813">
        <v>812</v>
      </c>
      <c r="D813" s="10">
        <v>35447</v>
      </c>
      <c r="E813">
        <v>26</v>
      </c>
      <c r="F813">
        <v>1</v>
      </c>
      <c r="G813">
        <v>1</v>
      </c>
      <c r="H813">
        <v>2</v>
      </c>
      <c r="I813" s="10">
        <v>44722</v>
      </c>
      <c r="J813">
        <v>1</v>
      </c>
      <c r="K813">
        <v>1</v>
      </c>
      <c r="L813">
        <v>1</v>
      </c>
      <c r="M813">
        <v>2800</v>
      </c>
      <c r="N813">
        <v>2</v>
      </c>
      <c r="O813" s="10">
        <v>44456</v>
      </c>
      <c r="P813">
        <v>1</v>
      </c>
      <c r="Q813">
        <v>38</v>
      </c>
      <c r="R813">
        <v>2</v>
      </c>
      <c r="S813">
        <v>58</v>
      </c>
      <c r="T813">
        <v>161</v>
      </c>
      <c r="U813">
        <v>69</v>
      </c>
      <c r="V813">
        <v>11</v>
      </c>
      <c r="W813">
        <v>1</v>
      </c>
      <c r="X813">
        <v>22.375679950619187</v>
      </c>
      <c r="Y813">
        <v>26.619343389529721</v>
      </c>
      <c r="Z813">
        <v>4.2436634389105343</v>
      </c>
      <c r="AA813">
        <v>2</v>
      </c>
      <c r="AB813">
        <v>3</v>
      </c>
      <c r="AC813" t="s">
        <v>106</v>
      </c>
      <c r="AD813">
        <v>2</v>
      </c>
      <c r="AE813">
        <v>0</v>
      </c>
      <c r="AG813">
        <v>5</v>
      </c>
      <c r="AH813">
        <v>1</v>
      </c>
      <c r="AI813">
        <v>13</v>
      </c>
      <c r="AJ813">
        <v>1</v>
      </c>
      <c r="AK813">
        <v>7</v>
      </c>
      <c r="AL813">
        <v>1</v>
      </c>
      <c r="AM813">
        <f>AJ813*AK813*AL813/7</f>
        <v>1</v>
      </c>
      <c r="AN813" t="s">
        <v>79</v>
      </c>
      <c r="AO813">
        <v>0</v>
      </c>
      <c r="AV813">
        <f>AU813+AM813</f>
        <v>1</v>
      </c>
      <c r="AX813">
        <v>0</v>
      </c>
      <c r="BE813">
        <f>AM813+AU813+BD813</f>
        <v>1</v>
      </c>
      <c r="BG813">
        <v>0</v>
      </c>
      <c r="BJ813" t="s">
        <v>42</v>
      </c>
      <c r="BK813">
        <v>6</v>
      </c>
      <c r="BL813">
        <v>1</v>
      </c>
      <c r="BM813">
        <v>1</v>
      </c>
      <c r="BN813" t="s">
        <v>30</v>
      </c>
      <c r="BO813">
        <v>1</v>
      </c>
      <c r="BP813">
        <v>84</v>
      </c>
      <c r="BQ813">
        <v>0.13</v>
      </c>
      <c r="BR813">
        <v>1</v>
      </c>
      <c r="BS813">
        <v>0.13</v>
      </c>
      <c r="BT813">
        <f>BS813+BD813+AU813+AM813</f>
        <v>1.1299999999999999</v>
      </c>
      <c r="BU813">
        <v>1</v>
      </c>
      <c r="BV813">
        <v>3</v>
      </c>
      <c r="BW813">
        <v>439.5</v>
      </c>
      <c r="BX813">
        <f>BW813/7</f>
        <v>62.785714285714285</v>
      </c>
      <c r="BY813">
        <f>0.77*BX813</f>
        <v>48.344999999999999</v>
      </c>
      <c r="BZ813">
        <f t="shared" si="12"/>
        <v>49.475000000000001</v>
      </c>
    </row>
    <row r="814" spans="1:78">
      <c r="A814" s="1">
        <v>45215.927821261575</v>
      </c>
      <c r="C814">
        <v>813</v>
      </c>
      <c r="D814" s="10">
        <v>32834</v>
      </c>
      <c r="E814">
        <v>33</v>
      </c>
      <c r="F814">
        <v>1</v>
      </c>
      <c r="G814">
        <v>4</v>
      </c>
      <c r="H814">
        <v>4</v>
      </c>
      <c r="I814" s="10">
        <v>45090</v>
      </c>
      <c r="J814">
        <v>1</v>
      </c>
      <c r="K814">
        <v>1</v>
      </c>
      <c r="L814">
        <v>1</v>
      </c>
      <c r="M814">
        <v>3075</v>
      </c>
      <c r="N814">
        <v>2</v>
      </c>
      <c r="O814" s="10">
        <v>44824</v>
      </c>
      <c r="P814">
        <v>0</v>
      </c>
      <c r="Q814">
        <v>38</v>
      </c>
      <c r="R814">
        <v>2</v>
      </c>
      <c r="S814">
        <v>83.5</v>
      </c>
      <c r="T814">
        <v>155</v>
      </c>
      <c r="U814">
        <v>88</v>
      </c>
      <c r="V814">
        <v>4.5</v>
      </c>
      <c r="W814">
        <v>1</v>
      </c>
      <c r="X814">
        <v>34.755463059313215</v>
      </c>
      <c r="Y814">
        <v>36.628511966701346</v>
      </c>
      <c r="Z814">
        <v>1.8730489073881316</v>
      </c>
      <c r="AA814">
        <v>4</v>
      </c>
      <c r="AB814">
        <v>4</v>
      </c>
      <c r="AC814" t="s">
        <v>44</v>
      </c>
      <c r="AD814">
        <v>1</v>
      </c>
      <c r="AE814">
        <v>1</v>
      </c>
      <c r="AF814" t="s">
        <v>488</v>
      </c>
      <c r="AG814" t="e">
        <v>#N/A</v>
      </c>
      <c r="AH814">
        <v>1</v>
      </c>
      <c r="AI814">
        <v>5</v>
      </c>
      <c r="AJ814">
        <v>5</v>
      </c>
      <c r="AK814">
        <v>7</v>
      </c>
      <c r="AL814">
        <v>1</v>
      </c>
      <c r="AM814">
        <f>AJ814*AK814*AL814/7</f>
        <v>5</v>
      </c>
      <c r="AN814" t="s">
        <v>27</v>
      </c>
      <c r="AO814">
        <v>1</v>
      </c>
      <c r="AP814">
        <v>18</v>
      </c>
      <c r="AQ814" t="s">
        <v>217</v>
      </c>
      <c r="AR814">
        <v>2</v>
      </c>
      <c r="AS814">
        <v>7</v>
      </c>
      <c r="AT814">
        <v>1</v>
      </c>
      <c r="AU814">
        <f>AR814*AS814*AT814/7</f>
        <v>2</v>
      </c>
      <c r="AV814">
        <f>AU814+AM814</f>
        <v>7</v>
      </c>
      <c r="AW814" t="s">
        <v>217</v>
      </c>
      <c r="AX814">
        <v>0</v>
      </c>
      <c r="BE814">
        <f>AM814+AU814+BD814</f>
        <v>7</v>
      </c>
      <c r="BG814">
        <v>0</v>
      </c>
      <c r="BJ814" t="s">
        <v>49</v>
      </c>
      <c r="BK814">
        <v>5</v>
      </c>
      <c r="BL814">
        <v>1</v>
      </c>
      <c r="BM814">
        <v>1</v>
      </c>
      <c r="BN814" t="s">
        <v>30</v>
      </c>
      <c r="BO814">
        <v>1</v>
      </c>
      <c r="BP814">
        <v>84</v>
      </c>
      <c r="BQ814">
        <v>0.13</v>
      </c>
      <c r="BR814">
        <v>1</v>
      </c>
      <c r="BS814">
        <v>0.13</v>
      </c>
      <c r="BT814">
        <f>BS814+BD814+AU814+AM814</f>
        <v>7.13</v>
      </c>
      <c r="BU814">
        <v>1</v>
      </c>
      <c r="BV814">
        <v>2</v>
      </c>
      <c r="BW814">
        <v>293</v>
      </c>
      <c r="BX814">
        <f>BW814/7</f>
        <v>41.857142857142854</v>
      </c>
      <c r="BY814">
        <f>0.77*BX814</f>
        <v>32.229999999999997</v>
      </c>
      <c r="BZ814">
        <f t="shared" si="12"/>
        <v>39.36</v>
      </c>
    </row>
    <row r="815" spans="1:78">
      <c r="A815" s="1">
        <v>45215.933470231481</v>
      </c>
      <c r="C815">
        <v>814</v>
      </c>
      <c r="D815" s="10">
        <v>32914</v>
      </c>
      <c r="E815">
        <v>33</v>
      </c>
      <c r="F815">
        <v>1</v>
      </c>
      <c r="G815">
        <v>9</v>
      </c>
      <c r="H815">
        <v>4</v>
      </c>
      <c r="I815" s="10">
        <v>43855</v>
      </c>
      <c r="J815">
        <v>2</v>
      </c>
      <c r="K815">
        <v>0</v>
      </c>
      <c r="L815">
        <v>2</v>
      </c>
      <c r="M815">
        <v>3540</v>
      </c>
      <c r="N815">
        <v>2</v>
      </c>
      <c r="O815" s="10">
        <v>43575</v>
      </c>
      <c r="P815">
        <v>0</v>
      </c>
      <c r="Q815">
        <v>40</v>
      </c>
      <c r="R815">
        <v>2</v>
      </c>
      <c r="S815">
        <v>52</v>
      </c>
      <c r="T815">
        <v>154</v>
      </c>
      <c r="U815">
        <v>61</v>
      </c>
      <c r="V815">
        <v>9</v>
      </c>
      <c r="W815">
        <v>1</v>
      </c>
      <c r="X815">
        <v>21.926125822229718</v>
      </c>
      <c r="Y815">
        <v>25.72103221453871</v>
      </c>
      <c r="Z815">
        <v>3.7949063923089916</v>
      </c>
      <c r="AA815">
        <v>2</v>
      </c>
      <c r="AB815">
        <v>3</v>
      </c>
      <c r="AC815" t="s">
        <v>33</v>
      </c>
      <c r="AD815">
        <v>3</v>
      </c>
      <c r="AE815">
        <v>0</v>
      </c>
      <c r="AG815">
        <v>5</v>
      </c>
      <c r="AH815">
        <v>1</v>
      </c>
      <c r="AI815">
        <v>13</v>
      </c>
      <c r="AJ815">
        <v>1</v>
      </c>
      <c r="AK815">
        <v>7</v>
      </c>
      <c r="AL815">
        <v>1</v>
      </c>
      <c r="AM815">
        <f>AJ815*AK815*AL815/7</f>
        <v>1</v>
      </c>
      <c r="AN815" t="s">
        <v>79</v>
      </c>
      <c r="AO815">
        <v>0</v>
      </c>
      <c r="AV815">
        <f>AU815+AM815</f>
        <v>1</v>
      </c>
      <c r="AX815">
        <v>0</v>
      </c>
      <c r="BE815">
        <f>AM815+AU815+BD815</f>
        <v>1</v>
      </c>
      <c r="BG815">
        <v>0</v>
      </c>
      <c r="BJ815" t="s">
        <v>49</v>
      </c>
      <c r="BK815">
        <v>5</v>
      </c>
      <c r="BL815">
        <v>1</v>
      </c>
      <c r="BM815">
        <v>1</v>
      </c>
      <c r="BN815" t="s">
        <v>30</v>
      </c>
      <c r="BO815">
        <v>1</v>
      </c>
      <c r="BP815">
        <v>168</v>
      </c>
      <c r="BQ815">
        <v>0.13</v>
      </c>
      <c r="BR815">
        <v>2</v>
      </c>
      <c r="BS815">
        <v>0.26</v>
      </c>
      <c r="BT815">
        <f>BS815+BD815+AU815+AM815</f>
        <v>1.26</v>
      </c>
      <c r="BU815">
        <v>1</v>
      </c>
      <c r="BV815">
        <v>1</v>
      </c>
      <c r="BW815">
        <v>146.5</v>
      </c>
      <c r="BX815">
        <f>BW815/7</f>
        <v>20.928571428571427</v>
      </c>
      <c r="BY815">
        <f>0.77*BX815</f>
        <v>16.114999999999998</v>
      </c>
      <c r="BZ815">
        <f t="shared" si="12"/>
        <v>17.375</v>
      </c>
    </row>
    <row r="816" spans="1:78">
      <c r="A816" s="1">
        <v>45215.935370578707</v>
      </c>
      <c r="C816">
        <v>815</v>
      </c>
      <c r="D816" s="10">
        <v>32267</v>
      </c>
      <c r="E816">
        <v>35</v>
      </c>
      <c r="F816">
        <v>1</v>
      </c>
      <c r="G816">
        <v>1</v>
      </c>
      <c r="H816">
        <v>5</v>
      </c>
      <c r="I816" s="10">
        <v>44620</v>
      </c>
      <c r="J816">
        <v>2</v>
      </c>
      <c r="K816">
        <v>0</v>
      </c>
      <c r="L816">
        <v>1</v>
      </c>
      <c r="M816">
        <v>3450</v>
      </c>
      <c r="N816">
        <v>2</v>
      </c>
      <c r="O816" s="10">
        <v>44354</v>
      </c>
      <c r="P816">
        <v>1</v>
      </c>
      <c r="Q816">
        <v>38</v>
      </c>
      <c r="R816">
        <v>2</v>
      </c>
      <c r="S816">
        <v>70</v>
      </c>
      <c r="T816">
        <v>164</v>
      </c>
      <c r="U816">
        <v>80.5</v>
      </c>
      <c r="V816">
        <v>10.5</v>
      </c>
      <c r="W816">
        <v>2</v>
      </c>
      <c r="X816">
        <v>26.026174895895306</v>
      </c>
      <c r="Y816">
        <v>29.930101130279599</v>
      </c>
      <c r="Z816">
        <v>3.9039262343842935</v>
      </c>
      <c r="AA816">
        <v>3</v>
      </c>
      <c r="AB816">
        <v>3</v>
      </c>
      <c r="AC816" t="s">
        <v>33</v>
      </c>
      <c r="AD816">
        <v>3</v>
      </c>
      <c r="AE816">
        <v>0</v>
      </c>
      <c r="AG816">
        <v>5</v>
      </c>
      <c r="AH816">
        <v>1</v>
      </c>
      <c r="AI816">
        <v>4</v>
      </c>
      <c r="AJ816">
        <v>1</v>
      </c>
      <c r="AK816">
        <v>7</v>
      </c>
      <c r="AL816">
        <v>1</v>
      </c>
      <c r="AM816">
        <f>AJ816*AK816*AL816/7</f>
        <v>1</v>
      </c>
      <c r="AN816" t="s">
        <v>43</v>
      </c>
      <c r="AO816">
        <v>0</v>
      </c>
      <c r="AV816">
        <f>AU816+AM816</f>
        <v>1</v>
      </c>
      <c r="AW816" t="s">
        <v>58</v>
      </c>
      <c r="AX816">
        <v>1</v>
      </c>
      <c r="AY816" t="s">
        <v>58</v>
      </c>
      <c r="AZ816">
        <v>1</v>
      </c>
      <c r="BA816">
        <v>0.8</v>
      </c>
      <c r="BB816">
        <v>7</v>
      </c>
      <c r="BC816">
        <v>1</v>
      </c>
      <c r="BD816">
        <f>BA816*BB816*1/7</f>
        <v>0.8</v>
      </c>
      <c r="BE816">
        <f>AM816+AU816+BD816</f>
        <v>1.8</v>
      </c>
      <c r="BF816" t="s">
        <v>58</v>
      </c>
      <c r="BG816">
        <v>0</v>
      </c>
      <c r="BH816">
        <v>7</v>
      </c>
      <c r="BI816">
        <v>1</v>
      </c>
      <c r="BJ816" t="s">
        <v>28</v>
      </c>
      <c r="BK816">
        <v>3</v>
      </c>
      <c r="BL816">
        <v>3</v>
      </c>
      <c r="BM816">
        <v>1</v>
      </c>
      <c r="BN816" t="s">
        <v>37</v>
      </c>
      <c r="BO816">
        <v>4</v>
      </c>
      <c r="BP816">
        <v>55</v>
      </c>
      <c r="BQ816">
        <v>0.05</v>
      </c>
      <c r="BR816">
        <v>1</v>
      </c>
      <c r="BS816">
        <v>0.05</v>
      </c>
      <c r="BT816">
        <f>BS816+BD816+AU816+AM816</f>
        <v>1.85</v>
      </c>
      <c r="BU816">
        <v>1</v>
      </c>
      <c r="BV816">
        <v>3</v>
      </c>
      <c r="BW816">
        <v>439.5</v>
      </c>
      <c r="BX816">
        <f>BW816/7</f>
        <v>62.785714285714285</v>
      </c>
      <c r="BY816">
        <f>0.77*BX816</f>
        <v>48.344999999999999</v>
      </c>
      <c r="BZ816">
        <f t="shared" si="12"/>
        <v>50.195</v>
      </c>
    </row>
    <row r="817" spans="1:78">
      <c r="A817" s="1">
        <v>45215.940645625</v>
      </c>
      <c r="C817">
        <v>816</v>
      </c>
      <c r="D817" s="10">
        <v>31975</v>
      </c>
      <c r="E817">
        <v>36</v>
      </c>
      <c r="F817">
        <v>1</v>
      </c>
      <c r="G817">
        <v>10</v>
      </c>
      <c r="H817">
        <v>2</v>
      </c>
      <c r="I817" s="10">
        <v>44777</v>
      </c>
      <c r="J817">
        <v>4</v>
      </c>
      <c r="K817">
        <v>0</v>
      </c>
      <c r="L817">
        <v>1</v>
      </c>
      <c r="M817">
        <v>2800</v>
      </c>
      <c r="N817">
        <v>2</v>
      </c>
      <c r="O817" s="10">
        <v>44518</v>
      </c>
      <c r="P817">
        <v>0</v>
      </c>
      <c r="Q817">
        <v>37</v>
      </c>
      <c r="R817">
        <v>2</v>
      </c>
      <c r="S817">
        <v>108</v>
      </c>
      <c r="T817">
        <v>159</v>
      </c>
      <c r="U817">
        <v>103</v>
      </c>
      <c r="V817">
        <v>-5</v>
      </c>
      <c r="W817">
        <v>1</v>
      </c>
      <c r="X817">
        <v>42.719829120683514</v>
      </c>
      <c r="Y817">
        <v>40.742059253985204</v>
      </c>
      <c r="Z817">
        <v>-1.9777698666983099</v>
      </c>
      <c r="AA817">
        <v>4</v>
      </c>
      <c r="AB817">
        <v>4</v>
      </c>
      <c r="AC817" t="s">
        <v>173</v>
      </c>
      <c r="AD817">
        <v>1</v>
      </c>
      <c r="AE817">
        <v>1</v>
      </c>
      <c r="AF817" t="s">
        <v>445</v>
      </c>
      <c r="AG817" t="e">
        <v>#N/A</v>
      </c>
      <c r="AH817">
        <v>1</v>
      </c>
      <c r="AI817">
        <v>13</v>
      </c>
      <c r="AJ817">
        <v>1</v>
      </c>
      <c r="AK817">
        <v>7</v>
      </c>
      <c r="AL817">
        <v>1</v>
      </c>
      <c r="AM817">
        <f>AJ817*AK817*AL817/7</f>
        <v>1</v>
      </c>
      <c r="AN817" t="s">
        <v>79</v>
      </c>
      <c r="AO817">
        <v>0</v>
      </c>
      <c r="AV817">
        <f>AU817+AM817</f>
        <v>1</v>
      </c>
      <c r="AW817" t="s">
        <v>80</v>
      </c>
      <c r="AX817">
        <v>0</v>
      </c>
      <c r="BE817">
        <f>AM817+AU817+BD817</f>
        <v>1</v>
      </c>
      <c r="BF817" t="s">
        <v>80</v>
      </c>
      <c r="BG817">
        <v>1</v>
      </c>
      <c r="BH817">
        <v>7</v>
      </c>
      <c r="BI817">
        <v>1</v>
      </c>
      <c r="BJ817" t="s">
        <v>49</v>
      </c>
      <c r="BK817">
        <v>5</v>
      </c>
      <c r="BL817">
        <v>3</v>
      </c>
      <c r="BM817">
        <v>1</v>
      </c>
      <c r="BN817" t="s">
        <v>37</v>
      </c>
      <c r="BO817">
        <v>4</v>
      </c>
      <c r="BP817">
        <v>220</v>
      </c>
      <c r="BQ817">
        <v>0.05</v>
      </c>
      <c r="BR817">
        <v>4</v>
      </c>
      <c r="BS817">
        <v>0.2</v>
      </c>
      <c r="BT817">
        <f>BS817+BD817+AU817+AM817</f>
        <v>1.2</v>
      </c>
      <c r="BU817">
        <v>1</v>
      </c>
      <c r="BV817">
        <v>1</v>
      </c>
      <c r="BW817">
        <v>146.5</v>
      </c>
      <c r="BX817">
        <f>BW817/7</f>
        <v>20.928571428571427</v>
      </c>
      <c r="BY817">
        <f>0.77*BX817</f>
        <v>16.114999999999998</v>
      </c>
      <c r="BZ817">
        <f t="shared" si="12"/>
        <v>17.314999999999998</v>
      </c>
    </row>
    <row r="818" spans="1:78">
      <c r="A818" s="1">
        <v>45215.940831377316</v>
      </c>
      <c r="C818">
        <v>817</v>
      </c>
      <c r="D818" s="10">
        <v>30728</v>
      </c>
      <c r="E818">
        <v>39</v>
      </c>
      <c r="F818">
        <v>1</v>
      </c>
      <c r="G818">
        <v>1</v>
      </c>
      <c r="H818">
        <v>4</v>
      </c>
      <c r="I818" s="10">
        <v>44795</v>
      </c>
      <c r="J818">
        <v>2</v>
      </c>
      <c r="K818">
        <v>0</v>
      </c>
      <c r="L818">
        <v>1</v>
      </c>
      <c r="M818">
        <v>2980</v>
      </c>
      <c r="N818">
        <v>2</v>
      </c>
      <c r="O818" s="10">
        <v>44550</v>
      </c>
      <c r="P818">
        <v>0</v>
      </c>
      <c r="Q818">
        <v>35</v>
      </c>
      <c r="R818">
        <v>3</v>
      </c>
      <c r="S818">
        <v>50</v>
      </c>
      <c r="T818">
        <v>163</v>
      </c>
      <c r="U818">
        <v>59</v>
      </c>
      <c r="V818">
        <v>9</v>
      </c>
      <c r="W818">
        <v>1</v>
      </c>
      <c r="X818">
        <v>18.818924310286427</v>
      </c>
      <c r="Y818">
        <v>22.206330686137981</v>
      </c>
      <c r="Z818">
        <v>3.3874063758515547</v>
      </c>
      <c r="AA818">
        <v>2</v>
      </c>
      <c r="AB818">
        <v>2</v>
      </c>
      <c r="AC818" t="s">
        <v>33</v>
      </c>
      <c r="AD818">
        <v>3</v>
      </c>
      <c r="AE818">
        <v>0</v>
      </c>
      <c r="AG818">
        <v>5</v>
      </c>
      <c r="AH818">
        <v>1</v>
      </c>
      <c r="AI818">
        <v>4</v>
      </c>
      <c r="AJ818">
        <v>1</v>
      </c>
      <c r="AK818">
        <v>7</v>
      </c>
      <c r="AL818">
        <v>1</v>
      </c>
      <c r="AM818">
        <f>AJ818*AK818*AL818/7</f>
        <v>1</v>
      </c>
      <c r="AN818" t="s">
        <v>43</v>
      </c>
      <c r="AO818">
        <v>0</v>
      </c>
      <c r="AV818">
        <f>AU818+AM818</f>
        <v>1</v>
      </c>
      <c r="AW818" t="s">
        <v>58</v>
      </c>
      <c r="AX818">
        <v>1</v>
      </c>
      <c r="AY818" t="s">
        <v>58</v>
      </c>
      <c r="AZ818">
        <v>1</v>
      </c>
      <c r="BA818">
        <v>0.8</v>
      </c>
      <c r="BB818">
        <v>7</v>
      </c>
      <c r="BC818">
        <v>1</v>
      </c>
      <c r="BD818">
        <f>BA818*BB818*1/7</f>
        <v>0.8</v>
      </c>
      <c r="BE818">
        <f>AM818+AU818+BD818</f>
        <v>1.8</v>
      </c>
      <c r="BF818" t="s">
        <v>58</v>
      </c>
      <c r="BG818">
        <v>0</v>
      </c>
      <c r="BH818">
        <v>7</v>
      </c>
      <c r="BI818">
        <v>1</v>
      </c>
      <c r="BJ818" t="s">
        <v>49</v>
      </c>
      <c r="BK818">
        <v>5</v>
      </c>
      <c r="BL818">
        <v>3</v>
      </c>
      <c r="BM818">
        <v>1</v>
      </c>
      <c r="BN818" t="s">
        <v>37</v>
      </c>
      <c r="BO818">
        <v>4</v>
      </c>
      <c r="BP818">
        <v>55</v>
      </c>
      <c r="BQ818">
        <v>0.05</v>
      </c>
      <c r="BR818">
        <v>1</v>
      </c>
      <c r="BS818">
        <v>0.05</v>
      </c>
      <c r="BT818">
        <f>BS818+BD818+AU818+AM818</f>
        <v>1.85</v>
      </c>
      <c r="BU818">
        <v>1</v>
      </c>
      <c r="BV818">
        <v>2</v>
      </c>
      <c r="BW818">
        <v>293</v>
      </c>
      <c r="BX818">
        <f>BW818/7</f>
        <v>41.857142857142854</v>
      </c>
      <c r="BY818">
        <f>0.77*BX818</f>
        <v>32.229999999999997</v>
      </c>
      <c r="BZ818">
        <f t="shared" si="12"/>
        <v>34.08</v>
      </c>
    </row>
    <row r="819" spans="1:78">
      <c r="A819" s="1">
        <v>45215.948162627319</v>
      </c>
      <c r="C819">
        <v>818</v>
      </c>
      <c r="D819" s="10">
        <v>31331</v>
      </c>
      <c r="E819">
        <v>38</v>
      </c>
      <c r="F819">
        <v>1</v>
      </c>
      <c r="G819">
        <v>10</v>
      </c>
      <c r="H819">
        <v>5</v>
      </c>
      <c r="I819" s="10">
        <v>44680</v>
      </c>
      <c r="J819">
        <v>2</v>
      </c>
      <c r="K819">
        <v>0</v>
      </c>
      <c r="L819">
        <v>1</v>
      </c>
      <c r="M819">
        <v>4150</v>
      </c>
      <c r="N819">
        <v>3</v>
      </c>
      <c r="O819" s="10">
        <v>44407</v>
      </c>
      <c r="P819">
        <v>1</v>
      </c>
      <c r="Q819">
        <v>39</v>
      </c>
      <c r="R819">
        <v>2</v>
      </c>
      <c r="S819">
        <v>46</v>
      </c>
      <c r="T819">
        <v>157</v>
      </c>
      <c r="U819">
        <v>60</v>
      </c>
      <c r="V819">
        <v>14</v>
      </c>
      <c r="W819">
        <v>2</v>
      </c>
      <c r="X819">
        <v>18.662014686194166</v>
      </c>
      <c r="Y819">
        <v>24.341758286340216</v>
      </c>
      <c r="Z819">
        <v>5.6797436001460504</v>
      </c>
      <c r="AA819">
        <v>2</v>
      </c>
      <c r="AB819">
        <v>2</v>
      </c>
      <c r="AC819" t="s">
        <v>44</v>
      </c>
      <c r="AD819">
        <v>1</v>
      </c>
      <c r="AE819">
        <v>0</v>
      </c>
      <c r="AG819">
        <v>5</v>
      </c>
      <c r="AH819">
        <v>0</v>
      </c>
      <c r="AI819">
        <v>0</v>
      </c>
      <c r="AN819" t="s">
        <v>41</v>
      </c>
      <c r="AO819">
        <v>0</v>
      </c>
      <c r="AW819" t="s">
        <v>58</v>
      </c>
      <c r="AX819">
        <v>1</v>
      </c>
      <c r="AY819" t="s">
        <v>58</v>
      </c>
      <c r="AZ819">
        <v>1</v>
      </c>
      <c r="BA819">
        <v>0.8</v>
      </c>
      <c r="BB819">
        <v>7</v>
      </c>
      <c r="BC819">
        <v>1</v>
      </c>
      <c r="BD819">
        <f>BA819*BB819*1/7</f>
        <v>0.8</v>
      </c>
      <c r="BE819">
        <f>AM819+AU819+BD819</f>
        <v>0.8</v>
      </c>
      <c r="BF819" t="s">
        <v>58</v>
      </c>
      <c r="BG819">
        <v>0</v>
      </c>
      <c r="BH819">
        <v>7</v>
      </c>
      <c r="BI819">
        <v>1</v>
      </c>
      <c r="BJ819" t="s">
        <v>49</v>
      </c>
      <c r="BK819">
        <v>5</v>
      </c>
      <c r="BL819">
        <v>1</v>
      </c>
      <c r="BM819">
        <v>1</v>
      </c>
      <c r="BN819" t="s">
        <v>30</v>
      </c>
      <c r="BO819">
        <v>1</v>
      </c>
      <c r="BP819">
        <v>168</v>
      </c>
      <c r="BQ819">
        <v>0.13</v>
      </c>
      <c r="BR819">
        <v>2</v>
      </c>
      <c r="BS819">
        <v>0.26</v>
      </c>
      <c r="BT819">
        <f>BS819+BD819+AU819+AM819</f>
        <v>1.06</v>
      </c>
      <c r="BU819">
        <v>1</v>
      </c>
      <c r="BV819">
        <v>4</v>
      </c>
      <c r="BW819">
        <v>586</v>
      </c>
      <c r="BX819">
        <f>BW819/7</f>
        <v>83.714285714285708</v>
      </c>
      <c r="BY819">
        <f>0.77*BX819</f>
        <v>64.459999999999994</v>
      </c>
      <c r="BZ819">
        <f t="shared" si="12"/>
        <v>65.52</v>
      </c>
    </row>
    <row r="820" spans="1:78">
      <c r="A820" s="1">
        <v>45215.952638668983</v>
      </c>
      <c r="C820">
        <v>819</v>
      </c>
      <c r="D820" s="10">
        <v>34219</v>
      </c>
      <c r="E820">
        <v>30</v>
      </c>
      <c r="F820">
        <v>1</v>
      </c>
      <c r="G820">
        <v>9</v>
      </c>
      <c r="H820">
        <v>4</v>
      </c>
      <c r="I820" s="10">
        <v>43625</v>
      </c>
      <c r="J820">
        <v>1</v>
      </c>
      <c r="K820">
        <v>1</v>
      </c>
      <c r="L820">
        <v>1</v>
      </c>
      <c r="M820">
        <v>3040</v>
      </c>
      <c r="N820">
        <v>2</v>
      </c>
      <c r="O820" s="10">
        <v>43359</v>
      </c>
      <c r="P820">
        <v>0</v>
      </c>
      <c r="Q820">
        <v>38</v>
      </c>
      <c r="R820">
        <v>2</v>
      </c>
      <c r="S820">
        <v>75</v>
      </c>
      <c r="T820">
        <v>161</v>
      </c>
      <c r="U820">
        <v>86.5</v>
      </c>
      <c r="V820">
        <v>11.5</v>
      </c>
      <c r="W820">
        <v>2</v>
      </c>
      <c r="X820">
        <v>28.934068901662741</v>
      </c>
      <c r="Y820">
        <v>33.370626133251029</v>
      </c>
      <c r="Z820">
        <v>4.4365572315882886</v>
      </c>
      <c r="AA820">
        <v>3</v>
      </c>
      <c r="AB820">
        <v>4</v>
      </c>
      <c r="AC820" t="s">
        <v>44</v>
      </c>
      <c r="AD820">
        <v>1</v>
      </c>
      <c r="AE820">
        <v>0</v>
      </c>
      <c r="AG820">
        <v>5</v>
      </c>
      <c r="AH820">
        <v>1</v>
      </c>
      <c r="AI820">
        <v>4</v>
      </c>
      <c r="AJ820">
        <v>1</v>
      </c>
      <c r="AK820">
        <v>7</v>
      </c>
      <c r="AL820">
        <v>1</v>
      </c>
      <c r="AM820">
        <f>AJ820*AK820*AL820/7</f>
        <v>1</v>
      </c>
      <c r="AN820" t="s">
        <v>43</v>
      </c>
      <c r="AO820">
        <v>0</v>
      </c>
      <c r="AV820">
        <f>AU820+AM820</f>
        <v>1</v>
      </c>
      <c r="AW820" t="s">
        <v>186</v>
      </c>
      <c r="AX820">
        <v>1</v>
      </c>
      <c r="AY820" t="s">
        <v>186</v>
      </c>
      <c r="AZ820">
        <v>5</v>
      </c>
      <c r="BA820">
        <v>0.4</v>
      </c>
      <c r="BB820">
        <v>7</v>
      </c>
      <c r="BC820">
        <v>1</v>
      </c>
      <c r="BD820">
        <f>BA820*BB820*1/7</f>
        <v>0.4</v>
      </c>
      <c r="BE820">
        <f>AM820+AU820+BD820</f>
        <v>1.4</v>
      </c>
      <c r="BF820" t="s">
        <v>186</v>
      </c>
      <c r="BG820">
        <v>0</v>
      </c>
      <c r="BH820">
        <v>7</v>
      </c>
      <c r="BI820">
        <v>1</v>
      </c>
      <c r="BJ820" t="s">
        <v>49</v>
      </c>
      <c r="BK820">
        <v>5</v>
      </c>
      <c r="BL820">
        <v>3</v>
      </c>
      <c r="BM820">
        <v>1</v>
      </c>
      <c r="BN820" t="s">
        <v>59</v>
      </c>
      <c r="BO820">
        <v>3</v>
      </c>
      <c r="BP820">
        <v>56</v>
      </c>
      <c r="BQ820">
        <v>0.08</v>
      </c>
      <c r="BR820">
        <v>1</v>
      </c>
      <c r="BS820">
        <v>0.08</v>
      </c>
      <c r="BT820">
        <f>BS820+BD820+AU820+AM820</f>
        <v>1.48</v>
      </c>
      <c r="BU820">
        <v>1</v>
      </c>
      <c r="BV820">
        <v>0.5</v>
      </c>
      <c r="BW820">
        <v>73.25</v>
      </c>
      <c r="BX820">
        <f>BW820/7</f>
        <v>10.464285714285714</v>
      </c>
      <c r="BY820">
        <f>0.77*BX820</f>
        <v>8.0574999999999992</v>
      </c>
      <c r="BZ820">
        <f t="shared" si="12"/>
        <v>9.5374999999999996</v>
      </c>
    </row>
    <row r="821" spans="1:78">
      <c r="A821" s="1">
        <v>45215.955226666665</v>
      </c>
      <c r="C821">
        <v>820</v>
      </c>
      <c r="D821" s="10">
        <v>30538</v>
      </c>
      <c r="E821">
        <v>40</v>
      </c>
      <c r="F821">
        <v>1</v>
      </c>
      <c r="G821">
        <v>1</v>
      </c>
      <c r="H821">
        <v>4</v>
      </c>
      <c r="I821" s="10">
        <v>43118</v>
      </c>
      <c r="J821">
        <v>1</v>
      </c>
      <c r="K821">
        <v>1</v>
      </c>
      <c r="L821">
        <v>1</v>
      </c>
      <c r="M821">
        <v>2850</v>
      </c>
      <c r="N821">
        <v>2</v>
      </c>
      <c r="O821" s="10">
        <v>42845</v>
      </c>
      <c r="P821">
        <v>0</v>
      </c>
      <c r="Q821">
        <v>39</v>
      </c>
      <c r="R821">
        <v>2</v>
      </c>
      <c r="S821">
        <v>59</v>
      </c>
      <c r="T821">
        <v>156</v>
      </c>
      <c r="U821">
        <v>68</v>
      </c>
      <c r="V821">
        <v>9</v>
      </c>
      <c r="W821">
        <v>1</v>
      </c>
      <c r="X821">
        <v>24.243918474687703</v>
      </c>
      <c r="Y821">
        <v>27.94214332675871</v>
      </c>
      <c r="Z821">
        <v>3.6982248520710073</v>
      </c>
      <c r="AA821">
        <v>2</v>
      </c>
      <c r="AB821">
        <v>3</v>
      </c>
      <c r="AC821" t="s">
        <v>33</v>
      </c>
      <c r="AD821">
        <v>3</v>
      </c>
      <c r="AE821">
        <v>0</v>
      </c>
      <c r="AG821">
        <v>5</v>
      </c>
      <c r="AH821">
        <v>1</v>
      </c>
      <c r="AI821">
        <v>1</v>
      </c>
      <c r="AJ821">
        <v>1</v>
      </c>
      <c r="AK821">
        <v>7</v>
      </c>
      <c r="AL821">
        <v>1</v>
      </c>
      <c r="AM821">
        <f>AJ821*AK821*AL821/7</f>
        <v>1</v>
      </c>
      <c r="AN821" t="s">
        <v>56</v>
      </c>
      <c r="AO821">
        <v>0</v>
      </c>
      <c r="AV821">
        <f>AU821+AM821</f>
        <v>1</v>
      </c>
      <c r="AW821" t="s">
        <v>489</v>
      </c>
      <c r="AX821">
        <v>0</v>
      </c>
      <c r="BE821">
        <f>AM821+AU821+BD821</f>
        <v>1</v>
      </c>
      <c r="BF821" t="s">
        <v>489</v>
      </c>
      <c r="BG821">
        <v>1</v>
      </c>
      <c r="BH821">
        <v>1</v>
      </c>
      <c r="BI821">
        <v>1</v>
      </c>
      <c r="BJ821" t="s">
        <v>49</v>
      </c>
      <c r="BK821">
        <v>5</v>
      </c>
      <c r="BL821">
        <v>3</v>
      </c>
      <c r="BM821">
        <v>1</v>
      </c>
      <c r="BN821" t="s">
        <v>30</v>
      </c>
      <c r="BO821">
        <v>1</v>
      </c>
      <c r="BP821">
        <v>168</v>
      </c>
      <c r="BQ821">
        <v>0.13</v>
      </c>
      <c r="BR821">
        <v>2</v>
      </c>
      <c r="BS821">
        <v>0.26</v>
      </c>
      <c r="BT821">
        <f>BS821+BD821+AU821+AM821</f>
        <v>1.26</v>
      </c>
      <c r="BU821">
        <v>1</v>
      </c>
      <c r="BV821">
        <v>1</v>
      </c>
      <c r="BW821">
        <v>146.5</v>
      </c>
      <c r="BX821">
        <f>BW821/7</f>
        <v>20.928571428571427</v>
      </c>
      <c r="BY821">
        <f>0.77*BX821</f>
        <v>16.114999999999998</v>
      </c>
      <c r="BZ821">
        <f t="shared" si="12"/>
        <v>17.375</v>
      </c>
    </row>
    <row r="822" spans="1:78">
      <c r="A822" s="1">
        <v>45215.987837187495</v>
      </c>
      <c r="C822">
        <v>821</v>
      </c>
      <c r="D822" s="10">
        <v>32849</v>
      </c>
      <c r="E822">
        <v>33</v>
      </c>
      <c r="F822">
        <v>1</v>
      </c>
      <c r="G822">
        <v>1</v>
      </c>
      <c r="H822">
        <v>5</v>
      </c>
      <c r="I822" s="10">
        <v>44909</v>
      </c>
      <c r="J822">
        <v>1</v>
      </c>
      <c r="K822">
        <v>1</v>
      </c>
      <c r="L822">
        <v>2</v>
      </c>
      <c r="M822">
        <v>3916</v>
      </c>
      <c r="N822">
        <v>2</v>
      </c>
      <c r="O822" s="10">
        <v>44624</v>
      </c>
      <c r="P822">
        <v>0</v>
      </c>
      <c r="Q822">
        <v>40.714285714285715</v>
      </c>
      <c r="R822">
        <v>2</v>
      </c>
      <c r="S822">
        <v>53</v>
      </c>
      <c r="T822">
        <v>149</v>
      </c>
      <c r="U822">
        <v>66</v>
      </c>
      <c r="V822">
        <v>13</v>
      </c>
      <c r="W822">
        <v>2</v>
      </c>
      <c r="X822">
        <v>23.872798522589072</v>
      </c>
      <c r="Y822">
        <v>29.728390613035451</v>
      </c>
      <c r="Z822">
        <v>5.855592090446379</v>
      </c>
      <c r="AA822">
        <v>2</v>
      </c>
      <c r="AB822">
        <v>3</v>
      </c>
      <c r="AC822" t="s">
        <v>33</v>
      </c>
      <c r="AD822">
        <v>3</v>
      </c>
      <c r="AE822">
        <v>0</v>
      </c>
      <c r="AG822">
        <v>5</v>
      </c>
      <c r="AH822">
        <v>1</v>
      </c>
      <c r="AI822">
        <v>1</v>
      </c>
      <c r="AJ822">
        <v>1</v>
      </c>
      <c r="AK822">
        <v>7</v>
      </c>
      <c r="AL822">
        <v>1</v>
      </c>
      <c r="AM822">
        <f>AJ822*AK822*AL822/7</f>
        <v>1</v>
      </c>
      <c r="AN822" t="s">
        <v>56</v>
      </c>
      <c r="AO822">
        <v>0</v>
      </c>
      <c r="AV822">
        <f>AU822+AM822</f>
        <v>1</v>
      </c>
      <c r="AX822">
        <v>0</v>
      </c>
      <c r="BE822">
        <f>AM822+AU822+BD822</f>
        <v>1</v>
      </c>
      <c r="BG822">
        <v>0</v>
      </c>
      <c r="BJ822" t="s">
        <v>28</v>
      </c>
      <c r="BK822">
        <v>3</v>
      </c>
      <c r="BL822">
        <v>1</v>
      </c>
      <c r="BM822">
        <v>1</v>
      </c>
      <c r="BN822" t="s">
        <v>55</v>
      </c>
      <c r="BO822">
        <v>2</v>
      </c>
      <c r="BP822">
        <v>134</v>
      </c>
      <c r="BQ822">
        <v>0.1</v>
      </c>
      <c r="BR822">
        <v>2</v>
      </c>
      <c r="BS822">
        <v>0.2</v>
      </c>
      <c r="BT822">
        <f>BS822+BD822+AU822+AM822</f>
        <v>1.2</v>
      </c>
      <c r="BU822">
        <v>1</v>
      </c>
      <c r="BV822">
        <v>1</v>
      </c>
      <c r="BW822">
        <v>146.5</v>
      </c>
      <c r="BX822">
        <f>BW822/7</f>
        <v>20.928571428571427</v>
      </c>
      <c r="BY822">
        <f>0.77*BX822</f>
        <v>16.114999999999998</v>
      </c>
      <c r="BZ822">
        <f t="shared" si="12"/>
        <v>17.314999999999998</v>
      </c>
    </row>
    <row r="823" spans="1:78">
      <c r="A823" s="1">
        <v>45215.995140196756</v>
      </c>
      <c r="C823">
        <v>822</v>
      </c>
      <c r="D823" s="10">
        <v>31556</v>
      </c>
      <c r="E823">
        <v>37</v>
      </c>
      <c r="F823">
        <v>1</v>
      </c>
      <c r="G823">
        <v>4</v>
      </c>
      <c r="H823">
        <v>4</v>
      </c>
      <c r="I823" s="10">
        <v>44328</v>
      </c>
      <c r="J823">
        <v>3</v>
      </c>
      <c r="K823">
        <v>0</v>
      </c>
      <c r="L823">
        <v>2</v>
      </c>
      <c r="M823">
        <v>3660</v>
      </c>
      <c r="N823">
        <v>2</v>
      </c>
      <c r="O823" s="10">
        <v>44055</v>
      </c>
      <c r="P823">
        <v>1</v>
      </c>
      <c r="Q823">
        <v>39</v>
      </c>
      <c r="R823">
        <v>2</v>
      </c>
      <c r="S823">
        <v>81</v>
      </c>
      <c r="T823">
        <v>161</v>
      </c>
      <c r="U823">
        <v>82</v>
      </c>
      <c r="V823">
        <v>1</v>
      </c>
      <c r="W823">
        <v>1</v>
      </c>
      <c r="X823">
        <v>31.248794413795761</v>
      </c>
      <c r="Y823">
        <v>31.634581999151262</v>
      </c>
      <c r="Z823">
        <v>0.38578758535550151</v>
      </c>
      <c r="AA823">
        <v>4</v>
      </c>
      <c r="AB823">
        <v>4</v>
      </c>
      <c r="AC823" t="s">
        <v>33</v>
      </c>
      <c r="AD823">
        <v>3</v>
      </c>
      <c r="AE823">
        <v>0</v>
      </c>
      <c r="AG823">
        <v>5</v>
      </c>
      <c r="AH823">
        <v>1</v>
      </c>
      <c r="AI823">
        <v>2</v>
      </c>
      <c r="AJ823">
        <v>5</v>
      </c>
      <c r="AK823">
        <v>7</v>
      </c>
      <c r="AL823">
        <v>1</v>
      </c>
      <c r="AM823">
        <f>AJ823*AK823*AL823/7</f>
        <v>5</v>
      </c>
      <c r="AN823" t="s">
        <v>57</v>
      </c>
      <c r="AO823">
        <v>0</v>
      </c>
      <c r="AV823">
        <f>AU823+AM823</f>
        <v>5</v>
      </c>
      <c r="AX823">
        <v>0</v>
      </c>
      <c r="BE823">
        <f>AM823+AU823+BD823</f>
        <v>5</v>
      </c>
      <c r="BG823">
        <v>0</v>
      </c>
      <c r="BJ823" t="s">
        <v>42</v>
      </c>
      <c r="BK823">
        <v>6</v>
      </c>
      <c r="BL823">
        <v>1</v>
      </c>
      <c r="BM823">
        <v>1</v>
      </c>
      <c r="BN823" t="s">
        <v>30</v>
      </c>
      <c r="BO823">
        <v>1</v>
      </c>
      <c r="BP823">
        <v>168</v>
      </c>
      <c r="BQ823">
        <v>0.13</v>
      </c>
      <c r="BR823">
        <v>2</v>
      </c>
      <c r="BS823">
        <v>0.26</v>
      </c>
      <c r="BT823">
        <f>BS823+BD823+AU823+AM823</f>
        <v>5.26</v>
      </c>
      <c r="BU823">
        <v>1</v>
      </c>
      <c r="BV823">
        <v>2</v>
      </c>
      <c r="BW823">
        <v>293</v>
      </c>
      <c r="BX823">
        <f>BW823/7</f>
        <v>41.857142857142854</v>
      </c>
      <c r="BY823">
        <f>0.77*BX823</f>
        <v>32.229999999999997</v>
      </c>
      <c r="BZ823">
        <f t="shared" si="12"/>
        <v>37.489999999999995</v>
      </c>
    </row>
    <row r="824" spans="1:78">
      <c r="A824" s="1">
        <v>45215.998557881947</v>
      </c>
      <c r="C824">
        <v>823</v>
      </c>
      <c r="D824" s="10">
        <v>35011</v>
      </c>
      <c r="E824">
        <v>27</v>
      </c>
      <c r="F824">
        <v>1</v>
      </c>
      <c r="G824">
        <v>3</v>
      </c>
      <c r="H824">
        <v>5</v>
      </c>
      <c r="I824" s="10">
        <v>44911</v>
      </c>
      <c r="J824">
        <v>2</v>
      </c>
      <c r="K824">
        <v>0</v>
      </c>
      <c r="L824">
        <v>1</v>
      </c>
      <c r="M824">
        <v>3600</v>
      </c>
      <c r="N824">
        <v>2</v>
      </c>
      <c r="O824" s="10">
        <v>44638</v>
      </c>
      <c r="P824">
        <v>0</v>
      </c>
      <c r="Q824">
        <v>39</v>
      </c>
      <c r="R824">
        <v>2</v>
      </c>
      <c r="S824">
        <v>70</v>
      </c>
      <c r="T824">
        <v>176</v>
      </c>
      <c r="U824">
        <v>92</v>
      </c>
      <c r="V824">
        <v>22</v>
      </c>
      <c r="W824">
        <v>3</v>
      </c>
      <c r="X824">
        <v>22.598140495867771</v>
      </c>
      <c r="Y824">
        <v>29.700413223140497</v>
      </c>
      <c r="Z824">
        <v>7.1022727272727266</v>
      </c>
      <c r="AA824">
        <v>2</v>
      </c>
      <c r="AB824">
        <v>3</v>
      </c>
      <c r="AC824" t="s">
        <v>33</v>
      </c>
      <c r="AD824">
        <v>3</v>
      </c>
      <c r="AE824">
        <v>0</v>
      </c>
      <c r="AG824">
        <v>5</v>
      </c>
      <c r="AH824">
        <v>0</v>
      </c>
      <c r="AI824">
        <v>0</v>
      </c>
      <c r="AN824" t="s">
        <v>97</v>
      </c>
      <c r="AO824">
        <v>0</v>
      </c>
      <c r="AW824" t="s">
        <v>490</v>
      </c>
      <c r="AX824">
        <v>1</v>
      </c>
      <c r="AY824" t="s">
        <v>490</v>
      </c>
      <c r="AZ824">
        <v>11</v>
      </c>
      <c r="BA824">
        <v>0.2</v>
      </c>
      <c r="BB824">
        <v>7</v>
      </c>
      <c r="BC824">
        <v>1</v>
      </c>
      <c r="BD824">
        <f>BA824*BB824*1/7</f>
        <v>0.2</v>
      </c>
      <c r="BE824">
        <f>AM824+AU824+BD824</f>
        <v>0.2</v>
      </c>
      <c r="BF824" t="s">
        <v>490</v>
      </c>
      <c r="BG824">
        <v>0</v>
      </c>
      <c r="BH824">
        <v>7</v>
      </c>
      <c r="BI824">
        <v>1</v>
      </c>
      <c r="BJ824" t="s">
        <v>42</v>
      </c>
      <c r="BK824">
        <v>6</v>
      </c>
      <c r="BL824">
        <v>3</v>
      </c>
      <c r="BM824">
        <v>1</v>
      </c>
      <c r="BN824" t="s">
        <v>55</v>
      </c>
      <c r="BO824">
        <v>2</v>
      </c>
      <c r="BP824">
        <v>33.5</v>
      </c>
      <c r="BQ824">
        <v>0.1</v>
      </c>
      <c r="BR824">
        <v>0.5</v>
      </c>
      <c r="BS824">
        <v>0.05</v>
      </c>
      <c r="BT824">
        <f>BS824+BD824+AU824+AM824</f>
        <v>0.25</v>
      </c>
      <c r="BU824">
        <v>1</v>
      </c>
      <c r="BV824">
        <v>0.5</v>
      </c>
      <c r="BW824">
        <v>73.25</v>
      </c>
      <c r="BX824">
        <f>BW824/7</f>
        <v>10.464285714285714</v>
      </c>
      <c r="BY824">
        <f>0.77*BX824</f>
        <v>8.0574999999999992</v>
      </c>
      <c r="BZ824">
        <f t="shared" si="12"/>
        <v>8.3074999999999992</v>
      </c>
    </row>
    <row r="825" spans="1:78">
      <c r="A825" s="1">
        <v>45216.068297534723</v>
      </c>
      <c r="C825">
        <v>824</v>
      </c>
      <c r="D825" s="10">
        <v>32378</v>
      </c>
      <c r="E825">
        <v>35</v>
      </c>
      <c r="F825">
        <v>1</v>
      </c>
      <c r="G825">
        <v>1</v>
      </c>
      <c r="H825">
        <v>4</v>
      </c>
      <c r="I825" s="10">
        <v>42952</v>
      </c>
      <c r="J825">
        <v>3</v>
      </c>
      <c r="K825">
        <v>0</v>
      </c>
      <c r="L825">
        <v>2</v>
      </c>
      <c r="M825">
        <v>3380</v>
      </c>
      <c r="N825">
        <v>2</v>
      </c>
      <c r="O825" s="10">
        <v>42679</v>
      </c>
      <c r="P825">
        <v>0</v>
      </c>
      <c r="Q825">
        <v>39</v>
      </c>
      <c r="R825">
        <v>2</v>
      </c>
      <c r="S825">
        <v>74</v>
      </c>
      <c r="T825">
        <v>158</v>
      </c>
      <c r="U825">
        <v>88</v>
      </c>
      <c r="V825">
        <v>14</v>
      </c>
      <c r="W825">
        <v>3</v>
      </c>
      <c r="X825">
        <v>29.642685467072578</v>
      </c>
      <c r="Y825">
        <v>35.250761095978206</v>
      </c>
      <c r="Z825">
        <v>5.6080756289056275</v>
      </c>
      <c r="AA825">
        <v>3</v>
      </c>
      <c r="AB825">
        <v>4</v>
      </c>
      <c r="AC825" t="s">
        <v>44</v>
      </c>
      <c r="AD825">
        <v>1</v>
      </c>
      <c r="AE825">
        <v>1</v>
      </c>
      <c r="AF825" t="s">
        <v>491</v>
      </c>
      <c r="AG825" t="e">
        <v>#N/A</v>
      </c>
      <c r="AH825">
        <v>1</v>
      </c>
      <c r="AI825">
        <v>4</v>
      </c>
      <c r="AJ825">
        <v>1</v>
      </c>
      <c r="AK825">
        <v>7</v>
      </c>
      <c r="AL825">
        <v>1</v>
      </c>
      <c r="AM825">
        <f>AJ825*AK825*AL825/7</f>
        <v>1</v>
      </c>
      <c r="AN825" t="s">
        <v>43</v>
      </c>
      <c r="AO825">
        <v>0</v>
      </c>
      <c r="AV825">
        <f>AU825+AM825</f>
        <v>1</v>
      </c>
      <c r="AW825" t="s">
        <v>61</v>
      </c>
      <c r="AX825">
        <v>1</v>
      </c>
      <c r="AY825" t="s">
        <v>61</v>
      </c>
      <c r="AZ825">
        <v>2</v>
      </c>
      <c r="BA825">
        <v>0.27</v>
      </c>
      <c r="BB825">
        <v>7</v>
      </c>
      <c r="BC825">
        <v>1</v>
      </c>
      <c r="BD825">
        <f>BA825*BB825*1/7</f>
        <v>0.27</v>
      </c>
      <c r="BE825">
        <f>AM825+AU825+BD825</f>
        <v>1.27</v>
      </c>
      <c r="BF825" t="s">
        <v>61</v>
      </c>
      <c r="BG825">
        <v>0</v>
      </c>
      <c r="BH825">
        <v>7</v>
      </c>
      <c r="BI825">
        <v>1</v>
      </c>
      <c r="BJ825" t="s">
        <v>49</v>
      </c>
      <c r="BK825">
        <v>5</v>
      </c>
      <c r="BL825">
        <v>1</v>
      </c>
      <c r="BM825">
        <v>1</v>
      </c>
      <c r="BN825" t="s">
        <v>30</v>
      </c>
      <c r="BO825">
        <v>1</v>
      </c>
      <c r="BP825">
        <v>168</v>
      </c>
      <c r="BQ825">
        <v>0.13</v>
      </c>
      <c r="BR825">
        <v>2</v>
      </c>
      <c r="BS825">
        <v>0.26</v>
      </c>
      <c r="BT825">
        <f>BS825+BD825+AU825+AM825</f>
        <v>1.53</v>
      </c>
      <c r="BU825">
        <v>1</v>
      </c>
      <c r="BV825">
        <v>2</v>
      </c>
      <c r="BW825">
        <v>293</v>
      </c>
      <c r="BX825">
        <f>BW825/7</f>
        <v>41.857142857142854</v>
      </c>
      <c r="BY825">
        <f>0.77*BX825</f>
        <v>32.229999999999997</v>
      </c>
      <c r="BZ825">
        <f t="shared" si="12"/>
        <v>33.76</v>
      </c>
    </row>
    <row r="826" spans="1:78">
      <c r="A826" s="1">
        <v>45216.076940844912</v>
      </c>
      <c r="C826">
        <v>825</v>
      </c>
      <c r="D826" s="10">
        <v>30030</v>
      </c>
      <c r="E826">
        <v>41</v>
      </c>
      <c r="F826">
        <v>1</v>
      </c>
      <c r="G826">
        <v>1</v>
      </c>
      <c r="H826">
        <v>3</v>
      </c>
      <c r="I826" s="10">
        <v>44192</v>
      </c>
      <c r="J826">
        <v>3</v>
      </c>
      <c r="K826">
        <v>0</v>
      </c>
      <c r="L826">
        <v>2</v>
      </c>
      <c r="M826">
        <v>3080</v>
      </c>
      <c r="N826">
        <v>2</v>
      </c>
      <c r="O826" s="10">
        <v>43912</v>
      </c>
      <c r="P826">
        <v>1</v>
      </c>
      <c r="Q826">
        <v>40</v>
      </c>
      <c r="R826">
        <v>2</v>
      </c>
      <c r="S826">
        <v>70</v>
      </c>
      <c r="T826">
        <v>164</v>
      </c>
      <c r="U826">
        <v>78</v>
      </c>
      <c r="V826">
        <v>8</v>
      </c>
      <c r="W826">
        <v>2</v>
      </c>
      <c r="X826">
        <v>26.026174895895306</v>
      </c>
      <c r="Y826">
        <v>29.000594883997625</v>
      </c>
      <c r="Z826">
        <v>2.9744199881023192</v>
      </c>
      <c r="AA826">
        <v>3</v>
      </c>
      <c r="AB826">
        <v>3</v>
      </c>
      <c r="AC826" t="s">
        <v>50</v>
      </c>
      <c r="AD826">
        <v>2</v>
      </c>
      <c r="AE826">
        <v>0</v>
      </c>
      <c r="AG826">
        <v>5</v>
      </c>
      <c r="AH826">
        <v>1</v>
      </c>
      <c r="AI826">
        <v>13</v>
      </c>
      <c r="AJ826">
        <v>1</v>
      </c>
      <c r="AK826">
        <v>6</v>
      </c>
      <c r="AL826">
        <v>1</v>
      </c>
      <c r="AM826">
        <f>AJ826*AK826*AL826/7</f>
        <v>0.8571428571428571</v>
      </c>
      <c r="AN826" t="s">
        <v>79</v>
      </c>
      <c r="AO826">
        <v>0</v>
      </c>
      <c r="AV826">
        <f>AU826+AM826</f>
        <v>0.8571428571428571</v>
      </c>
      <c r="AX826">
        <v>0</v>
      </c>
      <c r="BE826">
        <f>AM826+AU826+BD826</f>
        <v>0.8571428571428571</v>
      </c>
      <c r="BG826">
        <v>0</v>
      </c>
      <c r="BJ826" t="s">
        <v>49</v>
      </c>
      <c r="BK826">
        <v>5</v>
      </c>
      <c r="BL826">
        <v>1</v>
      </c>
      <c r="BM826">
        <v>1</v>
      </c>
      <c r="BN826" t="s">
        <v>37</v>
      </c>
      <c r="BO826">
        <v>4</v>
      </c>
      <c r="BP826">
        <v>165</v>
      </c>
      <c r="BQ826">
        <v>0.05</v>
      </c>
      <c r="BR826">
        <v>3</v>
      </c>
      <c r="BS826">
        <v>0.15000000000000002</v>
      </c>
      <c r="BT826">
        <f>BS826+BD826+AU826+AM826</f>
        <v>1.0071428571428571</v>
      </c>
      <c r="BU826">
        <v>1</v>
      </c>
      <c r="BV826">
        <v>2</v>
      </c>
      <c r="BW826">
        <v>293</v>
      </c>
      <c r="BX826">
        <f>BW826/7</f>
        <v>41.857142857142854</v>
      </c>
      <c r="BY826">
        <f>0.77*BX826</f>
        <v>32.229999999999997</v>
      </c>
      <c r="BZ826">
        <f t="shared" si="12"/>
        <v>33.237142857142857</v>
      </c>
    </row>
    <row r="827" spans="1:78">
      <c r="A827" s="1">
        <v>45216.099467453707</v>
      </c>
      <c r="C827">
        <v>826</v>
      </c>
      <c r="D827" s="10">
        <v>35718</v>
      </c>
      <c r="E827">
        <v>25</v>
      </c>
      <c r="F827">
        <v>1</v>
      </c>
      <c r="G827">
        <v>1</v>
      </c>
      <c r="H827">
        <v>3</v>
      </c>
      <c r="I827" s="10">
        <v>44618</v>
      </c>
      <c r="J827">
        <v>2</v>
      </c>
      <c r="K827">
        <v>0</v>
      </c>
      <c r="L827">
        <v>1</v>
      </c>
      <c r="M827">
        <v>3540</v>
      </c>
      <c r="N827">
        <v>2</v>
      </c>
      <c r="O827" s="10">
        <v>44352</v>
      </c>
      <c r="P827">
        <v>1</v>
      </c>
      <c r="Q827">
        <v>38</v>
      </c>
      <c r="R827">
        <v>2</v>
      </c>
      <c r="S827">
        <v>73</v>
      </c>
      <c r="T827">
        <v>166</v>
      </c>
      <c r="U827">
        <v>83</v>
      </c>
      <c r="V827">
        <v>10</v>
      </c>
      <c r="W827">
        <v>2</v>
      </c>
      <c r="X827">
        <v>26.491508201480624</v>
      </c>
      <c r="Y827">
        <v>30.120481927710845</v>
      </c>
      <c r="Z827">
        <v>3.6289737262302211</v>
      </c>
      <c r="AA827">
        <v>3</v>
      </c>
      <c r="AB827">
        <v>4</v>
      </c>
      <c r="AC827" t="s">
        <v>33</v>
      </c>
      <c r="AD827">
        <v>3</v>
      </c>
      <c r="AE827">
        <v>0</v>
      </c>
      <c r="AG827">
        <v>5</v>
      </c>
      <c r="AH827">
        <v>1</v>
      </c>
      <c r="AI827">
        <v>4</v>
      </c>
      <c r="AJ827">
        <v>1</v>
      </c>
      <c r="AK827">
        <v>7</v>
      </c>
      <c r="AL827">
        <v>1</v>
      </c>
      <c r="AM827">
        <f>AJ827*AK827*AL827/7</f>
        <v>1</v>
      </c>
      <c r="AN827" t="s">
        <v>43</v>
      </c>
      <c r="AO827">
        <v>0</v>
      </c>
      <c r="AV827">
        <f>AU827+AM827</f>
        <v>1</v>
      </c>
      <c r="AW827" t="s">
        <v>492</v>
      </c>
      <c r="AX827">
        <v>0</v>
      </c>
      <c r="BE827">
        <f>AM827+AU827+BD827</f>
        <v>1</v>
      </c>
      <c r="BF827" t="s">
        <v>492</v>
      </c>
      <c r="BG827">
        <v>1</v>
      </c>
      <c r="BH827">
        <v>7</v>
      </c>
      <c r="BI827">
        <v>1</v>
      </c>
      <c r="BJ827" t="s">
        <v>114</v>
      </c>
      <c r="BK827">
        <v>6</v>
      </c>
      <c r="BL827">
        <v>1</v>
      </c>
      <c r="BM827">
        <v>1</v>
      </c>
      <c r="BN827" t="s">
        <v>30</v>
      </c>
      <c r="BO827">
        <v>1</v>
      </c>
      <c r="BP827">
        <v>168</v>
      </c>
      <c r="BQ827">
        <v>0.13</v>
      </c>
      <c r="BR827">
        <v>2</v>
      </c>
      <c r="BS827">
        <v>0.26</v>
      </c>
      <c r="BT827">
        <f>BS827+BD827+AU827+AM827</f>
        <v>1.26</v>
      </c>
      <c r="BU827">
        <v>1</v>
      </c>
      <c r="BV827">
        <v>3</v>
      </c>
      <c r="BW827">
        <v>439.5</v>
      </c>
      <c r="BX827">
        <f>BW827/7</f>
        <v>62.785714285714285</v>
      </c>
      <c r="BY827">
        <f>0.77*BX827</f>
        <v>48.344999999999999</v>
      </c>
      <c r="BZ827">
        <f t="shared" si="12"/>
        <v>49.604999999999997</v>
      </c>
    </row>
    <row r="828" spans="1:78">
      <c r="A828" s="1">
        <v>45216.153157881941</v>
      </c>
      <c r="B828" s="9" t="s">
        <v>866</v>
      </c>
      <c r="C828">
        <v>827</v>
      </c>
      <c r="D828" s="10">
        <v>32490</v>
      </c>
      <c r="E828">
        <v>34</v>
      </c>
      <c r="F828">
        <v>1</v>
      </c>
      <c r="G828">
        <v>9</v>
      </c>
      <c r="H828">
        <v>4</v>
      </c>
      <c r="I828" s="10">
        <v>43377</v>
      </c>
      <c r="J828">
        <v>2</v>
      </c>
      <c r="K828">
        <v>0</v>
      </c>
      <c r="L828">
        <v>1</v>
      </c>
      <c r="M828">
        <v>3150</v>
      </c>
      <c r="N828">
        <v>2</v>
      </c>
      <c r="O828" s="10">
        <v>43111</v>
      </c>
      <c r="P828">
        <v>0</v>
      </c>
      <c r="Q828">
        <v>38</v>
      </c>
      <c r="R828">
        <v>2</v>
      </c>
      <c r="S828">
        <v>55</v>
      </c>
      <c r="T828">
        <v>155</v>
      </c>
      <c r="U828">
        <v>64</v>
      </c>
      <c r="V828">
        <v>9</v>
      </c>
      <c r="W828">
        <v>1</v>
      </c>
      <c r="X828">
        <v>22.892819979188342</v>
      </c>
      <c r="Y828">
        <v>26.638917793964616</v>
      </c>
      <c r="Z828">
        <v>3.7460978147762738</v>
      </c>
      <c r="AA828">
        <v>2</v>
      </c>
      <c r="AB828">
        <v>3</v>
      </c>
      <c r="AC828" t="s">
        <v>33</v>
      </c>
      <c r="AD828">
        <v>3</v>
      </c>
      <c r="AE828">
        <v>0</v>
      </c>
      <c r="AG828">
        <v>5</v>
      </c>
      <c r="AH828">
        <v>1</v>
      </c>
      <c r="AI828" t="s">
        <v>258</v>
      </c>
      <c r="AJ828" t="s">
        <v>258</v>
      </c>
      <c r="AK828">
        <v>7</v>
      </c>
      <c r="AL828">
        <v>1</v>
      </c>
      <c r="AM828" t="s">
        <v>258</v>
      </c>
      <c r="AN828" t="s">
        <v>655</v>
      </c>
      <c r="AO828">
        <v>0</v>
      </c>
      <c r="AW828" t="s">
        <v>336</v>
      </c>
      <c r="AX828">
        <v>0</v>
      </c>
      <c r="BE828" t="s">
        <v>258</v>
      </c>
      <c r="BF828" t="s">
        <v>336</v>
      </c>
      <c r="BG828">
        <v>1</v>
      </c>
      <c r="BH828">
        <v>7</v>
      </c>
      <c r="BI828">
        <v>1</v>
      </c>
      <c r="BJ828" t="s">
        <v>42</v>
      </c>
      <c r="BK828">
        <v>6</v>
      </c>
      <c r="BL828">
        <v>1</v>
      </c>
      <c r="BM828">
        <v>1</v>
      </c>
      <c r="BN828" t="s">
        <v>30</v>
      </c>
      <c r="BO828">
        <v>1</v>
      </c>
      <c r="BP828">
        <v>42</v>
      </c>
      <c r="BQ828">
        <v>0.13</v>
      </c>
      <c r="BR828">
        <v>0.5</v>
      </c>
      <c r="BS828">
        <v>6.5000000000000002E-2</v>
      </c>
      <c r="BT828" t="e">
        <f>BS828+BD828+AU828+AM828</f>
        <v>#VALUE!</v>
      </c>
      <c r="BU828">
        <v>1</v>
      </c>
      <c r="BV828">
        <v>1</v>
      </c>
      <c r="BW828">
        <v>146.5</v>
      </c>
      <c r="BX828">
        <f>BW828/7</f>
        <v>20.928571428571427</v>
      </c>
      <c r="BY828">
        <f>0.77*BX828</f>
        <v>16.114999999999998</v>
      </c>
      <c r="BZ828" t="e">
        <f t="shared" si="12"/>
        <v>#VALUE!</v>
      </c>
    </row>
    <row r="829" spans="1:78">
      <c r="A829" s="1">
        <v>45216.256720428239</v>
      </c>
      <c r="C829">
        <v>828</v>
      </c>
      <c r="D829" s="10">
        <v>31215</v>
      </c>
      <c r="E829">
        <v>38</v>
      </c>
      <c r="F829">
        <v>1</v>
      </c>
      <c r="G829">
        <v>1</v>
      </c>
      <c r="H829">
        <v>5</v>
      </c>
      <c r="I829" s="10">
        <v>43933</v>
      </c>
      <c r="J829">
        <v>1</v>
      </c>
      <c r="K829">
        <v>1</v>
      </c>
      <c r="L829">
        <v>2</v>
      </c>
      <c r="M829">
        <v>2695</v>
      </c>
      <c r="N829">
        <v>2</v>
      </c>
      <c r="O829" s="10">
        <v>43647</v>
      </c>
      <c r="P829">
        <v>0</v>
      </c>
      <c r="Q829">
        <v>40.857142857142854</v>
      </c>
      <c r="R829">
        <v>2</v>
      </c>
      <c r="S829">
        <v>56.5</v>
      </c>
      <c r="T829">
        <v>157</v>
      </c>
      <c r="U829">
        <v>69.5</v>
      </c>
      <c r="V829">
        <v>13</v>
      </c>
      <c r="W829">
        <v>2</v>
      </c>
      <c r="X829">
        <v>22.921822386303703</v>
      </c>
      <c r="Y829">
        <v>28.195870015010751</v>
      </c>
      <c r="Z829">
        <v>5.2740476287070486</v>
      </c>
      <c r="AA829">
        <v>2</v>
      </c>
      <c r="AB829">
        <v>3</v>
      </c>
      <c r="AC829" t="s">
        <v>33</v>
      </c>
      <c r="AD829">
        <v>3</v>
      </c>
      <c r="AE829">
        <v>0</v>
      </c>
      <c r="AG829">
        <v>5</v>
      </c>
      <c r="AH829">
        <v>1</v>
      </c>
      <c r="AI829">
        <v>4</v>
      </c>
      <c r="AJ829">
        <v>1</v>
      </c>
      <c r="AK829">
        <v>7</v>
      </c>
      <c r="AL829">
        <v>1</v>
      </c>
      <c r="AM829">
        <f>AJ829*AK829*AL829/7</f>
        <v>1</v>
      </c>
      <c r="AN829" t="s">
        <v>43</v>
      </c>
      <c r="AO829">
        <v>0</v>
      </c>
      <c r="AV829">
        <f>AU829+AM829</f>
        <v>1</v>
      </c>
      <c r="AW829" t="s">
        <v>98</v>
      </c>
      <c r="AX829">
        <v>1</v>
      </c>
      <c r="AY829" t="s">
        <v>98</v>
      </c>
      <c r="AZ829">
        <v>14</v>
      </c>
      <c r="BA829">
        <v>0.5</v>
      </c>
      <c r="BB829">
        <v>7</v>
      </c>
      <c r="BC829">
        <v>2</v>
      </c>
      <c r="BD829">
        <f>BA829*BB829*1/7</f>
        <v>0.5</v>
      </c>
      <c r="BE829">
        <f>AM829+AU829+BD829</f>
        <v>1.5</v>
      </c>
      <c r="BF829" t="s">
        <v>98</v>
      </c>
      <c r="BG829">
        <v>0</v>
      </c>
      <c r="BH829">
        <v>7</v>
      </c>
      <c r="BI829">
        <v>2</v>
      </c>
      <c r="BJ829" t="s">
        <v>28</v>
      </c>
      <c r="BK829">
        <v>3</v>
      </c>
      <c r="BL829">
        <v>1</v>
      </c>
      <c r="BM829">
        <v>1</v>
      </c>
      <c r="BN829" t="s">
        <v>59</v>
      </c>
      <c r="BO829">
        <v>3</v>
      </c>
      <c r="BP829">
        <v>168</v>
      </c>
      <c r="BQ829">
        <v>0.08</v>
      </c>
      <c r="BR829">
        <v>3</v>
      </c>
      <c r="BS829">
        <v>0.24</v>
      </c>
      <c r="BT829">
        <f>BS829+BD829+AU829+AM829</f>
        <v>1.74</v>
      </c>
      <c r="BU829">
        <v>1</v>
      </c>
      <c r="BV829">
        <v>4</v>
      </c>
      <c r="BW829">
        <v>586</v>
      </c>
      <c r="BX829">
        <f>BW829/7</f>
        <v>83.714285714285708</v>
      </c>
      <c r="BY829">
        <f>0.77*BX829</f>
        <v>64.459999999999994</v>
      </c>
      <c r="BZ829">
        <f t="shared" si="12"/>
        <v>66.199999999999989</v>
      </c>
    </row>
    <row r="830" spans="1:78">
      <c r="A830" s="1">
        <v>45216.326126550921</v>
      </c>
      <c r="C830">
        <v>829</v>
      </c>
      <c r="D830" s="10">
        <v>35620</v>
      </c>
      <c r="E830">
        <v>26</v>
      </c>
      <c r="F830">
        <v>1</v>
      </c>
      <c r="G830">
        <v>1</v>
      </c>
      <c r="H830">
        <v>4</v>
      </c>
      <c r="I830" s="10">
        <v>44124</v>
      </c>
      <c r="J830">
        <v>1</v>
      </c>
      <c r="K830">
        <v>1</v>
      </c>
      <c r="L830">
        <v>2</v>
      </c>
      <c r="M830">
        <v>3650</v>
      </c>
      <c r="N830">
        <v>2</v>
      </c>
      <c r="O830" s="10">
        <v>43859</v>
      </c>
      <c r="P830">
        <v>0</v>
      </c>
      <c r="Q830">
        <v>37.857142857142854</v>
      </c>
      <c r="R830">
        <v>2</v>
      </c>
      <c r="S830">
        <v>68</v>
      </c>
      <c r="T830">
        <v>163</v>
      </c>
      <c r="U830">
        <v>84</v>
      </c>
      <c r="V830">
        <v>16</v>
      </c>
      <c r="W830">
        <v>3</v>
      </c>
      <c r="X830">
        <v>25.59373706198954</v>
      </c>
      <c r="Y830">
        <v>31.615792841281195</v>
      </c>
      <c r="Z830">
        <v>6.0220557792916551</v>
      </c>
      <c r="AA830">
        <v>3</v>
      </c>
      <c r="AB830">
        <v>4</v>
      </c>
      <c r="AC830" t="s">
        <v>33</v>
      </c>
      <c r="AD830">
        <v>3</v>
      </c>
      <c r="AE830">
        <v>0</v>
      </c>
      <c r="AG830">
        <v>5</v>
      </c>
      <c r="AH830">
        <v>1</v>
      </c>
      <c r="AI830">
        <v>13</v>
      </c>
      <c r="AJ830">
        <v>1</v>
      </c>
      <c r="AK830">
        <v>7</v>
      </c>
      <c r="AL830">
        <v>1</v>
      </c>
      <c r="AM830">
        <f>AJ830*AK830*AL830/7</f>
        <v>1</v>
      </c>
      <c r="AN830" t="s">
        <v>79</v>
      </c>
      <c r="AO830">
        <v>0</v>
      </c>
      <c r="AV830">
        <f>AU830+AM830</f>
        <v>1</v>
      </c>
      <c r="AW830" t="s">
        <v>334</v>
      </c>
      <c r="AX830">
        <v>0</v>
      </c>
      <c r="BE830">
        <f>AM830+AU830+BD830</f>
        <v>1</v>
      </c>
      <c r="BF830" t="s">
        <v>334</v>
      </c>
      <c r="BG830">
        <v>1</v>
      </c>
      <c r="BH830">
        <v>7</v>
      </c>
      <c r="BI830">
        <v>1</v>
      </c>
      <c r="BJ830" t="s">
        <v>49</v>
      </c>
      <c r="BK830">
        <v>5</v>
      </c>
      <c r="BL830">
        <v>1</v>
      </c>
      <c r="BM830">
        <v>1</v>
      </c>
      <c r="BN830" t="s">
        <v>55</v>
      </c>
      <c r="BO830">
        <v>2</v>
      </c>
      <c r="BP830">
        <v>201</v>
      </c>
      <c r="BQ830">
        <v>0.1</v>
      </c>
      <c r="BR830">
        <v>3</v>
      </c>
      <c r="BS830">
        <v>0.30000000000000004</v>
      </c>
      <c r="BT830">
        <f>BS830+BD830+AU830+AM830</f>
        <v>1.3</v>
      </c>
      <c r="BU830">
        <v>1</v>
      </c>
      <c r="BV830">
        <v>2</v>
      </c>
      <c r="BW830">
        <v>293</v>
      </c>
      <c r="BX830">
        <f>BW830/7</f>
        <v>41.857142857142854</v>
      </c>
      <c r="BY830">
        <f>0.77*BX830</f>
        <v>32.229999999999997</v>
      </c>
      <c r="BZ830">
        <f t="shared" si="12"/>
        <v>33.529999999999994</v>
      </c>
    </row>
    <row r="831" spans="1:78">
      <c r="A831" s="1">
        <v>45216.403668182873</v>
      </c>
      <c r="C831">
        <v>830</v>
      </c>
      <c r="D831" s="10">
        <v>33115</v>
      </c>
      <c r="E831">
        <v>33</v>
      </c>
      <c r="F831">
        <v>1</v>
      </c>
      <c r="G831">
        <v>2</v>
      </c>
      <c r="H831">
        <v>4</v>
      </c>
      <c r="I831" s="10">
        <v>44991</v>
      </c>
      <c r="J831">
        <v>2</v>
      </c>
      <c r="K831">
        <v>0</v>
      </c>
      <c r="L831">
        <v>1</v>
      </c>
      <c r="M831">
        <v>3100</v>
      </c>
      <c r="N831">
        <v>2</v>
      </c>
      <c r="O831" s="10">
        <v>44725</v>
      </c>
      <c r="P831">
        <v>0</v>
      </c>
      <c r="Q831">
        <v>38</v>
      </c>
      <c r="R831">
        <v>2</v>
      </c>
      <c r="S831">
        <v>75.5</v>
      </c>
      <c r="T831">
        <v>147</v>
      </c>
      <c r="U831">
        <v>75</v>
      </c>
      <c r="V831">
        <v>-0.5</v>
      </c>
      <c r="W831">
        <v>1</v>
      </c>
      <c r="X831">
        <v>34.93914572631774</v>
      </c>
      <c r="Y831">
        <v>34.707760655282527</v>
      </c>
      <c r="Z831">
        <v>-0.23138507103521277</v>
      </c>
      <c r="AA831">
        <v>4</v>
      </c>
      <c r="AB831">
        <v>4</v>
      </c>
      <c r="AC831" t="s">
        <v>33</v>
      </c>
      <c r="AD831">
        <v>3</v>
      </c>
      <c r="AE831">
        <v>0</v>
      </c>
      <c r="AG831">
        <v>5</v>
      </c>
      <c r="AH831">
        <v>1</v>
      </c>
      <c r="AI831">
        <v>2</v>
      </c>
      <c r="AJ831">
        <v>5</v>
      </c>
      <c r="AK831">
        <v>7</v>
      </c>
      <c r="AL831">
        <v>1</v>
      </c>
      <c r="AM831">
        <f>AJ831*AK831*AL831/7</f>
        <v>5</v>
      </c>
      <c r="AN831" t="s">
        <v>57</v>
      </c>
      <c r="AO831">
        <v>0</v>
      </c>
      <c r="AV831">
        <f>AU831+AM831</f>
        <v>5</v>
      </c>
      <c r="AW831" t="s">
        <v>58</v>
      </c>
      <c r="AX831">
        <v>1</v>
      </c>
      <c r="AY831" t="s">
        <v>58</v>
      </c>
      <c r="AZ831">
        <v>1</v>
      </c>
      <c r="BA831">
        <v>0.8</v>
      </c>
      <c r="BB831">
        <v>7</v>
      </c>
      <c r="BC831">
        <v>1</v>
      </c>
      <c r="BD831">
        <f>BA831*BB831*1/7</f>
        <v>0.8</v>
      </c>
      <c r="BE831">
        <f>AM831+AU831+BD831</f>
        <v>5.8</v>
      </c>
      <c r="BF831" t="s">
        <v>58</v>
      </c>
      <c r="BG831">
        <v>0</v>
      </c>
      <c r="BH831">
        <v>7</v>
      </c>
      <c r="BI831">
        <v>1</v>
      </c>
      <c r="BJ831" t="s">
        <v>49</v>
      </c>
      <c r="BK831">
        <v>5</v>
      </c>
      <c r="BL831">
        <v>1</v>
      </c>
      <c r="BM831">
        <v>1</v>
      </c>
      <c r="BN831" t="s">
        <v>30</v>
      </c>
      <c r="BO831">
        <v>1</v>
      </c>
      <c r="BP831">
        <v>252</v>
      </c>
      <c r="BQ831">
        <v>0.13</v>
      </c>
      <c r="BR831">
        <v>3</v>
      </c>
      <c r="BS831">
        <v>0.39</v>
      </c>
      <c r="BT831">
        <f>BS831+BD831+AU831+AM831</f>
        <v>6.1899999999999995</v>
      </c>
      <c r="BU831">
        <v>1</v>
      </c>
      <c r="BV831">
        <v>1</v>
      </c>
      <c r="BW831">
        <v>146.5</v>
      </c>
      <c r="BX831">
        <f>BW831/7</f>
        <v>20.928571428571427</v>
      </c>
      <c r="BY831">
        <f>0.77*BX831</f>
        <v>16.114999999999998</v>
      </c>
      <c r="BZ831">
        <f t="shared" si="12"/>
        <v>22.305</v>
      </c>
    </row>
    <row r="832" spans="1:78">
      <c r="A832" s="1">
        <v>45216.427955601852</v>
      </c>
      <c r="C832">
        <v>831</v>
      </c>
      <c r="D832" s="10">
        <v>30045</v>
      </c>
      <c r="E832">
        <v>41</v>
      </c>
      <c r="F832">
        <v>1</v>
      </c>
      <c r="G832">
        <v>14</v>
      </c>
      <c r="H832">
        <v>4</v>
      </c>
      <c r="I832" s="10">
        <v>44880</v>
      </c>
      <c r="J832">
        <v>3</v>
      </c>
      <c r="K832">
        <v>0</v>
      </c>
      <c r="L832">
        <v>2</v>
      </c>
      <c r="M832">
        <v>3410</v>
      </c>
      <c r="N832">
        <v>2</v>
      </c>
      <c r="O832" s="10">
        <v>44621</v>
      </c>
      <c r="P832">
        <v>0</v>
      </c>
      <c r="Q832">
        <v>37</v>
      </c>
      <c r="R832">
        <v>2</v>
      </c>
      <c r="S832">
        <v>83</v>
      </c>
      <c r="T832">
        <v>177</v>
      </c>
      <c r="U832">
        <v>76</v>
      </c>
      <c r="V832">
        <v>-7</v>
      </c>
      <c r="W832">
        <v>1</v>
      </c>
      <c r="X832">
        <v>26.493025631204315</v>
      </c>
      <c r="Y832">
        <v>24.258674071946118</v>
      </c>
      <c r="Z832">
        <v>-2.2343515592581973</v>
      </c>
      <c r="AA832">
        <v>3</v>
      </c>
      <c r="AB832">
        <v>2</v>
      </c>
      <c r="AC832" t="s">
        <v>44</v>
      </c>
      <c r="AD832">
        <v>1</v>
      </c>
      <c r="AE832">
        <v>0</v>
      </c>
      <c r="AG832">
        <v>5</v>
      </c>
      <c r="AH832">
        <v>1</v>
      </c>
      <c r="AI832">
        <v>4</v>
      </c>
      <c r="AJ832">
        <v>1</v>
      </c>
      <c r="AK832">
        <v>7</v>
      </c>
      <c r="AL832">
        <v>1</v>
      </c>
      <c r="AM832">
        <f>AJ832*AK832*AL832/7</f>
        <v>1</v>
      </c>
      <c r="AN832" t="s">
        <v>43</v>
      </c>
      <c r="AO832">
        <v>0</v>
      </c>
      <c r="AV832">
        <f>AU832+AM832</f>
        <v>1</v>
      </c>
      <c r="AW832" t="s">
        <v>71</v>
      </c>
      <c r="AX832">
        <v>1</v>
      </c>
      <c r="AY832" t="s">
        <v>71</v>
      </c>
      <c r="AZ832">
        <v>5</v>
      </c>
      <c r="BA832">
        <v>0.4</v>
      </c>
      <c r="BB832">
        <v>7</v>
      </c>
      <c r="BC832">
        <v>1</v>
      </c>
      <c r="BD832">
        <f>BA832*BB832*1/7</f>
        <v>0.4</v>
      </c>
      <c r="BE832">
        <f>AM832+AU832+BD832</f>
        <v>1.4</v>
      </c>
      <c r="BF832" t="s">
        <v>71</v>
      </c>
      <c r="BG832">
        <v>0</v>
      </c>
      <c r="BH832">
        <v>7</v>
      </c>
      <c r="BI832">
        <v>1</v>
      </c>
      <c r="BJ832" t="s">
        <v>49</v>
      </c>
      <c r="BK832">
        <v>5</v>
      </c>
      <c r="BL832">
        <v>3</v>
      </c>
      <c r="BM832">
        <v>1</v>
      </c>
      <c r="BN832" t="s">
        <v>59</v>
      </c>
      <c r="BO832">
        <v>3</v>
      </c>
      <c r="BP832">
        <v>56</v>
      </c>
      <c r="BQ832">
        <v>0.08</v>
      </c>
      <c r="BR832">
        <v>1</v>
      </c>
      <c r="BS832">
        <v>0.08</v>
      </c>
      <c r="BT832">
        <f>BS832+BD832+AU832+AM832</f>
        <v>1.48</v>
      </c>
      <c r="BU832">
        <v>1</v>
      </c>
      <c r="BV832">
        <v>1</v>
      </c>
      <c r="BW832">
        <v>146.5</v>
      </c>
      <c r="BX832">
        <f>BW832/7</f>
        <v>20.928571428571427</v>
      </c>
      <c r="BY832">
        <f>0.77*BX832</f>
        <v>16.114999999999998</v>
      </c>
      <c r="BZ832">
        <f t="shared" si="12"/>
        <v>17.594999999999999</v>
      </c>
    </row>
    <row r="833" spans="1:78">
      <c r="A833" s="1">
        <v>45216.434464641206</v>
      </c>
      <c r="B833" s="9" t="s">
        <v>866</v>
      </c>
      <c r="C833">
        <v>832</v>
      </c>
      <c r="D833" s="10">
        <v>35044</v>
      </c>
      <c r="E833">
        <v>27</v>
      </c>
      <c r="F833">
        <v>1</v>
      </c>
      <c r="G833">
        <v>1</v>
      </c>
      <c r="H833">
        <v>2</v>
      </c>
      <c r="I833" s="10">
        <v>42867</v>
      </c>
      <c r="J833">
        <v>1</v>
      </c>
      <c r="K833">
        <v>1</v>
      </c>
      <c r="L833">
        <v>2</v>
      </c>
      <c r="M833">
        <v>3585</v>
      </c>
      <c r="N833">
        <v>2</v>
      </c>
      <c r="O833" s="10">
        <v>42596</v>
      </c>
      <c r="P833">
        <v>0</v>
      </c>
      <c r="Q833">
        <v>38.714285714285715</v>
      </c>
      <c r="R833">
        <v>2</v>
      </c>
      <c r="S833">
        <v>84</v>
      </c>
      <c r="T833">
        <v>170</v>
      </c>
      <c r="U833">
        <v>92</v>
      </c>
      <c r="V833">
        <v>8</v>
      </c>
      <c r="W833">
        <v>2</v>
      </c>
      <c r="X833">
        <v>29.065743944636683</v>
      </c>
      <c r="Y833">
        <v>31.833910034602081</v>
      </c>
      <c r="Z833">
        <v>2.7681660899653977</v>
      </c>
      <c r="AA833">
        <v>3</v>
      </c>
      <c r="AB833">
        <v>4</v>
      </c>
      <c r="AC833" t="s">
        <v>50</v>
      </c>
      <c r="AD833">
        <v>2</v>
      </c>
      <c r="AE833">
        <v>0</v>
      </c>
      <c r="AG833">
        <v>5</v>
      </c>
      <c r="AH833">
        <v>1</v>
      </c>
      <c r="AI833" t="s">
        <v>258</v>
      </c>
      <c r="AJ833" t="s">
        <v>258</v>
      </c>
      <c r="AK833">
        <v>7</v>
      </c>
      <c r="AL833">
        <v>1</v>
      </c>
      <c r="AM833" t="s">
        <v>258</v>
      </c>
      <c r="AN833" t="s">
        <v>847</v>
      </c>
      <c r="AO833">
        <v>0</v>
      </c>
      <c r="AW833" t="s">
        <v>848</v>
      </c>
      <c r="AX833">
        <v>0</v>
      </c>
      <c r="BE833" t="s">
        <v>258</v>
      </c>
      <c r="BF833" t="s">
        <v>848</v>
      </c>
      <c r="BG833">
        <v>1</v>
      </c>
      <c r="BH833">
        <v>7</v>
      </c>
      <c r="BI833">
        <v>1</v>
      </c>
      <c r="BJ833" t="s">
        <v>42</v>
      </c>
      <c r="BK833">
        <v>6</v>
      </c>
      <c r="BL833">
        <v>1</v>
      </c>
      <c r="BM833">
        <v>1</v>
      </c>
      <c r="BN833" t="s">
        <v>596</v>
      </c>
      <c r="BO833">
        <v>11</v>
      </c>
      <c r="BP833">
        <v>53</v>
      </c>
      <c r="BQ833">
        <v>0.16</v>
      </c>
      <c r="BR833">
        <v>0.5</v>
      </c>
      <c r="BS833">
        <v>0.08</v>
      </c>
      <c r="BT833" t="e">
        <f>BS833+BD833+AU833+AM833</f>
        <v>#VALUE!</v>
      </c>
      <c r="BU833">
        <v>1</v>
      </c>
      <c r="BV833">
        <v>2</v>
      </c>
      <c r="BW833">
        <v>293</v>
      </c>
      <c r="BX833">
        <f>BW833/7</f>
        <v>41.857142857142854</v>
      </c>
      <c r="BY833">
        <f>0.77*BX833</f>
        <v>32.229999999999997</v>
      </c>
      <c r="BZ833" t="e">
        <f t="shared" si="12"/>
        <v>#VALUE!</v>
      </c>
    </row>
    <row r="834" spans="1:78">
      <c r="A834" s="1">
        <v>45216.443407037033</v>
      </c>
      <c r="C834">
        <v>833</v>
      </c>
      <c r="D834" s="10">
        <v>33872</v>
      </c>
      <c r="E834">
        <v>31</v>
      </c>
      <c r="F834">
        <v>1</v>
      </c>
      <c r="G834">
        <v>1</v>
      </c>
      <c r="H834">
        <v>3</v>
      </c>
      <c r="I834" s="10">
        <v>44557</v>
      </c>
      <c r="J834">
        <v>2</v>
      </c>
      <c r="K834">
        <v>0</v>
      </c>
      <c r="L834">
        <v>2</v>
      </c>
      <c r="M834">
        <v>2850</v>
      </c>
      <c r="N834">
        <v>2</v>
      </c>
      <c r="O834" s="10">
        <v>44284</v>
      </c>
      <c r="P834">
        <v>1</v>
      </c>
      <c r="Q834">
        <v>39</v>
      </c>
      <c r="R834">
        <v>2</v>
      </c>
      <c r="S834">
        <v>85</v>
      </c>
      <c r="T834">
        <v>154</v>
      </c>
      <c r="U834">
        <v>82</v>
      </c>
      <c r="V834">
        <v>-3</v>
      </c>
      <c r="W834">
        <v>1</v>
      </c>
      <c r="X834">
        <v>35.840782594029349</v>
      </c>
      <c r="Y834">
        <v>34.575813796593017</v>
      </c>
      <c r="Z834">
        <v>-1.2649687974363317</v>
      </c>
      <c r="AA834">
        <v>4</v>
      </c>
      <c r="AB834">
        <v>4</v>
      </c>
      <c r="AC834" t="s">
        <v>33</v>
      </c>
      <c r="AD834">
        <v>3</v>
      </c>
      <c r="AE834">
        <v>0</v>
      </c>
      <c r="AG834">
        <v>5</v>
      </c>
      <c r="AH834">
        <v>1</v>
      </c>
      <c r="AI834">
        <v>1</v>
      </c>
      <c r="AJ834">
        <v>1</v>
      </c>
      <c r="AK834">
        <v>7</v>
      </c>
      <c r="AL834">
        <v>1</v>
      </c>
      <c r="AM834">
        <f>AJ834*AK834*AL834/7</f>
        <v>1</v>
      </c>
      <c r="AN834" t="s">
        <v>56</v>
      </c>
      <c r="AO834">
        <v>0</v>
      </c>
      <c r="AV834">
        <f>AU834+AM834</f>
        <v>1</v>
      </c>
      <c r="AX834">
        <v>0</v>
      </c>
      <c r="BE834">
        <f>AM834+AU834+BD834</f>
        <v>1</v>
      </c>
      <c r="BG834">
        <v>0</v>
      </c>
      <c r="BJ834" t="s">
        <v>49</v>
      </c>
      <c r="BK834">
        <v>5</v>
      </c>
      <c r="BL834">
        <v>1</v>
      </c>
      <c r="BM834">
        <v>1</v>
      </c>
      <c r="BN834" t="s">
        <v>30</v>
      </c>
      <c r="BO834">
        <v>1</v>
      </c>
      <c r="BP834">
        <v>84</v>
      </c>
      <c r="BQ834">
        <v>0.13</v>
      </c>
      <c r="BR834">
        <v>1</v>
      </c>
      <c r="BS834">
        <v>0.13</v>
      </c>
      <c r="BT834">
        <f>BS834+BD834+AU834+AM834</f>
        <v>1.1299999999999999</v>
      </c>
      <c r="BU834">
        <v>1</v>
      </c>
      <c r="BV834">
        <v>1</v>
      </c>
      <c r="BW834">
        <v>146.5</v>
      </c>
      <c r="BX834">
        <f>BW834/7</f>
        <v>20.928571428571427</v>
      </c>
      <c r="BY834">
        <f>0.77*BX834</f>
        <v>16.114999999999998</v>
      </c>
      <c r="BZ834">
        <f t="shared" si="12"/>
        <v>17.244999999999997</v>
      </c>
    </row>
    <row r="835" spans="1:78">
      <c r="A835" s="1">
        <v>45216.48162416667</v>
      </c>
      <c r="C835">
        <v>834</v>
      </c>
      <c r="D835" s="10">
        <v>30674</v>
      </c>
      <c r="E835">
        <v>39</v>
      </c>
      <c r="F835">
        <v>1</v>
      </c>
      <c r="G835">
        <v>1</v>
      </c>
      <c r="H835">
        <v>4</v>
      </c>
      <c r="I835" s="10">
        <v>43941</v>
      </c>
      <c r="J835">
        <v>1</v>
      </c>
      <c r="K835">
        <v>1</v>
      </c>
      <c r="L835">
        <v>2</v>
      </c>
      <c r="M835">
        <v>2770</v>
      </c>
      <c r="N835">
        <v>2</v>
      </c>
      <c r="O835" s="10">
        <v>43668</v>
      </c>
      <c r="P835">
        <v>0</v>
      </c>
      <c r="Q835">
        <v>39</v>
      </c>
      <c r="R835">
        <v>2</v>
      </c>
      <c r="S835">
        <v>68</v>
      </c>
      <c r="T835">
        <v>168</v>
      </c>
      <c r="U835">
        <v>78</v>
      </c>
      <c r="V835">
        <v>10</v>
      </c>
      <c r="W835">
        <v>1</v>
      </c>
      <c r="X835">
        <v>24.092970521541954</v>
      </c>
      <c r="Y835">
        <v>27.636054421768712</v>
      </c>
      <c r="Z835">
        <v>3.5430839002267582</v>
      </c>
      <c r="AA835">
        <v>2</v>
      </c>
      <c r="AB835">
        <v>3</v>
      </c>
      <c r="AC835" t="s">
        <v>33</v>
      </c>
      <c r="AD835">
        <v>3</v>
      </c>
      <c r="AE835">
        <v>1</v>
      </c>
      <c r="AF835" t="s">
        <v>493</v>
      </c>
      <c r="AG835">
        <v>3</v>
      </c>
      <c r="AH835">
        <v>0</v>
      </c>
      <c r="AI835">
        <v>0</v>
      </c>
      <c r="AN835" t="s">
        <v>98</v>
      </c>
      <c r="AO835">
        <v>0</v>
      </c>
      <c r="AW835" t="s">
        <v>98</v>
      </c>
      <c r="AX835">
        <v>1</v>
      </c>
      <c r="AY835" t="s">
        <v>98</v>
      </c>
      <c r="AZ835">
        <v>14</v>
      </c>
      <c r="BA835">
        <v>0.5</v>
      </c>
      <c r="BB835">
        <v>7</v>
      </c>
      <c r="BC835">
        <v>1</v>
      </c>
      <c r="BD835">
        <f>BA835*BB835*1/7</f>
        <v>0.5</v>
      </c>
      <c r="BE835">
        <f>AM835+AU835+BD835</f>
        <v>0.5</v>
      </c>
      <c r="BF835" t="s">
        <v>98</v>
      </c>
      <c r="BG835">
        <v>0</v>
      </c>
      <c r="BH835">
        <v>7</v>
      </c>
      <c r="BI835">
        <v>1</v>
      </c>
      <c r="BJ835" t="s">
        <v>42</v>
      </c>
      <c r="BK835">
        <v>6</v>
      </c>
      <c r="BL835">
        <v>3</v>
      </c>
      <c r="BM835">
        <v>1</v>
      </c>
      <c r="BN835" t="s">
        <v>63</v>
      </c>
      <c r="BO835">
        <v>5</v>
      </c>
      <c r="BP835">
        <v>96</v>
      </c>
      <c r="BQ835">
        <v>0.06</v>
      </c>
      <c r="BR835">
        <v>2</v>
      </c>
      <c r="BS835">
        <v>0.12</v>
      </c>
      <c r="BT835">
        <f>BS835+BD835+AU835+AM835</f>
        <v>0.62</v>
      </c>
      <c r="BU835">
        <v>1</v>
      </c>
      <c r="BV835">
        <v>3</v>
      </c>
      <c r="BW835">
        <v>439.5</v>
      </c>
      <c r="BX835">
        <f>BW835/7</f>
        <v>62.785714285714285</v>
      </c>
      <c r="BY835">
        <f>0.77*BX835</f>
        <v>48.344999999999999</v>
      </c>
      <c r="BZ835">
        <f t="shared" si="12"/>
        <v>48.964999999999996</v>
      </c>
    </row>
    <row r="836" spans="1:78">
      <c r="A836" s="1">
        <v>45216.489431782407</v>
      </c>
      <c r="B836" t="s">
        <v>865</v>
      </c>
      <c r="C836">
        <v>835</v>
      </c>
      <c r="D836" s="10">
        <v>31744</v>
      </c>
      <c r="E836">
        <v>36</v>
      </c>
      <c r="F836">
        <v>1</v>
      </c>
      <c r="G836">
        <v>1</v>
      </c>
      <c r="H836">
        <v>4</v>
      </c>
      <c r="I836" s="10">
        <v>44428</v>
      </c>
      <c r="J836">
        <v>1</v>
      </c>
      <c r="K836">
        <v>1</v>
      </c>
      <c r="L836">
        <v>2</v>
      </c>
      <c r="M836">
        <v>2850</v>
      </c>
      <c r="N836">
        <v>2</v>
      </c>
      <c r="O836" s="10">
        <v>44162</v>
      </c>
      <c r="P836">
        <v>1</v>
      </c>
      <c r="Q836">
        <v>38</v>
      </c>
      <c r="R836">
        <v>2</v>
      </c>
      <c r="S836">
        <v>69</v>
      </c>
      <c r="T836">
        <v>160</v>
      </c>
      <c r="U836">
        <v>80</v>
      </c>
      <c r="V836">
        <v>11</v>
      </c>
      <c r="W836">
        <v>2</v>
      </c>
      <c r="X836">
        <v>26.953124999999996</v>
      </c>
      <c r="Y836">
        <v>31.249999999999993</v>
      </c>
      <c r="Z836">
        <v>4.2968749999999964</v>
      </c>
      <c r="AA836">
        <v>3</v>
      </c>
      <c r="AB836">
        <v>4</v>
      </c>
      <c r="AC836" t="s">
        <v>33</v>
      </c>
      <c r="AD836">
        <v>3</v>
      </c>
      <c r="AE836">
        <v>0</v>
      </c>
      <c r="AG836">
        <v>5</v>
      </c>
      <c r="AH836">
        <v>1</v>
      </c>
      <c r="AI836">
        <v>23</v>
      </c>
      <c r="AJ836">
        <v>1</v>
      </c>
      <c r="AK836">
        <v>7</v>
      </c>
      <c r="AL836">
        <v>1</v>
      </c>
      <c r="AM836">
        <f>AJ836*AK836*AL836/7</f>
        <v>1</v>
      </c>
      <c r="AN836" t="s">
        <v>504</v>
      </c>
      <c r="AO836">
        <v>0</v>
      </c>
      <c r="AV836">
        <f>AU836+AM836</f>
        <v>1</v>
      </c>
      <c r="AW836" t="s">
        <v>850</v>
      </c>
      <c r="AX836">
        <v>0</v>
      </c>
      <c r="BE836">
        <f>AM836+AU836+BD836</f>
        <v>1</v>
      </c>
      <c r="BF836" t="s">
        <v>850</v>
      </c>
      <c r="BG836">
        <v>0</v>
      </c>
      <c r="BH836">
        <v>7</v>
      </c>
      <c r="BI836">
        <v>2</v>
      </c>
      <c r="BJ836" t="s">
        <v>42</v>
      </c>
      <c r="BK836">
        <v>6</v>
      </c>
      <c r="BL836">
        <v>1</v>
      </c>
      <c r="BM836">
        <v>1</v>
      </c>
      <c r="BN836" t="s">
        <v>597</v>
      </c>
      <c r="BO836">
        <v>3</v>
      </c>
      <c r="BP836">
        <v>45</v>
      </c>
      <c r="BQ836">
        <v>0.08</v>
      </c>
      <c r="BR836">
        <v>1</v>
      </c>
      <c r="BS836">
        <v>0.08</v>
      </c>
      <c r="BT836">
        <f>BS836+BD836+AU836+AM836</f>
        <v>1.08</v>
      </c>
      <c r="BU836">
        <v>1</v>
      </c>
      <c r="BV836">
        <v>2</v>
      </c>
      <c r="BW836">
        <v>293</v>
      </c>
      <c r="BX836">
        <f>BW836/7</f>
        <v>41.857142857142854</v>
      </c>
      <c r="BY836">
        <f>0.77*BX836</f>
        <v>32.229999999999997</v>
      </c>
      <c r="BZ836">
        <f t="shared" ref="BZ836:BZ848" si="13">BS836+BD836+AU836+AM836+BY836</f>
        <v>33.309999999999995</v>
      </c>
    </row>
    <row r="837" spans="1:78">
      <c r="A837" s="1">
        <v>45216.50324928241</v>
      </c>
      <c r="C837">
        <v>836</v>
      </c>
      <c r="D837" s="10">
        <v>31058</v>
      </c>
      <c r="E837">
        <v>38</v>
      </c>
      <c r="F837">
        <v>1</v>
      </c>
      <c r="G837">
        <v>1</v>
      </c>
      <c r="H837">
        <v>4</v>
      </c>
      <c r="I837" s="10">
        <v>43650</v>
      </c>
      <c r="J837">
        <v>1</v>
      </c>
      <c r="K837">
        <v>1</v>
      </c>
      <c r="L837">
        <v>2</v>
      </c>
      <c r="M837">
        <v>3265</v>
      </c>
      <c r="N837">
        <v>2</v>
      </c>
      <c r="O837" s="10">
        <v>43380</v>
      </c>
      <c r="P837">
        <v>0</v>
      </c>
      <c r="Q837">
        <v>38.571428571428569</v>
      </c>
      <c r="R837">
        <v>2</v>
      </c>
      <c r="S837">
        <v>54</v>
      </c>
      <c r="T837">
        <v>159</v>
      </c>
      <c r="U837">
        <v>64</v>
      </c>
      <c r="V837">
        <v>10</v>
      </c>
      <c r="W837">
        <v>1</v>
      </c>
      <c r="X837">
        <v>21.359914560341757</v>
      </c>
      <c r="Y837">
        <v>25.315454293738377</v>
      </c>
      <c r="Z837">
        <v>3.9555397333966198</v>
      </c>
      <c r="AA837">
        <v>2</v>
      </c>
      <c r="AB837">
        <v>3</v>
      </c>
      <c r="AC837" t="s">
        <v>33</v>
      </c>
      <c r="AD837">
        <v>3</v>
      </c>
      <c r="AE837">
        <v>0</v>
      </c>
      <c r="AG837">
        <v>5</v>
      </c>
      <c r="AH837">
        <v>1</v>
      </c>
      <c r="AI837">
        <v>13</v>
      </c>
      <c r="AJ837">
        <v>1</v>
      </c>
      <c r="AK837">
        <v>7</v>
      </c>
      <c r="AL837">
        <v>1</v>
      </c>
      <c r="AM837">
        <f>AJ837*AK837*AL837/7</f>
        <v>1</v>
      </c>
      <c r="AN837" t="s">
        <v>79</v>
      </c>
      <c r="AO837">
        <v>0</v>
      </c>
      <c r="AV837">
        <f>AU837+AM837</f>
        <v>1</v>
      </c>
      <c r="AW837" t="s">
        <v>58</v>
      </c>
      <c r="AX837">
        <v>1</v>
      </c>
      <c r="AY837" t="s">
        <v>58</v>
      </c>
      <c r="AZ837">
        <v>1</v>
      </c>
      <c r="BA837">
        <v>0.8</v>
      </c>
      <c r="BB837">
        <v>7</v>
      </c>
      <c r="BC837">
        <v>1</v>
      </c>
      <c r="BD837">
        <f>BA837*BB837*1/7</f>
        <v>0.8</v>
      </c>
      <c r="BE837">
        <f>AM837+AU837+BD837</f>
        <v>1.8</v>
      </c>
      <c r="BF837" t="s">
        <v>58</v>
      </c>
      <c r="BG837">
        <v>0</v>
      </c>
      <c r="BH837">
        <v>7</v>
      </c>
      <c r="BI837">
        <v>1</v>
      </c>
      <c r="BJ837" t="s">
        <v>49</v>
      </c>
      <c r="BK837">
        <v>5</v>
      </c>
      <c r="BL837">
        <v>1</v>
      </c>
      <c r="BM837">
        <v>1</v>
      </c>
      <c r="BN837" t="s">
        <v>30</v>
      </c>
      <c r="BO837">
        <v>1</v>
      </c>
      <c r="BP837">
        <v>84</v>
      </c>
      <c r="BQ837">
        <v>0.13</v>
      </c>
      <c r="BR837">
        <v>1</v>
      </c>
      <c r="BS837">
        <v>0.13</v>
      </c>
      <c r="BT837">
        <f>BS837+BD837+AU837+AM837</f>
        <v>1.9300000000000002</v>
      </c>
      <c r="BU837">
        <v>1</v>
      </c>
      <c r="BV837">
        <v>2</v>
      </c>
      <c r="BW837">
        <v>293</v>
      </c>
      <c r="BX837">
        <f>BW837/7</f>
        <v>41.857142857142854</v>
      </c>
      <c r="BY837">
        <f>0.77*BX837</f>
        <v>32.229999999999997</v>
      </c>
      <c r="BZ837">
        <f t="shared" si="13"/>
        <v>34.159999999999997</v>
      </c>
    </row>
    <row r="838" spans="1:78">
      <c r="A838" s="1">
        <v>45216.509633229165</v>
      </c>
      <c r="C838">
        <v>837</v>
      </c>
      <c r="D838" s="10">
        <v>34638</v>
      </c>
      <c r="E838">
        <v>28</v>
      </c>
      <c r="F838">
        <v>1</v>
      </c>
      <c r="G838">
        <v>6</v>
      </c>
      <c r="H838">
        <v>3</v>
      </c>
      <c r="I838" s="10">
        <v>45007</v>
      </c>
      <c r="J838">
        <v>2</v>
      </c>
      <c r="K838">
        <v>0</v>
      </c>
      <c r="L838">
        <v>1</v>
      </c>
      <c r="M838">
        <v>3740</v>
      </c>
      <c r="N838">
        <v>2</v>
      </c>
      <c r="O838" s="10">
        <v>44741</v>
      </c>
      <c r="P838">
        <v>0</v>
      </c>
      <c r="Q838">
        <v>38</v>
      </c>
      <c r="R838">
        <v>2</v>
      </c>
      <c r="S838">
        <v>85</v>
      </c>
      <c r="T838">
        <v>163</v>
      </c>
      <c r="U838">
        <v>86.5</v>
      </c>
      <c r="V838">
        <v>1.5</v>
      </c>
      <c r="W838">
        <v>1</v>
      </c>
      <c r="X838">
        <v>31.992171327486922</v>
      </c>
      <c r="Y838">
        <v>32.556739056795514</v>
      </c>
      <c r="Z838">
        <v>0.56456772930859245</v>
      </c>
      <c r="AA838">
        <v>4</v>
      </c>
      <c r="AB838">
        <v>4</v>
      </c>
      <c r="AC838" t="s">
        <v>33</v>
      </c>
      <c r="AD838">
        <v>3</v>
      </c>
      <c r="AE838">
        <v>0</v>
      </c>
      <c r="AG838">
        <v>5</v>
      </c>
      <c r="AH838">
        <v>0</v>
      </c>
      <c r="AI838">
        <v>0</v>
      </c>
      <c r="AN838" t="s">
        <v>317</v>
      </c>
      <c r="AO838">
        <v>0</v>
      </c>
      <c r="AX838">
        <v>0</v>
      </c>
      <c r="BF838" t="s">
        <v>317</v>
      </c>
      <c r="BG838">
        <v>1</v>
      </c>
      <c r="BH838">
        <v>7</v>
      </c>
      <c r="BI838">
        <v>1</v>
      </c>
      <c r="BJ838" t="s">
        <v>36</v>
      </c>
      <c r="BK838">
        <v>4</v>
      </c>
      <c r="BL838">
        <v>1</v>
      </c>
      <c r="BM838">
        <v>1</v>
      </c>
      <c r="BN838" t="s">
        <v>30</v>
      </c>
      <c r="BO838">
        <v>1</v>
      </c>
      <c r="BP838">
        <v>168</v>
      </c>
      <c r="BQ838">
        <v>0.13</v>
      </c>
      <c r="BR838">
        <v>2</v>
      </c>
      <c r="BS838">
        <v>0.26</v>
      </c>
      <c r="BT838">
        <f>BS838+BD838+AU838+AM838</f>
        <v>0.26</v>
      </c>
      <c r="BU838">
        <v>1</v>
      </c>
      <c r="BV838">
        <v>1</v>
      </c>
      <c r="BW838">
        <v>146.5</v>
      </c>
      <c r="BX838">
        <f>BW838/7</f>
        <v>20.928571428571427</v>
      </c>
      <c r="BY838">
        <f>0.77*BX838</f>
        <v>16.114999999999998</v>
      </c>
      <c r="BZ838">
        <f t="shared" si="13"/>
        <v>16.375</v>
      </c>
    </row>
    <row r="839" spans="1:78">
      <c r="A839" s="1">
        <v>45216.510895486106</v>
      </c>
      <c r="C839">
        <v>838</v>
      </c>
      <c r="D839" s="10">
        <v>34493</v>
      </c>
      <c r="E839">
        <v>29</v>
      </c>
      <c r="F839">
        <v>1</v>
      </c>
      <c r="G839">
        <v>1</v>
      </c>
      <c r="H839">
        <v>3</v>
      </c>
      <c r="I839" s="10">
        <v>43263</v>
      </c>
      <c r="J839">
        <v>1</v>
      </c>
      <c r="K839">
        <v>1</v>
      </c>
      <c r="L839">
        <v>2</v>
      </c>
      <c r="M839">
        <v>3050</v>
      </c>
      <c r="N839">
        <v>2</v>
      </c>
      <c r="O839" s="10">
        <v>42986</v>
      </c>
      <c r="P839">
        <v>0</v>
      </c>
      <c r="Q839">
        <v>39.571428571428569</v>
      </c>
      <c r="R839">
        <v>2</v>
      </c>
      <c r="S839">
        <v>60</v>
      </c>
      <c r="T839">
        <v>159</v>
      </c>
      <c r="U839">
        <v>79</v>
      </c>
      <c r="V839">
        <v>19</v>
      </c>
      <c r="W839">
        <v>3</v>
      </c>
      <c r="X839">
        <v>23.733238400379729</v>
      </c>
      <c r="Y839">
        <v>31.24876389383331</v>
      </c>
      <c r="Z839">
        <v>7.5155254934535805</v>
      </c>
      <c r="AA839">
        <v>2</v>
      </c>
      <c r="AB839">
        <v>4</v>
      </c>
      <c r="AC839" t="s">
        <v>33</v>
      </c>
      <c r="AD839">
        <v>3</v>
      </c>
      <c r="AE839">
        <v>0</v>
      </c>
      <c r="AG839">
        <v>5</v>
      </c>
      <c r="AH839">
        <v>1</v>
      </c>
      <c r="AI839">
        <v>13</v>
      </c>
      <c r="AJ839">
        <v>1</v>
      </c>
      <c r="AK839">
        <v>7</v>
      </c>
      <c r="AL839">
        <v>1</v>
      </c>
      <c r="AM839">
        <f>AJ839*AK839*AL839/7</f>
        <v>1</v>
      </c>
      <c r="AN839" t="s">
        <v>79</v>
      </c>
      <c r="AO839">
        <v>0</v>
      </c>
      <c r="AV839">
        <f>AU839+AM839</f>
        <v>1</v>
      </c>
      <c r="AX839">
        <v>0</v>
      </c>
      <c r="BE839">
        <f>AM839+AU839+BD839</f>
        <v>1</v>
      </c>
      <c r="BG839">
        <v>0</v>
      </c>
      <c r="BJ839" t="s">
        <v>49</v>
      </c>
      <c r="BK839">
        <v>5</v>
      </c>
      <c r="BL839">
        <v>3</v>
      </c>
      <c r="BM839">
        <v>1</v>
      </c>
      <c r="BN839" t="s">
        <v>55</v>
      </c>
      <c r="BO839">
        <v>2</v>
      </c>
      <c r="BP839">
        <v>201</v>
      </c>
      <c r="BQ839">
        <v>0.1</v>
      </c>
      <c r="BR839">
        <v>3</v>
      </c>
      <c r="BS839">
        <v>0.30000000000000004</v>
      </c>
      <c r="BT839">
        <f>BS839+BD839+AU839+AM839</f>
        <v>1.3</v>
      </c>
      <c r="BU839">
        <v>1</v>
      </c>
      <c r="BV839">
        <v>2</v>
      </c>
      <c r="BW839">
        <v>293</v>
      </c>
      <c r="BX839">
        <f>BW839/7</f>
        <v>41.857142857142854</v>
      </c>
      <c r="BY839">
        <f>0.77*BX839</f>
        <v>32.229999999999997</v>
      </c>
      <c r="BZ839">
        <f t="shared" si="13"/>
        <v>33.529999999999994</v>
      </c>
    </row>
    <row r="840" spans="1:78">
      <c r="A840" s="1">
        <v>45216.522880868055</v>
      </c>
      <c r="C840">
        <v>839</v>
      </c>
      <c r="D840" s="10">
        <v>30527</v>
      </c>
      <c r="E840">
        <v>40</v>
      </c>
      <c r="F840">
        <v>1</v>
      </c>
      <c r="G840">
        <v>1</v>
      </c>
      <c r="H840">
        <v>4</v>
      </c>
      <c r="I840" s="10">
        <v>44023</v>
      </c>
      <c r="J840">
        <v>1</v>
      </c>
      <c r="K840">
        <v>1</v>
      </c>
      <c r="L840">
        <v>1</v>
      </c>
      <c r="M840">
        <v>3410</v>
      </c>
      <c r="N840">
        <v>2</v>
      </c>
      <c r="O840" s="10">
        <v>43750</v>
      </c>
      <c r="P840">
        <v>0</v>
      </c>
      <c r="Q840">
        <v>39</v>
      </c>
      <c r="R840">
        <v>2</v>
      </c>
      <c r="S840">
        <v>55</v>
      </c>
      <c r="T840">
        <v>157</v>
      </c>
      <c r="U840">
        <v>80</v>
      </c>
      <c r="V840">
        <v>25</v>
      </c>
      <c r="W840">
        <v>3</v>
      </c>
      <c r="X840">
        <v>22.313278429145196</v>
      </c>
      <c r="Y840">
        <v>32.455677715120288</v>
      </c>
      <c r="Z840">
        <v>10.142399285975092</v>
      </c>
      <c r="AA840">
        <v>2</v>
      </c>
      <c r="AB840">
        <v>4</v>
      </c>
      <c r="AC840" t="s">
        <v>50</v>
      </c>
      <c r="AD840">
        <v>2</v>
      </c>
      <c r="AE840">
        <v>0</v>
      </c>
      <c r="AG840">
        <v>5</v>
      </c>
      <c r="AH840">
        <v>0</v>
      </c>
      <c r="AI840">
        <v>0</v>
      </c>
      <c r="AN840" t="s">
        <v>41</v>
      </c>
      <c r="AO840">
        <v>0</v>
      </c>
      <c r="AW840" t="s">
        <v>58</v>
      </c>
      <c r="AX840">
        <v>1</v>
      </c>
      <c r="AY840" t="s">
        <v>58</v>
      </c>
      <c r="AZ840">
        <v>1</v>
      </c>
      <c r="BA840">
        <v>0.8</v>
      </c>
      <c r="BB840">
        <v>7</v>
      </c>
      <c r="BC840">
        <v>1</v>
      </c>
      <c r="BD840">
        <f>BA840*BB840*1/7</f>
        <v>0.8</v>
      </c>
      <c r="BE840">
        <f>AM840+AU840+BD840</f>
        <v>0.8</v>
      </c>
      <c r="BF840" t="s">
        <v>58</v>
      </c>
      <c r="BG840">
        <v>0</v>
      </c>
      <c r="BH840">
        <v>7</v>
      </c>
      <c r="BI840">
        <v>1</v>
      </c>
      <c r="BJ840" t="s">
        <v>42</v>
      </c>
      <c r="BK840">
        <v>6</v>
      </c>
      <c r="BL840">
        <v>1</v>
      </c>
      <c r="BM840">
        <v>1</v>
      </c>
      <c r="BN840" t="s">
        <v>55</v>
      </c>
      <c r="BO840">
        <v>2</v>
      </c>
      <c r="BP840">
        <v>201</v>
      </c>
      <c r="BQ840">
        <v>0.1</v>
      </c>
      <c r="BR840">
        <v>3</v>
      </c>
      <c r="BS840">
        <v>0.30000000000000004</v>
      </c>
      <c r="BT840">
        <f>BS840+BD840+AU840+AM840</f>
        <v>1.1000000000000001</v>
      </c>
      <c r="BU840">
        <v>1</v>
      </c>
      <c r="BV840">
        <v>2</v>
      </c>
      <c r="BW840">
        <v>293</v>
      </c>
      <c r="BX840">
        <f>BW840/7</f>
        <v>41.857142857142854</v>
      </c>
      <c r="BY840">
        <f>0.77*BX840</f>
        <v>32.229999999999997</v>
      </c>
      <c r="BZ840">
        <f t="shared" si="13"/>
        <v>33.33</v>
      </c>
    </row>
    <row r="841" spans="1:78">
      <c r="A841" s="1">
        <v>45216.558429537035</v>
      </c>
      <c r="C841">
        <v>840</v>
      </c>
      <c r="D841" s="10">
        <v>35464</v>
      </c>
      <c r="E841">
        <v>26</v>
      </c>
      <c r="F841">
        <v>1</v>
      </c>
      <c r="G841">
        <v>2</v>
      </c>
      <c r="H841">
        <v>5</v>
      </c>
      <c r="I841" s="10">
        <v>44748</v>
      </c>
      <c r="J841">
        <v>1</v>
      </c>
      <c r="K841">
        <v>1</v>
      </c>
      <c r="L841">
        <v>1</v>
      </c>
      <c r="M841">
        <v>2950</v>
      </c>
      <c r="N841">
        <v>2</v>
      </c>
      <c r="O841" s="10">
        <v>44482</v>
      </c>
      <c r="P841">
        <v>1</v>
      </c>
      <c r="Q841">
        <v>38</v>
      </c>
      <c r="R841">
        <v>2</v>
      </c>
      <c r="S841">
        <v>58</v>
      </c>
      <c r="T841">
        <v>154</v>
      </c>
      <c r="U841">
        <v>61</v>
      </c>
      <c r="V841">
        <v>3</v>
      </c>
      <c r="W841">
        <v>1</v>
      </c>
      <c r="X841">
        <v>24.456063417102378</v>
      </c>
      <c r="Y841">
        <v>25.72103221453871</v>
      </c>
      <c r="Z841">
        <v>1.2649687974363317</v>
      </c>
      <c r="AA841">
        <v>2</v>
      </c>
      <c r="AB841">
        <v>3</v>
      </c>
      <c r="AC841" t="s">
        <v>33</v>
      </c>
      <c r="AD841">
        <v>3</v>
      </c>
      <c r="AE841">
        <v>0</v>
      </c>
      <c r="AG841">
        <v>5</v>
      </c>
      <c r="AH841">
        <v>1</v>
      </c>
      <c r="AI841">
        <v>5</v>
      </c>
      <c r="AJ841">
        <v>5</v>
      </c>
      <c r="AK841">
        <v>4</v>
      </c>
      <c r="AL841">
        <v>1</v>
      </c>
      <c r="AM841">
        <f>AJ841*AK841*AL841/7</f>
        <v>2.8571428571428572</v>
      </c>
      <c r="AN841" t="s">
        <v>27</v>
      </c>
      <c r="AO841">
        <v>0</v>
      </c>
      <c r="AV841">
        <f>AU841+AM841</f>
        <v>2.8571428571428572</v>
      </c>
      <c r="AW841" t="s">
        <v>35</v>
      </c>
      <c r="AX841">
        <v>1</v>
      </c>
      <c r="AY841" t="s">
        <v>35</v>
      </c>
      <c r="AZ841">
        <v>12</v>
      </c>
      <c r="BA841">
        <v>0.4</v>
      </c>
      <c r="BB841">
        <v>7</v>
      </c>
      <c r="BC841">
        <v>1</v>
      </c>
      <c r="BD841">
        <f>BA841*BB841*1/7</f>
        <v>0.4</v>
      </c>
      <c r="BE841">
        <f>AM841+AU841+BD841</f>
        <v>3.2571428571428571</v>
      </c>
      <c r="BF841" t="s">
        <v>35</v>
      </c>
      <c r="BG841">
        <v>0</v>
      </c>
      <c r="BH841">
        <v>7</v>
      </c>
      <c r="BI841">
        <v>1</v>
      </c>
      <c r="BJ841" t="s">
        <v>49</v>
      </c>
      <c r="BK841">
        <v>5</v>
      </c>
      <c r="BL841">
        <v>3</v>
      </c>
      <c r="BM841">
        <v>1</v>
      </c>
      <c r="BN841" t="s">
        <v>55</v>
      </c>
      <c r="BO841">
        <v>2</v>
      </c>
      <c r="BP841">
        <v>134</v>
      </c>
      <c r="BQ841">
        <v>0.1</v>
      </c>
      <c r="BR841">
        <v>2</v>
      </c>
      <c r="BS841">
        <v>0.2</v>
      </c>
      <c r="BT841">
        <f>BS841+BD841+AU841+AM841</f>
        <v>3.4571428571428573</v>
      </c>
      <c r="BU841">
        <v>1</v>
      </c>
      <c r="BV841">
        <v>0.5</v>
      </c>
      <c r="BW841">
        <v>73.25</v>
      </c>
      <c r="BX841">
        <f>BW841/7</f>
        <v>10.464285714285714</v>
      </c>
      <c r="BY841">
        <f>0.77*BX841</f>
        <v>8.0574999999999992</v>
      </c>
      <c r="BZ841">
        <f t="shared" si="13"/>
        <v>11.514642857142857</v>
      </c>
    </row>
    <row r="842" spans="1:78">
      <c r="A842" s="1">
        <v>45216.637336504631</v>
      </c>
      <c r="B842" t="s">
        <v>865</v>
      </c>
      <c r="C842">
        <v>841</v>
      </c>
      <c r="D842" s="10">
        <v>35233</v>
      </c>
      <c r="E842">
        <v>27</v>
      </c>
      <c r="F842">
        <v>1</v>
      </c>
      <c r="G842">
        <v>12</v>
      </c>
      <c r="H842">
        <v>4</v>
      </c>
      <c r="I842" s="10">
        <v>44763</v>
      </c>
      <c r="J842">
        <v>1</v>
      </c>
      <c r="K842">
        <v>1</v>
      </c>
      <c r="L842">
        <v>2</v>
      </c>
      <c r="M842">
        <v>2100</v>
      </c>
      <c r="N842">
        <v>1</v>
      </c>
      <c r="O842" s="10">
        <v>44511</v>
      </c>
      <c r="P842">
        <v>0</v>
      </c>
      <c r="Q842">
        <v>36</v>
      </c>
      <c r="R842">
        <v>3</v>
      </c>
      <c r="S842">
        <v>57</v>
      </c>
      <c r="T842">
        <v>168</v>
      </c>
      <c r="U842">
        <v>62</v>
      </c>
      <c r="V842">
        <v>5</v>
      </c>
      <c r="W842">
        <v>1</v>
      </c>
      <c r="X842">
        <v>20.195578231292519</v>
      </c>
      <c r="Y842">
        <v>21.9671201814059</v>
      </c>
      <c r="Z842">
        <v>1.7715419501133809</v>
      </c>
      <c r="AA842">
        <v>2</v>
      </c>
      <c r="AB842">
        <v>2</v>
      </c>
      <c r="AC842" t="s">
        <v>33</v>
      </c>
      <c r="AD842">
        <v>3</v>
      </c>
      <c r="AE842">
        <v>0</v>
      </c>
      <c r="AG842">
        <v>5</v>
      </c>
      <c r="AH842">
        <v>1</v>
      </c>
      <c r="AI842">
        <v>13</v>
      </c>
      <c r="AJ842">
        <v>1</v>
      </c>
      <c r="AK842">
        <v>7</v>
      </c>
      <c r="AL842">
        <v>1</v>
      </c>
      <c r="AM842">
        <f>AJ842*AK842*AL842/7</f>
        <v>1</v>
      </c>
      <c r="AN842" t="s">
        <v>79</v>
      </c>
      <c r="AO842">
        <v>0</v>
      </c>
      <c r="AV842">
        <f>AU842+AM842</f>
        <v>1</v>
      </c>
      <c r="AW842" t="s">
        <v>95</v>
      </c>
      <c r="AX842">
        <v>1</v>
      </c>
      <c r="AY842" t="s">
        <v>878</v>
      </c>
      <c r="AZ842">
        <v>16</v>
      </c>
      <c r="BA842" t="s">
        <v>258</v>
      </c>
      <c r="BB842">
        <v>7</v>
      </c>
      <c r="BC842">
        <v>1</v>
      </c>
      <c r="BE842">
        <f>AM842+AU842+BD842</f>
        <v>1</v>
      </c>
      <c r="BF842" t="s">
        <v>878</v>
      </c>
      <c r="BG842" t="s">
        <v>258</v>
      </c>
      <c r="BH842">
        <v>7</v>
      </c>
      <c r="BI842">
        <v>1</v>
      </c>
      <c r="BJ842" t="s">
        <v>49</v>
      </c>
      <c r="BK842">
        <v>5</v>
      </c>
      <c r="BL842">
        <v>2</v>
      </c>
      <c r="BM842">
        <v>1</v>
      </c>
      <c r="BN842" t="s">
        <v>37</v>
      </c>
      <c r="BO842">
        <v>4</v>
      </c>
      <c r="BP842">
        <v>55</v>
      </c>
      <c r="BQ842">
        <v>0.05</v>
      </c>
      <c r="BR842">
        <v>1</v>
      </c>
      <c r="BS842">
        <v>0.05</v>
      </c>
      <c r="BT842">
        <f>BS842+BD842+AU842+AM842</f>
        <v>1.05</v>
      </c>
      <c r="BU842">
        <v>1</v>
      </c>
      <c r="BV842">
        <v>2</v>
      </c>
      <c r="BW842">
        <v>293</v>
      </c>
      <c r="BX842">
        <f>BW842/7</f>
        <v>41.857142857142854</v>
      </c>
      <c r="BY842">
        <f>0.77*BX842</f>
        <v>32.229999999999997</v>
      </c>
      <c r="BZ842">
        <f t="shared" si="13"/>
        <v>33.279999999999994</v>
      </c>
    </row>
    <row r="843" spans="1:78">
      <c r="A843" s="1">
        <v>45216.655774814819</v>
      </c>
      <c r="C843">
        <v>842</v>
      </c>
      <c r="D843" s="10">
        <v>30810</v>
      </c>
      <c r="E843">
        <v>39</v>
      </c>
      <c r="F843">
        <v>1</v>
      </c>
      <c r="G843">
        <v>1</v>
      </c>
      <c r="H843">
        <v>3</v>
      </c>
      <c r="I843" s="10">
        <v>44247</v>
      </c>
      <c r="J843">
        <v>4</v>
      </c>
      <c r="K843">
        <v>0</v>
      </c>
      <c r="L843">
        <v>2</v>
      </c>
      <c r="M843">
        <v>3300</v>
      </c>
      <c r="N843">
        <v>2</v>
      </c>
      <c r="O843" s="10">
        <v>43974</v>
      </c>
      <c r="P843">
        <v>1</v>
      </c>
      <c r="Q843">
        <v>39</v>
      </c>
      <c r="R843">
        <v>2</v>
      </c>
      <c r="S843">
        <v>59</v>
      </c>
      <c r="T843">
        <v>158</v>
      </c>
      <c r="U843">
        <v>69</v>
      </c>
      <c r="V843">
        <v>10</v>
      </c>
      <c r="W843">
        <v>1</v>
      </c>
      <c r="X843">
        <v>23.634033007530842</v>
      </c>
      <c r="Y843">
        <v>27.639801313892001</v>
      </c>
      <c r="Z843">
        <v>4.0057683063611584</v>
      </c>
      <c r="AA843">
        <v>2</v>
      </c>
      <c r="AB843">
        <v>3</v>
      </c>
      <c r="AC843" t="s">
        <v>44</v>
      </c>
      <c r="AD843">
        <v>1</v>
      </c>
      <c r="AE843">
        <v>0</v>
      </c>
      <c r="AG843">
        <v>5</v>
      </c>
      <c r="AH843">
        <v>1</v>
      </c>
      <c r="AI843">
        <v>2</v>
      </c>
      <c r="AJ843">
        <v>5</v>
      </c>
      <c r="AK843">
        <v>7</v>
      </c>
      <c r="AL843">
        <v>1</v>
      </c>
      <c r="AM843">
        <f>AJ843*AK843*AL843/7</f>
        <v>5</v>
      </c>
      <c r="AN843" t="s">
        <v>57</v>
      </c>
      <c r="AO843">
        <v>0</v>
      </c>
      <c r="AV843">
        <f>AU843+AM843</f>
        <v>5</v>
      </c>
      <c r="AX843">
        <v>0</v>
      </c>
      <c r="BE843">
        <f>AM843+AU843+BD843</f>
        <v>5</v>
      </c>
      <c r="BG843">
        <v>0</v>
      </c>
      <c r="BJ843" t="s">
        <v>49</v>
      </c>
      <c r="BK843">
        <v>5</v>
      </c>
      <c r="BL843">
        <v>1</v>
      </c>
      <c r="BM843">
        <v>1</v>
      </c>
      <c r="BN843" t="s">
        <v>59</v>
      </c>
      <c r="BO843">
        <v>3</v>
      </c>
      <c r="BP843">
        <v>168</v>
      </c>
      <c r="BQ843">
        <v>0.08</v>
      </c>
      <c r="BR843">
        <v>3</v>
      </c>
      <c r="BS843">
        <v>0.24</v>
      </c>
      <c r="BT843">
        <f>BS843+BD843+AU843+AM843</f>
        <v>5.24</v>
      </c>
      <c r="BU843">
        <v>1</v>
      </c>
      <c r="BV843">
        <v>2</v>
      </c>
      <c r="BW843">
        <v>293</v>
      </c>
      <c r="BX843">
        <f>BW843/7</f>
        <v>41.857142857142854</v>
      </c>
      <c r="BY843">
        <f>0.77*BX843</f>
        <v>32.229999999999997</v>
      </c>
      <c r="BZ843">
        <f t="shared" si="13"/>
        <v>37.47</v>
      </c>
    </row>
    <row r="844" spans="1:78">
      <c r="A844" s="1">
        <v>45216.659665254629</v>
      </c>
      <c r="C844">
        <v>843</v>
      </c>
      <c r="D844" s="10">
        <v>29734</v>
      </c>
      <c r="E844">
        <v>42</v>
      </c>
      <c r="F844">
        <v>1</v>
      </c>
      <c r="G844">
        <v>12</v>
      </c>
      <c r="H844">
        <v>4</v>
      </c>
      <c r="I844" s="10">
        <v>44542</v>
      </c>
      <c r="J844">
        <v>1</v>
      </c>
      <c r="K844">
        <v>1</v>
      </c>
      <c r="L844">
        <v>2</v>
      </c>
      <c r="M844">
        <v>3650</v>
      </c>
      <c r="N844">
        <v>2</v>
      </c>
      <c r="O844" s="10">
        <v>44274</v>
      </c>
      <c r="P844">
        <v>1</v>
      </c>
      <c r="Q844">
        <v>38.285714285714285</v>
      </c>
      <c r="R844">
        <v>2</v>
      </c>
      <c r="S844">
        <v>73</v>
      </c>
      <c r="T844">
        <v>158</v>
      </c>
      <c r="U844">
        <v>79.8</v>
      </c>
      <c r="V844">
        <v>6.7999999999999972</v>
      </c>
      <c r="W844">
        <v>1</v>
      </c>
      <c r="X844">
        <v>29.242108636436463</v>
      </c>
      <c r="Y844">
        <v>31.966031084762051</v>
      </c>
      <c r="Z844">
        <v>2.7239224483255882</v>
      </c>
      <c r="AA844">
        <v>3</v>
      </c>
      <c r="AB844">
        <v>4</v>
      </c>
      <c r="AC844" t="s">
        <v>44</v>
      </c>
      <c r="AD844">
        <v>1</v>
      </c>
      <c r="AE844">
        <v>0</v>
      </c>
      <c r="AG844">
        <v>5</v>
      </c>
      <c r="AH844">
        <v>1</v>
      </c>
      <c r="AI844">
        <v>4</v>
      </c>
      <c r="AJ844">
        <v>1</v>
      </c>
      <c r="AK844">
        <v>7</v>
      </c>
      <c r="AL844">
        <v>1</v>
      </c>
      <c r="AM844">
        <f>AJ844*AK844*AL844/7</f>
        <v>1</v>
      </c>
      <c r="AN844" t="s">
        <v>43</v>
      </c>
      <c r="AO844">
        <v>0</v>
      </c>
      <c r="AV844">
        <f>AU844+AM844</f>
        <v>1</v>
      </c>
      <c r="AW844" t="s">
        <v>58</v>
      </c>
      <c r="AX844">
        <v>1</v>
      </c>
      <c r="AY844" t="s">
        <v>58</v>
      </c>
      <c r="AZ844">
        <v>1</v>
      </c>
      <c r="BA844">
        <v>0.8</v>
      </c>
      <c r="BB844">
        <v>7</v>
      </c>
      <c r="BC844">
        <v>1</v>
      </c>
      <c r="BD844">
        <f>BA844*BB844*1/7</f>
        <v>0.8</v>
      </c>
      <c r="BE844">
        <f>AM844+AU844+BD844</f>
        <v>1.8</v>
      </c>
      <c r="BF844" t="s">
        <v>58</v>
      </c>
      <c r="BG844">
        <v>0</v>
      </c>
      <c r="BH844">
        <v>7</v>
      </c>
      <c r="BI844">
        <v>1</v>
      </c>
      <c r="BJ844" t="s">
        <v>28</v>
      </c>
      <c r="BK844">
        <v>3</v>
      </c>
      <c r="BL844">
        <v>3</v>
      </c>
      <c r="BM844">
        <v>1</v>
      </c>
      <c r="BN844" t="s">
        <v>47</v>
      </c>
      <c r="BO844">
        <v>14</v>
      </c>
      <c r="BP844">
        <v>146.76923076923077</v>
      </c>
      <c r="BQ844">
        <v>0.1</v>
      </c>
      <c r="BR844">
        <v>2</v>
      </c>
      <c r="BS844">
        <v>0.2</v>
      </c>
      <c r="BT844">
        <f>BS844+BD844+AU844+AM844</f>
        <v>2</v>
      </c>
      <c r="BU844">
        <v>1</v>
      </c>
      <c r="BV844">
        <v>2</v>
      </c>
      <c r="BW844">
        <v>293</v>
      </c>
      <c r="BX844">
        <f>BW844/7</f>
        <v>41.857142857142854</v>
      </c>
      <c r="BY844">
        <f>0.77*BX844</f>
        <v>32.229999999999997</v>
      </c>
      <c r="BZ844">
        <f t="shared" si="13"/>
        <v>34.229999999999997</v>
      </c>
    </row>
    <row r="845" spans="1:78">
      <c r="A845" s="1">
        <v>45216.667375138888</v>
      </c>
      <c r="C845">
        <v>844</v>
      </c>
      <c r="D845" s="10">
        <v>35687</v>
      </c>
      <c r="E845">
        <v>26</v>
      </c>
      <c r="F845">
        <v>1</v>
      </c>
      <c r="G845">
        <v>1</v>
      </c>
      <c r="H845">
        <v>4</v>
      </c>
      <c r="I845" s="10">
        <v>44838</v>
      </c>
      <c r="J845">
        <v>1</v>
      </c>
      <c r="K845">
        <v>1</v>
      </c>
      <c r="L845">
        <v>2</v>
      </c>
      <c r="M845">
        <v>3530</v>
      </c>
      <c r="N845">
        <v>2</v>
      </c>
      <c r="O845" s="10">
        <v>44565</v>
      </c>
      <c r="P845">
        <v>0</v>
      </c>
      <c r="Q845">
        <v>39</v>
      </c>
      <c r="R845">
        <v>2</v>
      </c>
      <c r="S845">
        <v>73</v>
      </c>
      <c r="T845">
        <v>153</v>
      </c>
      <c r="U845">
        <v>86</v>
      </c>
      <c r="V845">
        <v>13</v>
      </c>
      <c r="W845">
        <v>3</v>
      </c>
      <c r="X845">
        <v>31.184587124610193</v>
      </c>
      <c r="Y845">
        <v>36.738006749540773</v>
      </c>
      <c r="Z845">
        <v>5.5534196249305801</v>
      </c>
      <c r="AA845">
        <v>4</v>
      </c>
      <c r="AB845">
        <v>4</v>
      </c>
      <c r="AC845" t="s">
        <v>33</v>
      </c>
      <c r="AD845">
        <v>3</v>
      </c>
      <c r="AE845">
        <v>0</v>
      </c>
      <c r="AG845">
        <v>5</v>
      </c>
      <c r="AH845">
        <v>1</v>
      </c>
      <c r="AI845">
        <v>1</v>
      </c>
      <c r="AJ845">
        <v>1</v>
      </c>
      <c r="AK845">
        <v>5</v>
      </c>
      <c r="AL845">
        <v>1</v>
      </c>
      <c r="AM845">
        <f>AJ845*AK845*AL845/7</f>
        <v>0.7142857142857143</v>
      </c>
      <c r="AN845" t="s">
        <v>56</v>
      </c>
      <c r="AO845">
        <v>1</v>
      </c>
      <c r="AP845">
        <v>19</v>
      </c>
      <c r="AQ845" t="s">
        <v>184</v>
      </c>
      <c r="AR845">
        <v>2</v>
      </c>
      <c r="AS845">
        <v>4</v>
      </c>
      <c r="AT845">
        <v>1</v>
      </c>
      <c r="AU845">
        <f>AR845*AS845*AT845/7</f>
        <v>1.1428571428571428</v>
      </c>
      <c r="AV845">
        <f>AU845+AM845</f>
        <v>1.8571428571428572</v>
      </c>
      <c r="AW845" t="s">
        <v>496</v>
      </c>
      <c r="AX845">
        <v>0</v>
      </c>
      <c r="BE845">
        <f>AM845+AU845+BD845</f>
        <v>1.8571428571428572</v>
      </c>
      <c r="BF845" t="s">
        <v>496</v>
      </c>
      <c r="BG845">
        <v>0</v>
      </c>
      <c r="BH845">
        <v>4</v>
      </c>
      <c r="BI845">
        <v>1</v>
      </c>
      <c r="BJ845" t="s">
        <v>49</v>
      </c>
      <c r="BK845">
        <v>5</v>
      </c>
      <c r="BL845">
        <v>3</v>
      </c>
      <c r="BM845">
        <v>1</v>
      </c>
      <c r="BN845" t="s">
        <v>30</v>
      </c>
      <c r="BO845">
        <v>1</v>
      </c>
      <c r="BP845">
        <v>168</v>
      </c>
      <c r="BQ845">
        <v>0.13</v>
      </c>
      <c r="BR845">
        <v>2</v>
      </c>
      <c r="BS845">
        <v>0.26</v>
      </c>
      <c r="BT845">
        <f>BS845+BD845+AU845+AM845</f>
        <v>2.117142857142857</v>
      </c>
      <c r="BU845">
        <v>1</v>
      </c>
      <c r="BV845">
        <v>3</v>
      </c>
      <c r="BW845">
        <v>439.5</v>
      </c>
      <c r="BX845">
        <f>BW845/7</f>
        <v>62.785714285714285</v>
      </c>
      <c r="BY845">
        <f>0.77*BX845</f>
        <v>48.344999999999999</v>
      </c>
      <c r="BZ845">
        <f t="shared" si="13"/>
        <v>50.462142857142858</v>
      </c>
    </row>
    <row r="846" spans="1:78">
      <c r="A846" s="1">
        <v>45216.676770219907</v>
      </c>
      <c r="C846">
        <v>845</v>
      </c>
      <c r="D846" s="10">
        <v>33197</v>
      </c>
      <c r="E846">
        <v>32</v>
      </c>
      <c r="F846">
        <v>1</v>
      </c>
      <c r="G846">
        <v>1</v>
      </c>
      <c r="H846">
        <v>5</v>
      </c>
      <c r="I846" s="10">
        <v>45133</v>
      </c>
      <c r="J846">
        <v>1</v>
      </c>
      <c r="K846">
        <v>1</v>
      </c>
      <c r="L846">
        <v>1</v>
      </c>
      <c r="M846">
        <v>3250</v>
      </c>
      <c r="N846">
        <v>2</v>
      </c>
      <c r="O846" s="10">
        <v>44867</v>
      </c>
      <c r="P846">
        <v>0</v>
      </c>
      <c r="Q846">
        <v>38</v>
      </c>
      <c r="R846">
        <v>2</v>
      </c>
      <c r="S846">
        <v>74</v>
      </c>
      <c r="T846">
        <v>156</v>
      </c>
      <c r="U846">
        <v>74</v>
      </c>
      <c r="V846">
        <v>0</v>
      </c>
      <c r="W846">
        <v>1</v>
      </c>
      <c r="X846">
        <v>30.407626561472714</v>
      </c>
      <c r="Y846">
        <v>30.407626561472714</v>
      </c>
      <c r="Z846">
        <v>0</v>
      </c>
      <c r="AA846">
        <v>4</v>
      </c>
      <c r="AB846">
        <v>4</v>
      </c>
      <c r="AC846" t="s">
        <v>33</v>
      </c>
      <c r="AD846">
        <v>3</v>
      </c>
      <c r="AE846">
        <v>0</v>
      </c>
      <c r="AG846">
        <v>5</v>
      </c>
      <c r="AH846">
        <v>1</v>
      </c>
      <c r="AI846">
        <v>1</v>
      </c>
      <c r="AJ846">
        <v>1</v>
      </c>
      <c r="AK846">
        <v>7</v>
      </c>
      <c r="AL846">
        <v>1</v>
      </c>
      <c r="AM846">
        <f>AJ846*AK846*AL846/7</f>
        <v>1</v>
      </c>
      <c r="AN846" t="s">
        <v>56</v>
      </c>
      <c r="AO846">
        <v>0</v>
      </c>
      <c r="AV846">
        <f>AU846+AM846</f>
        <v>1</v>
      </c>
      <c r="AW846" t="s">
        <v>58</v>
      </c>
      <c r="AX846">
        <v>1</v>
      </c>
      <c r="AY846" t="s">
        <v>58</v>
      </c>
      <c r="AZ846">
        <v>1</v>
      </c>
      <c r="BA846">
        <v>0.8</v>
      </c>
      <c r="BB846">
        <v>7</v>
      </c>
      <c r="BC846">
        <v>1</v>
      </c>
      <c r="BD846">
        <f>BA846*BB846*1/7</f>
        <v>0.8</v>
      </c>
      <c r="BE846">
        <f>AM846+AU846+BD846</f>
        <v>1.8</v>
      </c>
      <c r="BF846" t="s">
        <v>58</v>
      </c>
      <c r="BG846">
        <v>0</v>
      </c>
      <c r="BH846">
        <v>7</v>
      </c>
      <c r="BI846">
        <v>1</v>
      </c>
      <c r="BJ846" t="s">
        <v>42</v>
      </c>
      <c r="BK846">
        <v>6</v>
      </c>
      <c r="BL846">
        <v>1</v>
      </c>
      <c r="BM846">
        <v>1</v>
      </c>
      <c r="BN846" t="s">
        <v>37</v>
      </c>
      <c r="BO846">
        <v>4</v>
      </c>
      <c r="BP846">
        <v>165</v>
      </c>
      <c r="BQ846">
        <v>0.05</v>
      </c>
      <c r="BR846">
        <v>3</v>
      </c>
      <c r="BS846">
        <v>0.15000000000000002</v>
      </c>
      <c r="BT846">
        <f>BS846+BD846+AU846+AM846</f>
        <v>1.9500000000000002</v>
      </c>
      <c r="BU846">
        <v>1</v>
      </c>
      <c r="BV846">
        <v>1</v>
      </c>
      <c r="BW846">
        <v>146.5</v>
      </c>
      <c r="BX846">
        <f>BW846/7</f>
        <v>20.928571428571427</v>
      </c>
      <c r="BY846">
        <f>0.77*BX846</f>
        <v>16.114999999999998</v>
      </c>
      <c r="BZ846">
        <f t="shared" si="13"/>
        <v>18.064999999999998</v>
      </c>
    </row>
    <row r="847" spans="1:78">
      <c r="A847" s="1">
        <v>45216.872306377314</v>
      </c>
      <c r="C847">
        <v>846</v>
      </c>
      <c r="D847" s="10">
        <v>32078</v>
      </c>
      <c r="E847">
        <v>35</v>
      </c>
      <c r="F847">
        <v>1</v>
      </c>
      <c r="G847">
        <v>9</v>
      </c>
      <c r="H847">
        <v>4</v>
      </c>
      <c r="I847" s="10">
        <v>44298</v>
      </c>
      <c r="J847">
        <v>2</v>
      </c>
      <c r="K847">
        <v>0</v>
      </c>
      <c r="L847">
        <v>2</v>
      </c>
      <c r="M847">
        <v>3950</v>
      </c>
      <c r="N847">
        <v>2</v>
      </c>
      <c r="O847" s="10">
        <v>44018</v>
      </c>
      <c r="P847">
        <v>1</v>
      </c>
      <c r="Q847">
        <v>40</v>
      </c>
      <c r="R847">
        <v>2</v>
      </c>
      <c r="S847">
        <v>59</v>
      </c>
      <c r="T847">
        <v>159</v>
      </c>
      <c r="U847">
        <v>73</v>
      </c>
      <c r="V847">
        <v>14</v>
      </c>
      <c r="W847">
        <v>2</v>
      </c>
      <c r="X847">
        <v>23.337684427040067</v>
      </c>
      <c r="Y847">
        <v>28.875440053795337</v>
      </c>
      <c r="Z847">
        <v>5.5377556267552706</v>
      </c>
      <c r="AA847">
        <v>2</v>
      </c>
      <c r="AB847">
        <v>3</v>
      </c>
      <c r="AC847" t="s">
        <v>33</v>
      </c>
      <c r="AD847">
        <v>3</v>
      </c>
      <c r="AE847">
        <v>0</v>
      </c>
      <c r="AG847">
        <v>5</v>
      </c>
      <c r="AH847">
        <v>1</v>
      </c>
      <c r="AI847">
        <v>4</v>
      </c>
      <c r="AJ847">
        <v>1</v>
      </c>
      <c r="AK847">
        <v>7</v>
      </c>
      <c r="AL847">
        <v>1</v>
      </c>
      <c r="AM847">
        <f>AJ847*AK847*AL847/7</f>
        <v>1</v>
      </c>
      <c r="AN847" t="s">
        <v>43</v>
      </c>
      <c r="AO847">
        <v>0</v>
      </c>
      <c r="AV847">
        <f>AU847+AM847</f>
        <v>1</v>
      </c>
      <c r="AX847">
        <v>0</v>
      </c>
      <c r="BE847">
        <f>AM847+AU847+BD847</f>
        <v>1</v>
      </c>
      <c r="BG847">
        <v>0</v>
      </c>
      <c r="BJ847" t="s">
        <v>28</v>
      </c>
      <c r="BK847">
        <v>3</v>
      </c>
      <c r="BL847">
        <v>3</v>
      </c>
      <c r="BM847">
        <v>1</v>
      </c>
      <c r="BN847" t="s">
        <v>30</v>
      </c>
      <c r="BO847">
        <v>1</v>
      </c>
      <c r="BP847">
        <v>168</v>
      </c>
      <c r="BQ847">
        <v>0.13</v>
      </c>
      <c r="BR847">
        <v>2</v>
      </c>
      <c r="BS847">
        <v>0.26</v>
      </c>
      <c r="BT847">
        <f>BS847+BD847+AU847+AM847</f>
        <v>1.26</v>
      </c>
      <c r="BU847">
        <v>1</v>
      </c>
      <c r="BV847">
        <v>5</v>
      </c>
      <c r="BW847">
        <v>732.5</v>
      </c>
      <c r="BX847">
        <f>BW847/7</f>
        <v>104.64285714285714</v>
      </c>
      <c r="BY847">
        <f>0.77*BX847</f>
        <v>80.575000000000003</v>
      </c>
      <c r="BZ847">
        <f t="shared" si="13"/>
        <v>81.835000000000008</v>
      </c>
    </row>
    <row r="848" spans="1:78">
      <c r="A848" s="1">
        <v>45216.900226631944</v>
      </c>
      <c r="C848">
        <v>847</v>
      </c>
      <c r="D848" s="10">
        <v>33472</v>
      </c>
      <c r="E848">
        <v>32</v>
      </c>
      <c r="F848">
        <v>1</v>
      </c>
      <c r="G848">
        <v>1</v>
      </c>
      <c r="H848">
        <v>2</v>
      </c>
      <c r="I848" s="10">
        <v>44724</v>
      </c>
      <c r="J848">
        <v>1</v>
      </c>
      <c r="K848">
        <v>1</v>
      </c>
      <c r="L848">
        <v>1</v>
      </c>
      <c r="M848">
        <v>3750</v>
      </c>
      <c r="N848">
        <v>2</v>
      </c>
      <c r="O848" s="10">
        <v>44441</v>
      </c>
      <c r="P848">
        <v>1</v>
      </c>
      <c r="Q848">
        <v>40.428571428571431</v>
      </c>
      <c r="R848">
        <v>2</v>
      </c>
      <c r="S848">
        <v>47.5</v>
      </c>
      <c r="T848">
        <v>164</v>
      </c>
      <c r="U848">
        <v>63</v>
      </c>
      <c r="V848">
        <v>15.5</v>
      </c>
      <c r="W848">
        <v>2</v>
      </c>
      <c r="X848">
        <v>17.66061867935753</v>
      </c>
      <c r="Y848">
        <v>23.423557406305775</v>
      </c>
      <c r="Z848">
        <v>5.7629387269482457</v>
      </c>
      <c r="AA848">
        <v>1</v>
      </c>
      <c r="AB848">
        <v>2</v>
      </c>
      <c r="AC848" t="s">
        <v>33</v>
      </c>
      <c r="AD848">
        <v>3</v>
      </c>
      <c r="AE848">
        <v>0</v>
      </c>
      <c r="AG848">
        <v>5</v>
      </c>
      <c r="AH848">
        <v>1</v>
      </c>
      <c r="AI848">
        <v>13</v>
      </c>
      <c r="AJ848">
        <v>1</v>
      </c>
      <c r="AK848">
        <v>7</v>
      </c>
      <c r="AL848">
        <v>1</v>
      </c>
      <c r="AM848">
        <f>AJ848*AK848*AL848/7</f>
        <v>1</v>
      </c>
      <c r="AN848" t="s">
        <v>79</v>
      </c>
      <c r="AO848">
        <v>0</v>
      </c>
      <c r="AV848">
        <f>AU848+AM848</f>
        <v>1</v>
      </c>
      <c r="AW848" t="s">
        <v>499</v>
      </c>
      <c r="AX848">
        <v>0</v>
      </c>
      <c r="BE848">
        <f>AM848+AU848+BD848</f>
        <v>1</v>
      </c>
      <c r="BF848" t="s">
        <v>499</v>
      </c>
      <c r="BG848">
        <v>1</v>
      </c>
      <c r="BH848">
        <v>7</v>
      </c>
      <c r="BI848">
        <v>1</v>
      </c>
      <c r="BJ848" t="s">
        <v>42</v>
      </c>
      <c r="BK848">
        <v>6</v>
      </c>
      <c r="BL848">
        <v>3</v>
      </c>
      <c r="BM848">
        <v>1</v>
      </c>
      <c r="BN848" t="s">
        <v>30</v>
      </c>
      <c r="BO848">
        <v>1</v>
      </c>
      <c r="BP848">
        <v>168</v>
      </c>
      <c r="BQ848">
        <v>0.13</v>
      </c>
      <c r="BR848">
        <v>2</v>
      </c>
      <c r="BS848">
        <v>0.26</v>
      </c>
      <c r="BT848">
        <f>BS848+BD848+AU848+AM848</f>
        <v>1.26</v>
      </c>
      <c r="BU848">
        <v>1</v>
      </c>
      <c r="BV848">
        <v>2</v>
      </c>
      <c r="BW848">
        <v>293</v>
      </c>
      <c r="BX848">
        <f>BW848/7</f>
        <v>41.857142857142854</v>
      </c>
      <c r="BY848">
        <f>0.77*BX848</f>
        <v>32.229999999999997</v>
      </c>
      <c r="BZ848">
        <f t="shared" si="13"/>
        <v>33.489999999999995</v>
      </c>
    </row>
    <row r="850" spans="2:78">
      <c r="B850" t="s">
        <v>914</v>
      </c>
      <c r="C850">
        <f>COUNT(C2:C848)</f>
        <v>847</v>
      </c>
      <c r="D850" s="9">
        <f t="shared" ref="D850:AS850" si="14">COUNT(D2:D848)</f>
        <v>847</v>
      </c>
      <c r="E850">
        <f t="shared" si="14"/>
        <v>847</v>
      </c>
      <c r="F850">
        <f t="shared" si="14"/>
        <v>847</v>
      </c>
      <c r="G850">
        <f t="shared" si="14"/>
        <v>847</v>
      </c>
      <c r="H850">
        <f t="shared" si="14"/>
        <v>847</v>
      </c>
      <c r="I850" s="9">
        <f t="shared" si="14"/>
        <v>847</v>
      </c>
      <c r="J850">
        <f t="shared" si="14"/>
        <v>847</v>
      </c>
      <c r="K850">
        <f t="shared" si="14"/>
        <v>847</v>
      </c>
      <c r="L850">
        <f t="shared" si="14"/>
        <v>847</v>
      </c>
      <c r="M850">
        <f t="shared" si="14"/>
        <v>845</v>
      </c>
      <c r="N850">
        <f t="shared" si="14"/>
        <v>847</v>
      </c>
      <c r="O850" s="10">
        <f t="shared" si="14"/>
        <v>847</v>
      </c>
      <c r="P850">
        <f t="shared" si="14"/>
        <v>847</v>
      </c>
      <c r="Q850">
        <f t="shared" si="14"/>
        <v>845</v>
      </c>
      <c r="S850">
        <f t="shared" si="14"/>
        <v>845</v>
      </c>
      <c r="T850">
        <f>COUNT(T2:T848)</f>
        <v>847</v>
      </c>
      <c r="U850">
        <f t="shared" si="14"/>
        <v>843</v>
      </c>
      <c r="V850">
        <f t="shared" si="14"/>
        <v>843</v>
      </c>
      <c r="X850">
        <f t="shared" si="14"/>
        <v>845</v>
      </c>
      <c r="Y850">
        <f t="shared" si="14"/>
        <v>843</v>
      </c>
      <c r="Z850">
        <f t="shared" si="14"/>
        <v>843</v>
      </c>
      <c r="AA850">
        <f t="shared" si="14"/>
        <v>845</v>
      </c>
      <c r="AB850">
        <f t="shared" si="14"/>
        <v>843</v>
      </c>
      <c r="AC850">
        <f t="shared" si="14"/>
        <v>0</v>
      </c>
      <c r="AD850">
        <f t="shared" si="14"/>
        <v>847</v>
      </c>
      <c r="AE850">
        <f t="shared" si="14"/>
        <v>847</v>
      </c>
      <c r="AF850">
        <f t="shared" si="14"/>
        <v>0</v>
      </c>
      <c r="AG850">
        <f t="shared" si="14"/>
        <v>800</v>
      </c>
      <c r="AH850">
        <f t="shared" si="14"/>
        <v>847</v>
      </c>
      <c r="AI850">
        <f t="shared" si="14"/>
        <v>817</v>
      </c>
      <c r="AJ850">
        <f t="shared" si="14"/>
        <v>692</v>
      </c>
      <c r="AK850">
        <f t="shared" si="14"/>
        <v>721</v>
      </c>
      <c r="AL850">
        <f t="shared" si="14"/>
        <v>721</v>
      </c>
      <c r="AM850">
        <f t="shared" si="14"/>
        <v>692</v>
      </c>
      <c r="AO850">
        <f t="shared" si="14"/>
        <v>847</v>
      </c>
      <c r="AP850">
        <f t="shared" si="14"/>
        <v>24</v>
      </c>
      <c r="AQ850">
        <f t="shared" si="14"/>
        <v>0</v>
      </c>
      <c r="AR850">
        <f t="shared" si="14"/>
        <v>24</v>
      </c>
      <c r="AS850">
        <f t="shared" si="14"/>
        <v>24</v>
      </c>
      <c r="AT850">
        <f t="shared" ref="AT850:BV850" si="15">COUNT(AT2:AT848)</f>
        <v>24</v>
      </c>
      <c r="AU850">
        <f t="shared" si="15"/>
        <v>24</v>
      </c>
      <c r="AV850">
        <f t="shared" si="15"/>
        <v>691</v>
      </c>
      <c r="AW850">
        <f t="shared" si="15"/>
        <v>0</v>
      </c>
      <c r="AX850">
        <f t="shared" si="15"/>
        <v>847</v>
      </c>
      <c r="AY850">
        <f t="shared" si="15"/>
        <v>0</v>
      </c>
      <c r="AZ850">
        <f t="shared" si="15"/>
        <v>364</v>
      </c>
      <c r="BA850">
        <f t="shared" si="15"/>
        <v>323</v>
      </c>
      <c r="BB850">
        <f t="shared" si="15"/>
        <v>364</v>
      </c>
      <c r="BC850">
        <f t="shared" si="15"/>
        <v>364</v>
      </c>
      <c r="BD850">
        <f t="shared" si="15"/>
        <v>323</v>
      </c>
      <c r="BE850">
        <f t="shared" si="15"/>
        <v>789</v>
      </c>
      <c r="BF850">
        <f t="shared" si="15"/>
        <v>0</v>
      </c>
      <c r="BG850">
        <f t="shared" si="15"/>
        <v>812</v>
      </c>
      <c r="BH850">
        <f t="shared" si="15"/>
        <v>474</v>
      </c>
      <c r="BI850">
        <f t="shared" si="15"/>
        <v>475</v>
      </c>
      <c r="BJ850">
        <f t="shared" si="15"/>
        <v>0</v>
      </c>
      <c r="BK850">
        <f t="shared" si="15"/>
        <v>847</v>
      </c>
      <c r="BL850">
        <f t="shared" si="15"/>
        <v>843</v>
      </c>
      <c r="BM850">
        <f t="shared" si="15"/>
        <v>847</v>
      </c>
      <c r="BN850">
        <f t="shared" si="15"/>
        <v>0</v>
      </c>
      <c r="BO850">
        <f>COUNT(BO2:BO848)</f>
        <v>847</v>
      </c>
      <c r="BP850">
        <f t="shared" si="15"/>
        <v>847</v>
      </c>
      <c r="BQ850">
        <f t="shared" si="15"/>
        <v>847</v>
      </c>
      <c r="BR850">
        <f>COUNT(BR2:BR848)</f>
        <v>847</v>
      </c>
      <c r="BS850">
        <v>847</v>
      </c>
      <c r="BT850">
        <f t="shared" si="15"/>
        <v>817</v>
      </c>
      <c r="BU850">
        <f t="shared" si="15"/>
        <v>847</v>
      </c>
      <c r="BV850">
        <f t="shared" si="15"/>
        <v>829</v>
      </c>
      <c r="BW850">
        <f>COUNT(BW2:BW848)</f>
        <v>844</v>
      </c>
      <c r="BX850">
        <f>COUNT(BX2:BX848)</f>
        <v>844</v>
      </c>
      <c r="BY850">
        <f>COUNT(BY2:BY848)</f>
        <v>844</v>
      </c>
      <c r="BZ850">
        <f>COUNT(BZ2:BZ848)</f>
        <v>814</v>
      </c>
    </row>
    <row r="851" spans="2:78">
      <c r="B851" t="s">
        <v>915</v>
      </c>
      <c r="C851">
        <f>MIN(C2:C848)</f>
        <v>1</v>
      </c>
      <c r="D851" s="10">
        <f t="shared" ref="D851:AS851" si="16">MIN(D2:D848)</f>
        <v>27975</v>
      </c>
      <c r="E851">
        <f t="shared" si="16"/>
        <v>21</v>
      </c>
      <c r="F851">
        <f t="shared" si="16"/>
        <v>1</v>
      </c>
      <c r="G851">
        <f t="shared" si="16"/>
        <v>1</v>
      </c>
      <c r="H851">
        <f t="shared" si="16"/>
        <v>1</v>
      </c>
      <c r="I851" s="10">
        <f t="shared" si="16"/>
        <v>30201</v>
      </c>
      <c r="J851">
        <f t="shared" si="16"/>
        <v>1</v>
      </c>
      <c r="K851">
        <f t="shared" si="16"/>
        <v>0</v>
      </c>
      <c r="L851">
        <f t="shared" si="16"/>
        <v>1</v>
      </c>
      <c r="M851">
        <f t="shared" si="16"/>
        <v>1010</v>
      </c>
      <c r="N851">
        <f t="shared" si="16"/>
        <v>1</v>
      </c>
      <c r="O851" s="10">
        <f t="shared" si="16"/>
        <v>29928</v>
      </c>
      <c r="P851">
        <f t="shared" si="16"/>
        <v>0</v>
      </c>
      <c r="Q851">
        <f t="shared" si="16"/>
        <v>28</v>
      </c>
      <c r="S851">
        <f t="shared" si="16"/>
        <v>37</v>
      </c>
      <c r="T851">
        <f>MIN(T2:T848)</f>
        <v>60</v>
      </c>
      <c r="U851">
        <f t="shared" si="16"/>
        <v>40</v>
      </c>
      <c r="V851" t="e">
        <f t="shared" si="16"/>
        <v>#VALUE!</v>
      </c>
      <c r="X851">
        <f t="shared" si="16"/>
        <v>16.406249999999996</v>
      </c>
      <c r="Y851">
        <f t="shared" si="16"/>
        <v>17.777777777777779</v>
      </c>
      <c r="Z851" t="e">
        <f t="shared" si="16"/>
        <v>#VALUE!</v>
      </c>
      <c r="AA851" t="e">
        <f t="shared" si="16"/>
        <v>#VALUE!</v>
      </c>
      <c r="AB851" t="e">
        <f t="shared" si="16"/>
        <v>#VALUE!</v>
      </c>
      <c r="AC851">
        <f t="shared" si="16"/>
        <v>0</v>
      </c>
      <c r="AD851">
        <f t="shared" si="16"/>
        <v>1</v>
      </c>
      <c r="AE851">
        <f t="shared" si="16"/>
        <v>0</v>
      </c>
      <c r="AF851">
        <f t="shared" si="16"/>
        <v>0</v>
      </c>
      <c r="AG851" t="e">
        <f t="shared" si="16"/>
        <v>#N/A</v>
      </c>
      <c r="AH851">
        <f t="shared" si="16"/>
        <v>0</v>
      </c>
      <c r="AI851">
        <f t="shared" si="16"/>
        <v>0</v>
      </c>
      <c r="AJ851">
        <f t="shared" si="16"/>
        <v>0.1</v>
      </c>
      <c r="AK851">
        <f t="shared" si="16"/>
        <v>1</v>
      </c>
      <c r="AL851">
        <f t="shared" si="16"/>
        <v>0.5</v>
      </c>
      <c r="AM851">
        <f t="shared" si="16"/>
        <v>1.4285714285714287E-2</v>
      </c>
      <c r="AO851">
        <f t="shared" si="16"/>
        <v>0</v>
      </c>
      <c r="AP851">
        <f t="shared" si="16"/>
        <v>17</v>
      </c>
      <c r="AQ851">
        <f t="shared" si="16"/>
        <v>0</v>
      </c>
      <c r="AR851">
        <f t="shared" si="16"/>
        <v>0.35499999999999998</v>
      </c>
      <c r="AS851">
        <f t="shared" si="16"/>
        <v>1</v>
      </c>
      <c r="AT851">
        <f t="shared" ref="AT851:BV851" si="17">MIN(AT2:AT848)</f>
        <v>1</v>
      </c>
      <c r="AU851">
        <f t="shared" si="17"/>
        <v>7.1428571428571425E-2</v>
      </c>
      <c r="AV851">
        <f t="shared" si="17"/>
        <v>1.4285714285714287E-2</v>
      </c>
      <c r="AW851">
        <f t="shared" si="17"/>
        <v>0</v>
      </c>
      <c r="AX851">
        <f t="shared" si="17"/>
        <v>0</v>
      </c>
      <c r="AY851">
        <f t="shared" si="17"/>
        <v>0</v>
      </c>
      <c r="AZ851">
        <f t="shared" si="17"/>
        <v>1</v>
      </c>
      <c r="BA851">
        <f t="shared" si="17"/>
        <v>0.1</v>
      </c>
      <c r="BB851">
        <f t="shared" si="17"/>
        <v>1</v>
      </c>
      <c r="BC851">
        <f t="shared" si="17"/>
        <v>1</v>
      </c>
      <c r="BD851">
        <f t="shared" si="17"/>
        <v>8.5714285714285729E-2</v>
      </c>
      <c r="BE851">
        <f t="shared" si="17"/>
        <v>1.4285714285714287E-2</v>
      </c>
      <c r="BF851">
        <f t="shared" si="17"/>
        <v>0</v>
      </c>
      <c r="BG851">
        <f t="shared" si="17"/>
        <v>0</v>
      </c>
      <c r="BH851">
        <f t="shared" si="17"/>
        <v>0</v>
      </c>
      <c r="BI851">
        <f t="shared" si="17"/>
        <v>0</v>
      </c>
      <c r="BJ851">
        <f t="shared" si="17"/>
        <v>0</v>
      </c>
      <c r="BK851">
        <f t="shared" si="17"/>
        <v>1</v>
      </c>
      <c r="BL851" t="e">
        <f t="shared" si="17"/>
        <v>#N/A</v>
      </c>
      <c r="BM851">
        <f t="shared" si="17"/>
        <v>0</v>
      </c>
      <c r="BN851">
        <f t="shared" si="17"/>
        <v>0</v>
      </c>
      <c r="BO851">
        <f>MIN(BO2:BO848)</f>
        <v>0</v>
      </c>
      <c r="BP851">
        <f t="shared" si="17"/>
        <v>0</v>
      </c>
      <c r="BQ851">
        <f t="shared" si="17"/>
        <v>0</v>
      </c>
      <c r="BR851">
        <f>MIN(BR2:BR848)</f>
        <v>0</v>
      </c>
      <c r="BS851">
        <v>0</v>
      </c>
      <c r="BT851" t="e">
        <f t="shared" si="17"/>
        <v>#VALUE!</v>
      </c>
      <c r="BU851">
        <f t="shared" si="17"/>
        <v>0</v>
      </c>
      <c r="BV851">
        <f t="shared" si="17"/>
        <v>0.5</v>
      </c>
      <c r="BW851" t="e">
        <f>MIN(BW2:BW848)</f>
        <v>#VALUE!</v>
      </c>
      <c r="BX851" t="e">
        <f>MIN(BX2:BX848)</f>
        <v>#VALUE!</v>
      </c>
      <c r="BY851" t="e">
        <f>MIN(BY2:BY848)</f>
        <v>#VALUE!</v>
      </c>
      <c r="BZ851" t="e">
        <f>MIN(BZ2:BZ848)</f>
        <v>#VALUE!</v>
      </c>
    </row>
    <row r="852" spans="2:78">
      <c r="B852" t="s">
        <v>916</v>
      </c>
      <c r="C852">
        <f>MAX(C2:C848)</f>
        <v>847</v>
      </c>
      <c r="D852" s="10">
        <f t="shared" ref="D852:AS852" si="18">MAX(D2:D848)</f>
        <v>45225</v>
      </c>
      <c r="E852">
        <f t="shared" si="18"/>
        <v>49</v>
      </c>
      <c r="F852">
        <f t="shared" si="18"/>
        <v>2</v>
      </c>
      <c r="G852">
        <f t="shared" si="18"/>
        <v>16</v>
      </c>
      <c r="H852">
        <f t="shared" si="18"/>
        <v>5</v>
      </c>
      <c r="I852" s="10">
        <f t="shared" si="18"/>
        <v>46530</v>
      </c>
      <c r="J852">
        <f t="shared" si="18"/>
        <v>5</v>
      </c>
      <c r="K852">
        <f t="shared" si="18"/>
        <v>1</v>
      </c>
      <c r="L852">
        <f t="shared" si="18"/>
        <v>2</v>
      </c>
      <c r="M852">
        <f t="shared" si="18"/>
        <v>4910</v>
      </c>
      <c r="N852">
        <f t="shared" si="18"/>
        <v>3</v>
      </c>
      <c r="O852" s="10">
        <f t="shared" si="18"/>
        <v>46285</v>
      </c>
      <c r="P852">
        <f t="shared" si="18"/>
        <v>1</v>
      </c>
      <c r="Q852">
        <f t="shared" si="18"/>
        <v>42.142857142857146</v>
      </c>
      <c r="S852">
        <f t="shared" si="18"/>
        <v>170</v>
      </c>
      <c r="T852">
        <f>MAX(T2:T848)</f>
        <v>184</v>
      </c>
      <c r="U852">
        <f t="shared" si="18"/>
        <v>150</v>
      </c>
      <c r="V852" t="e">
        <f t="shared" si="18"/>
        <v>#VALUE!</v>
      </c>
      <c r="X852">
        <f t="shared" si="18"/>
        <v>222.22222222222223</v>
      </c>
      <c r="Y852">
        <f t="shared" si="18"/>
        <v>53.14625850340137</v>
      </c>
      <c r="Z852" t="e">
        <f t="shared" si="18"/>
        <v>#VALUE!</v>
      </c>
      <c r="AA852" t="e">
        <f t="shared" si="18"/>
        <v>#VALUE!</v>
      </c>
      <c r="AB852" t="e">
        <f t="shared" si="18"/>
        <v>#VALUE!</v>
      </c>
      <c r="AC852">
        <f t="shared" si="18"/>
        <v>0</v>
      </c>
      <c r="AD852">
        <f t="shared" si="18"/>
        <v>4</v>
      </c>
      <c r="AE852">
        <f t="shared" si="18"/>
        <v>1</v>
      </c>
      <c r="AF852">
        <f t="shared" si="18"/>
        <v>0</v>
      </c>
      <c r="AG852" t="e">
        <f t="shared" si="18"/>
        <v>#N/A</v>
      </c>
      <c r="AH852">
        <f t="shared" si="18"/>
        <v>1</v>
      </c>
      <c r="AI852">
        <f t="shared" si="18"/>
        <v>25</v>
      </c>
      <c r="AJ852">
        <f t="shared" si="18"/>
        <v>5</v>
      </c>
      <c r="AK852">
        <f t="shared" si="18"/>
        <v>7</v>
      </c>
      <c r="AL852">
        <f t="shared" si="18"/>
        <v>3</v>
      </c>
      <c r="AM852">
        <f t="shared" si="18"/>
        <v>15</v>
      </c>
      <c r="AO852">
        <f t="shared" si="18"/>
        <v>1</v>
      </c>
      <c r="AP852">
        <f t="shared" si="18"/>
        <v>26</v>
      </c>
      <c r="AQ852">
        <f t="shared" si="18"/>
        <v>0</v>
      </c>
      <c r="AR852">
        <f t="shared" si="18"/>
        <v>2</v>
      </c>
      <c r="AS852">
        <f t="shared" si="18"/>
        <v>7</v>
      </c>
      <c r="AT852">
        <f t="shared" ref="AT852:BV852" si="19">MAX(AT2:AT848)</f>
        <v>2</v>
      </c>
      <c r="AU852">
        <f t="shared" si="19"/>
        <v>2</v>
      </c>
      <c r="AV852">
        <f t="shared" si="19"/>
        <v>15</v>
      </c>
      <c r="AW852">
        <f t="shared" si="19"/>
        <v>0</v>
      </c>
      <c r="AX852">
        <f t="shared" si="19"/>
        <v>1</v>
      </c>
      <c r="AY852">
        <f t="shared" si="19"/>
        <v>0</v>
      </c>
      <c r="AZ852">
        <f t="shared" si="19"/>
        <v>16</v>
      </c>
      <c r="BA852">
        <f t="shared" si="19"/>
        <v>0.8</v>
      </c>
      <c r="BB852">
        <f t="shared" si="19"/>
        <v>7</v>
      </c>
      <c r="BC852">
        <f t="shared" si="19"/>
        <v>2</v>
      </c>
      <c r="BD852">
        <f t="shared" si="19"/>
        <v>0.8</v>
      </c>
      <c r="BE852">
        <f t="shared" si="19"/>
        <v>15</v>
      </c>
      <c r="BF852">
        <f t="shared" si="19"/>
        <v>0</v>
      </c>
      <c r="BG852">
        <f t="shared" si="19"/>
        <v>1</v>
      </c>
      <c r="BH852">
        <f t="shared" si="19"/>
        <v>7</v>
      </c>
      <c r="BI852">
        <f t="shared" si="19"/>
        <v>10</v>
      </c>
      <c r="BJ852">
        <f t="shared" si="19"/>
        <v>0</v>
      </c>
      <c r="BK852">
        <f t="shared" si="19"/>
        <v>6</v>
      </c>
      <c r="BL852" t="e">
        <f t="shared" si="19"/>
        <v>#N/A</v>
      </c>
      <c r="BM852">
        <f t="shared" si="19"/>
        <v>1</v>
      </c>
      <c r="BN852">
        <f t="shared" si="19"/>
        <v>0</v>
      </c>
      <c r="BO852">
        <f>MAX(BO2:BO848)</f>
        <v>15</v>
      </c>
      <c r="BP852">
        <f t="shared" si="19"/>
        <v>450</v>
      </c>
      <c r="BQ852">
        <f t="shared" si="19"/>
        <v>0.23</v>
      </c>
      <c r="BR852">
        <f>MAX(BR2:BR848)</f>
        <v>5</v>
      </c>
      <c r="BS852">
        <v>0.69000000000000006</v>
      </c>
      <c r="BT852" t="e">
        <f t="shared" si="19"/>
        <v>#VALUE!</v>
      </c>
      <c r="BU852">
        <f t="shared" si="19"/>
        <v>1</v>
      </c>
      <c r="BV852">
        <f t="shared" si="19"/>
        <v>146.5</v>
      </c>
      <c r="BW852" t="e">
        <f>MAX(BW2:BW848)</f>
        <v>#VALUE!</v>
      </c>
      <c r="BX852" t="e">
        <f>MAX(BX2:BX848)</f>
        <v>#VALUE!</v>
      </c>
      <c r="BY852" t="e">
        <f>MAX(BY2:BY848)</f>
        <v>#VALUE!</v>
      </c>
      <c r="BZ852" t="e">
        <f>MAX(BZ2:BZ848)</f>
        <v>#VALUE!</v>
      </c>
    </row>
    <row r="853" spans="2:78">
      <c r="B853" t="s">
        <v>917</v>
      </c>
      <c r="C853" s="11">
        <f>AVERAGE(C2:C848)</f>
        <v>424</v>
      </c>
      <c r="D853" s="10">
        <f t="shared" ref="D853:AS853" si="20">AVERAGE(D2:D848)</f>
        <v>32688.779220779219</v>
      </c>
      <c r="E853" s="11">
        <f t="shared" si="20"/>
        <v>34.15702479338843</v>
      </c>
      <c r="F853" s="11">
        <f t="shared" si="20"/>
        <v>1.0354191263282173</v>
      </c>
      <c r="G853" s="11">
        <f t="shared" si="20"/>
        <v>4.1794569067296337</v>
      </c>
      <c r="H853" s="11">
        <f t="shared" si="20"/>
        <v>4.0271546635183002</v>
      </c>
      <c r="I853" s="10">
        <f t="shared" si="20"/>
        <v>44201.095631641088</v>
      </c>
      <c r="J853" s="11">
        <f t="shared" si="20"/>
        <v>1.6576151121605667</v>
      </c>
      <c r="K853" s="11">
        <f t="shared" si="20"/>
        <v>0.54309327036599764</v>
      </c>
      <c r="L853" s="11">
        <f t="shared" si="20"/>
        <v>1.4852420306965761</v>
      </c>
      <c r="M853" s="11">
        <f t="shared" si="20"/>
        <v>3289.1491124260356</v>
      </c>
      <c r="N853" s="11">
        <f t="shared" si="20"/>
        <v>1.9929161747343564</v>
      </c>
      <c r="O853" s="10">
        <f t="shared" si="20"/>
        <v>43933.173553719011</v>
      </c>
      <c r="P853" s="11">
        <f t="shared" si="20"/>
        <v>0.33175914994096811</v>
      </c>
      <c r="Q853" s="11">
        <f t="shared" si="20"/>
        <v>38.365173288250205</v>
      </c>
      <c r="R853" s="11"/>
      <c r="S853" s="11">
        <f t="shared" si="20"/>
        <v>69.331952662721903</v>
      </c>
      <c r="T853" s="11">
        <f>AVERAGE(T2:T848)</f>
        <v>160.82868949232585</v>
      </c>
      <c r="U853" s="11">
        <f t="shared" si="20"/>
        <v>79.240213523131686</v>
      </c>
      <c r="V853" s="11" t="e">
        <f t="shared" si="20"/>
        <v>#VALUE!</v>
      </c>
      <c r="W853" s="11"/>
      <c r="X853" s="11">
        <f t="shared" si="20"/>
        <v>26.95797192476001</v>
      </c>
      <c r="Y853" s="11">
        <f t="shared" si="20"/>
        <v>30.55941820537064</v>
      </c>
      <c r="Z853" s="11" t="e">
        <f t="shared" si="20"/>
        <v>#VALUE!</v>
      </c>
      <c r="AA853" s="11" t="e">
        <f t="shared" si="20"/>
        <v>#VALUE!</v>
      </c>
      <c r="AB853" s="11" t="e">
        <f t="shared" si="20"/>
        <v>#VALUE!</v>
      </c>
      <c r="AC853" s="11" t="e">
        <f t="shared" si="20"/>
        <v>#DIV/0!</v>
      </c>
      <c r="AD853" s="11">
        <f t="shared" si="20"/>
        <v>2.5029515938606846</v>
      </c>
      <c r="AE853" s="11">
        <f t="shared" si="20"/>
        <v>9.9173553719008267E-2</v>
      </c>
      <c r="AF853" s="11" t="e">
        <f t="shared" si="20"/>
        <v>#DIV/0!</v>
      </c>
      <c r="AG853" s="11" t="e">
        <f t="shared" si="20"/>
        <v>#N/A</v>
      </c>
      <c r="AH853" s="11">
        <f t="shared" si="20"/>
        <v>0.85242030696576154</v>
      </c>
      <c r="AI853" s="11">
        <f t="shared" si="20"/>
        <v>6.1150550795593634</v>
      </c>
      <c r="AJ853" s="11">
        <f t="shared" si="20"/>
        <v>2.4554624277456645</v>
      </c>
      <c r="AK853" s="11">
        <f t="shared" si="20"/>
        <v>6.7511789181692103</v>
      </c>
      <c r="AL853" s="11">
        <f t="shared" si="20"/>
        <v>1.0117891816920943</v>
      </c>
      <c r="AM853" s="11">
        <f t="shared" si="20"/>
        <v>2.4055677126341868</v>
      </c>
      <c r="AN853" s="11"/>
      <c r="AO853" s="11">
        <f t="shared" si="20"/>
        <v>2.833530106257379E-2</v>
      </c>
      <c r="AP853" s="11">
        <f t="shared" si="20"/>
        <v>20.083333333333332</v>
      </c>
      <c r="AQ853" s="11" t="e">
        <f t="shared" si="20"/>
        <v>#DIV/0!</v>
      </c>
      <c r="AR853" s="11">
        <f t="shared" si="20"/>
        <v>1.1337500000000003</v>
      </c>
      <c r="AS853" s="11">
        <f t="shared" si="20"/>
        <v>6.583333333333333</v>
      </c>
      <c r="AT853" s="11">
        <f t="shared" ref="AT853:BV853" si="21">AVERAGE(AT2:AT848)</f>
        <v>1.0833333333333333</v>
      </c>
      <c r="AU853" s="11">
        <f t="shared" si="21"/>
        <v>1.1169940476190476</v>
      </c>
      <c r="AV853" s="11">
        <f t="shared" si="21"/>
        <v>2.447468472193508</v>
      </c>
      <c r="AW853" s="11" t="e">
        <f t="shared" si="21"/>
        <v>#DIV/0!</v>
      </c>
      <c r="AX853" s="11">
        <f t="shared" si="21"/>
        <v>0.43093270365997638</v>
      </c>
      <c r="AY853" s="11" t="e">
        <f t="shared" si="21"/>
        <v>#DIV/0!</v>
      </c>
      <c r="AZ853" s="11">
        <f t="shared" si="21"/>
        <v>5.6840659340659343</v>
      </c>
      <c r="BA853" s="11">
        <f t="shared" si="21"/>
        <v>0.56377708978328356</v>
      </c>
      <c r="BB853" s="11">
        <f t="shared" si="21"/>
        <v>6.7637362637362637</v>
      </c>
      <c r="BC853" s="11">
        <f t="shared" si="21"/>
        <v>1.0521978021978022</v>
      </c>
      <c r="BD853" s="11">
        <f t="shared" si="21"/>
        <v>0.54282176028306228</v>
      </c>
      <c r="BE853" s="11">
        <f t="shared" si="21"/>
        <v>2.3656807894260332</v>
      </c>
      <c r="BF853" s="11" t="e">
        <f t="shared" si="21"/>
        <v>#DIV/0!</v>
      </c>
      <c r="BG853" s="11">
        <f t="shared" si="21"/>
        <v>0.14655172413793102</v>
      </c>
      <c r="BH853" s="11">
        <f t="shared" si="21"/>
        <v>6.6877637130801686</v>
      </c>
      <c r="BI853" s="11">
        <f t="shared" si="21"/>
        <v>1.071578947368421</v>
      </c>
      <c r="BJ853" s="11" t="e">
        <f t="shared" si="21"/>
        <v>#DIV/0!</v>
      </c>
      <c r="BK853" s="11">
        <f t="shared" si="21"/>
        <v>4.5218417945690677</v>
      </c>
      <c r="BL853" s="11" t="e">
        <f t="shared" si="21"/>
        <v>#N/A</v>
      </c>
      <c r="BM853" s="11">
        <f t="shared" si="21"/>
        <v>0.98347107438016534</v>
      </c>
      <c r="BN853" s="11" t="e">
        <f t="shared" si="21"/>
        <v>#DIV/0!</v>
      </c>
      <c r="BO853" s="11">
        <f>AVERAGE(BO2:BO848)</f>
        <v>2.279811097992916</v>
      </c>
      <c r="BP853" s="11">
        <f t="shared" si="21"/>
        <v>122.32272273181366</v>
      </c>
      <c r="BQ853" s="11">
        <f t="shared" si="21"/>
        <v>0.10390791027154597</v>
      </c>
      <c r="BR853" s="11">
        <f>AVERAGE(BR2:BR848)</f>
        <v>1.693034238488784</v>
      </c>
      <c r="BS853" s="11">
        <v>0.17865407319952736</v>
      </c>
      <c r="BT853" s="11" t="e">
        <f t="shared" si="21"/>
        <v>#VALUE!</v>
      </c>
      <c r="BU853" s="11">
        <f t="shared" si="21"/>
        <v>0.98347107438016534</v>
      </c>
      <c r="BV853" s="11">
        <f t="shared" si="21"/>
        <v>1.9083232810615198</v>
      </c>
      <c r="BW853" s="11" t="e">
        <f>AVERAGE(BW2:BW848)</f>
        <v>#VALUE!</v>
      </c>
      <c r="BX853" s="11" t="e">
        <f>AVERAGE(BX2:BX848)</f>
        <v>#VALUE!</v>
      </c>
      <c r="BY853" s="11" t="e">
        <f>AVERAGE(BY2:BY848)</f>
        <v>#VALUE!</v>
      </c>
      <c r="BZ853" s="11" t="e">
        <f>AVERAGE(BZ2:BZ848)</f>
        <v>#VALUE!</v>
      </c>
    </row>
    <row r="854" spans="2:78">
      <c r="B854" t="s">
        <v>918</v>
      </c>
      <c r="C854" s="11">
        <f>MEDIAN(C2:C848)</f>
        <v>424</v>
      </c>
      <c r="D854" s="10">
        <f t="shared" ref="D854:AS854" si="22">MEDIAN(D2:D848)</f>
        <v>32490</v>
      </c>
      <c r="E854" s="11">
        <f t="shared" si="22"/>
        <v>34</v>
      </c>
      <c r="F854" s="11">
        <f t="shared" si="22"/>
        <v>1</v>
      </c>
      <c r="G854" s="11">
        <f t="shared" si="22"/>
        <v>1</v>
      </c>
      <c r="H854" s="11">
        <f t="shared" si="22"/>
        <v>4</v>
      </c>
      <c r="I854" s="10">
        <f t="shared" si="22"/>
        <v>44435</v>
      </c>
      <c r="J854" s="11">
        <f t="shared" si="22"/>
        <v>1</v>
      </c>
      <c r="K854" s="11">
        <f t="shared" si="22"/>
        <v>1</v>
      </c>
      <c r="L854" s="11">
        <f t="shared" si="22"/>
        <v>1</v>
      </c>
      <c r="M854" s="11">
        <f t="shared" si="22"/>
        <v>3323</v>
      </c>
      <c r="N854" s="11">
        <f t="shared" si="22"/>
        <v>2</v>
      </c>
      <c r="O854" s="10">
        <f t="shared" si="22"/>
        <v>44165</v>
      </c>
      <c r="P854" s="11">
        <f t="shared" si="22"/>
        <v>0</v>
      </c>
      <c r="Q854" s="11">
        <f t="shared" si="22"/>
        <v>38.571428571428569</v>
      </c>
      <c r="R854" s="11"/>
      <c r="S854" s="11">
        <f t="shared" si="22"/>
        <v>67</v>
      </c>
      <c r="T854" s="11">
        <f>MEDIAN(T2:T848)</f>
        <v>160</v>
      </c>
      <c r="U854" s="11">
        <f t="shared" si="22"/>
        <v>79</v>
      </c>
      <c r="V854" s="11" t="e">
        <f t="shared" si="22"/>
        <v>#VALUE!</v>
      </c>
      <c r="W854" s="11"/>
      <c r="X854" s="11">
        <f t="shared" si="22"/>
        <v>25.529644871208653</v>
      </c>
      <c r="Y854" s="11">
        <f t="shared" si="22"/>
        <v>30.056810675122207</v>
      </c>
      <c r="Z854" s="11" t="e">
        <f t="shared" si="22"/>
        <v>#VALUE!</v>
      </c>
      <c r="AA854" s="11" t="e">
        <f t="shared" si="22"/>
        <v>#VALUE!</v>
      </c>
      <c r="AB854" s="11" t="e">
        <f t="shared" si="22"/>
        <v>#VALUE!</v>
      </c>
      <c r="AC854" s="11" t="e">
        <f t="shared" si="22"/>
        <v>#NUM!</v>
      </c>
      <c r="AD854" s="11">
        <f t="shared" si="22"/>
        <v>3</v>
      </c>
      <c r="AE854" s="11">
        <f t="shared" si="22"/>
        <v>0</v>
      </c>
      <c r="AF854" s="11" t="e">
        <f t="shared" si="22"/>
        <v>#NUM!</v>
      </c>
      <c r="AG854" s="11" t="e">
        <f t="shared" si="22"/>
        <v>#N/A</v>
      </c>
      <c r="AH854" s="11">
        <f t="shared" si="22"/>
        <v>1</v>
      </c>
      <c r="AI854" s="11">
        <f t="shared" si="22"/>
        <v>4</v>
      </c>
      <c r="AJ854" s="11">
        <f t="shared" si="22"/>
        <v>1</v>
      </c>
      <c r="AK854" s="11">
        <f t="shared" si="22"/>
        <v>7</v>
      </c>
      <c r="AL854" s="11">
        <f t="shared" si="22"/>
        <v>1</v>
      </c>
      <c r="AM854" s="11">
        <f t="shared" si="22"/>
        <v>1</v>
      </c>
      <c r="AN854" s="11"/>
      <c r="AO854" s="11">
        <f t="shared" si="22"/>
        <v>0</v>
      </c>
      <c r="AP854" s="11">
        <f t="shared" si="22"/>
        <v>19</v>
      </c>
      <c r="AQ854" s="11" t="e">
        <f t="shared" si="22"/>
        <v>#NUM!</v>
      </c>
      <c r="AR854" s="11">
        <f t="shared" si="22"/>
        <v>0.6</v>
      </c>
      <c r="AS854" s="11">
        <f t="shared" si="22"/>
        <v>7</v>
      </c>
      <c r="AT854" s="11">
        <f t="shared" ref="AT854:BV854" si="23">MEDIAN(AT2:AT848)</f>
        <v>1</v>
      </c>
      <c r="AU854" s="11">
        <f t="shared" si="23"/>
        <v>0.65500000000000003</v>
      </c>
      <c r="AV854" s="11">
        <f t="shared" si="23"/>
        <v>1</v>
      </c>
      <c r="AW854" s="11" t="e">
        <f t="shared" si="23"/>
        <v>#NUM!</v>
      </c>
      <c r="AX854" s="11">
        <f t="shared" si="23"/>
        <v>0</v>
      </c>
      <c r="AY854" s="11" t="e">
        <f t="shared" si="23"/>
        <v>#NUM!</v>
      </c>
      <c r="AZ854" s="11">
        <f t="shared" si="23"/>
        <v>4</v>
      </c>
      <c r="BA854" s="11">
        <f t="shared" si="23"/>
        <v>0.5</v>
      </c>
      <c r="BB854" s="11">
        <f t="shared" si="23"/>
        <v>7</v>
      </c>
      <c r="BC854" s="11">
        <f t="shared" si="23"/>
        <v>1</v>
      </c>
      <c r="BD854" s="11">
        <f t="shared" si="23"/>
        <v>0.5</v>
      </c>
      <c r="BE854" s="11">
        <f t="shared" si="23"/>
        <v>1</v>
      </c>
      <c r="BF854" s="11" t="e">
        <f t="shared" si="23"/>
        <v>#NUM!</v>
      </c>
      <c r="BG854" s="11">
        <f t="shared" si="23"/>
        <v>0</v>
      </c>
      <c r="BH854" s="11">
        <f t="shared" si="23"/>
        <v>7</v>
      </c>
      <c r="BI854" s="11">
        <f t="shared" si="23"/>
        <v>1</v>
      </c>
      <c r="BJ854" s="11" t="e">
        <f t="shared" si="23"/>
        <v>#NUM!</v>
      </c>
      <c r="BK854" s="11">
        <f t="shared" si="23"/>
        <v>5</v>
      </c>
      <c r="BL854" s="11" t="e">
        <f t="shared" si="23"/>
        <v>#N/A</v>
      </c>
      <c r="BM854" s="11">
        <f t="shared" si="23"/>
        <v>1</v>
      </c>
      <c r="BN854" s="11" t="e">
        <f t="shared" si="23"/>
        <v>#NUM!</v>
      </c>
      <c r="BO854" s="11">
        <f>MEDIAN(BO2:BO848)</f>
        <v>2</v>
      </c>
      <c r="BP854" s="11">
        <f t="shared" si="23"/>
        <v>118</v>
      </c>
      <c r="BQ854" s="11">
        <f t="shared" si="23"/>
        <v>0.1</v>
      </c>
      <c r="BR854" s="11">
        <f>MEDIAN(BR2:BR848)</f>
        <v>2</v>
      </c>
      <c r="BS854" s="11">
        <v>0.18</v>
      </c>
      <c r="BT854" s="11" t="e">
        <f t="shared" si="23"/>
        <v>#VALUE!</v>
      </c>
      <c r="BU854" s="11">
        <f t="shared" si="23"/>
        <v>1</v>
      </c>
      <c r="BV854" s="11">
        <f t="shared" si="23"/>
        <v>2</v>
      </c>
      <c r="BW854" s="11" t="e">
        <f>MEDIAN(BW2:BW848)</f>
        <v>#VALUE!</v>
      </c>
      <c r="BX854" s="11" t="e">
        <f>MEDIAN(BX2:BX848)</f>
        <v>#VALUE!</v>
      </c>
      <c r="BY854" s="11" t="e">
        <f>MEDIAN(BY2:BY848)</f>
        <v>#VALUE!</v>
      </c>
      <c r="BZ854" s="11" t="e">
        <f>MEDIAN(BZ2:BZ848)</f>
        <v>#VALUE!</v>
      </c>
    </row>
    <row r="855" spans="2:78">
      <c r="B855" t="s">
        <v>919</v>
      </c>
      <c r="C855" s="12">
        <f>STDEV(C2:C848)</f>
        <v>244.65213399164674</v>
      </c>
      <c r="D855" s="10">
        <f t="shared" ref="D855:AS855" si="24">STDEV(D2:D848)</f>
        <v>2171.1985081602311</v>
      </c>
      <c r="E855" s="12">
        <f t="shared" si="24"/>
        <v>4.782270707885333</v>
      </c>
      <c r="F855" s="12">
        <f t="shared" si="24"/>
        <v>0.18494592593586914</v>
      </c>
      <c r="G855" s="12">
        <f t="shared" si="24"/>
        <v>4.235491513057644</v>
      </c>
      <c r="H855" s="12">
        <f t="shared" si="24"/>
        <v>0.77060002621386092</v>
      </c>
      <c r="I855" s="10">
        <f t="shared" si="24"/>
        <v>1158.2917372264178</v>
      </c>
      <c r="J855" s="12">
        <f t="shared" si="24"/>
        <v>0.85931716151485849</v>
      </c>
      <c r="K855" s="12">
        <f t="shared" si="24"/>
        <v>0.49843383036520589</v>
      </c>
      <c r="L855" s="12">
        <f t="shared" si="24"/>
        <v>0.50007744717416591</v>
      </c>
      <c r="M855" s="12">
        <f t="shared" si="24"/>
        <v>527.1005812582988</v>
      </c>
      <c r="N855" s="12">
        <f t="shared" si="24"/>
        <v>0.37968117931964684</v>
      </c>
      <c r="O855" s="10">
        <f t="shared" si="24"/>
        <v>1158.669875845153</v>
      </c>
      <c r="P855" s="12">
        <f t="shared" si="24"/>
        <v>0.47112319749529324</v>
      </c>
      <c r="Q855" s="12">
        <f t="shared" si="24"/>
        <v>1.6642914523428955</v>
      </c>
      <c r="R855" s="12"/>
      <c r="S855" s="12">
        <f t="shared" si="24"/>
        <v>14.711617152422875</v>
      </c>
      <c r="T855" s="12">
        <f>STDEV(T2:T848)</f>
        <v>7.0141070991782248</v>
      </c>
      <c r="U855" s="12">
        <f t="shared" si="24"/>
        <v>14.297845740826128</v>
      </c>
      <c r="V855" s="12" t="e">
        <f t="shared" si="24"/>
        <v>#VALUE!</v>
      </c>
      <c r="W855" s="12"/>
      <c r="X855" s="12">
        <f t="shared" si="24"/>
        <v>8.5715223679487114</v>
      </c>
      <c r="Y855" s="12">
        <f t="shared" si="24"/>
        <v>5.0623306605123179</v>
      </c>
      <c r="Z855" s="12" t="e">
        <f t="shared" si="24"/>
        <v>#VALUE!</v>
      </c>
      <c r="AA855" s="12" t="e">
        <f t="shared" si="24"/>
        <v>#VALUE!</v>
      </c>
      <c r="AB855" s="12" t="e">
        <f t="shared" si="24"/>
        <v>#VALUE!</v>
      </c>
      <c r="AC855" s="12" t="e">
        <f t="shared" si="24"/>
        <v>#DIV/0!</v>
      </c>
      <c r="AD855" s="12">
        <f t="shared" si="24"/>
        <v>0.79429304622447328</v>
      </c>
      <c r="AE855" s="12">
        <f t="shared" si="24"/>
        <v>0.29907149751128836</v>
      </c>
      <c r="AF855" s="12" t="e">
        <f t="shared" si="24"/>
        <v>#DIV/0!</v>
      </c>
      <c r="AG855" s="12" t="e">
        <f t="shared" si="24"/>
        <v>#N/A</v>
      </c>
      <c r="AH855" s="12">
        <f t="shared" si="24"/>
        <v>0.35489241597383409</v>
      </c>
      <c r="AI855" s="12">
        <f t="shared" si="24"/>
        <v>5.4400909223363216</v>
      </c>
      <c r="AJ855" s="12">
        <f t="shared" si="24"/>
        <v>1.9226303858548401</v>
      </c>
      <c r="AK855" s="12">
        <f t="shared" si="24"/>
        <v>0.97076823667273981</v>
      </c>
      <c r="AL855" s="12">
        <f t="shared" si="24"/>
        <v>0.13514288711714414</v>
      </c>
      <c r="AM855" s="12">
        <f t="shared" si="24"/>
        <v>1.9743495405621012</v>
      </c>
      <c r="AN855" s="12"/>
      <c r="AO855" s="12">
        <f t="shared" si="24"/>
        <v>0.16602697370675903</v>
      </c>
      <c r="AP855" s="12">
        <f t="shared" si="24"/>
        <v>2.9769647026089738</v>
      </c>
      <c r="AQ855" s="12" t="e">
        <f t="shared" si="24"/>
        <v>#DIV/0!</v>
      </c>
      <c r="AR855" s="12">
        <f t="shared" si="24"/>
        <v>0.75044081248522032</v>
      </c>
      <c r="AS855" s="12">
        <f t="shared" si="24"/>
        <v>1.3486439781165902</v>
      </c>
      <c r="AT855" s="12">
        <f t="shared" ref="AT855:BV855" si="25">STDEV(AT2:AT848)</f>
        <v>0.28232985128663984</v>
      </c>
      <c r="AU855" s="12">
        <f t="shared" si="25"/>
        <v>0.73160948543754878</v>
      </c>
      <c r="AV855" s="12">
        <f t="shared" si="25"/>
        <v>2.0136901872479527</v>
      </c>
      <c r="AW855" s="12" t="e">
        <f t="shared" si="25"/>
        <v>#DIV/0!</v>
      </c>
      <c r="AX855" s="12">
        <f t="shared" si="25"/>
        <v>0.4954993221066667</v>
      </c>
      <c r="AY855" s="12" t="e">
        <f t="shared" si="25"/>
        <v>#DIV/0!</v>
      </c>
      <c r="AZ855" s="12">
        <f t="shared" si="25"/>
        <v>5.5349297995049485</v>
      </c>
      <c r="BA855" s="12">
        <f t="shared" si="25"/>
        <v>0.23646130794850898</v>
      </c>
      <c r="BB855" s="12">
        <f t="shared" si="25"/>
        <v>0.90557094098123581</v>
      </c>
      <c r="BC855" s="12">
        <f t="shared" si="25"/>
        <v>0.2227318599295198</v>
      </c>
      <c r="BD855" s="12">
        <f t="shared" si="25"/>
        <v>0.24191304568965774</v>
      </c>
      <c r="BE855" s="12">
        <f t="shared" si="25"/>
        <v>2.0444882772719404</v>
      </c>
      <c r="BF855" s="12" t="e">
        <f t="shared" si="25"/>
        <v>#DIV/0!</v>
      </c>
      <c r="BG855" s="12">
        <f t="shared" si="25"/>
        <v>0.35387644542741614</v>
      </c>
      <c r="BH855" s="12">
        <f t="shared" si="25"/>
        <v>1.0994800131108169</v>
      </c>
      <c r="BI855" s="12">
        <f t="shared" si="25"/>
        <v>0.47637501579532399</v>
      </c>
      <c r="BJ855" s="12" t="e">
        <f t="shared" si="25"/>
        <v>#DIV/0!</v>
      </c>
      <c r="BK855" s="12">
        <f t="shared" si="25"/>
        <v>1.3214657699267243</v>
      </c>
      <c r="BL855" s="12" t="e">
        <f t="shared" si="25"/>
        <v>#N/A</v>
      </c>
      <c r="BM855" s="12">
        <f t="shared" si="25"/>
        <v>0.12757325361149971</v>
      </c>
      <c r="BN855" s="12" t="e">
        <f t="shared" si="25"/>
        <v>#DIV/0!</v>
      </c>
      <c r="BO855" s="12">
        <f>STDEV(BO2:BO848)</f>
        <v>2.2357203211369647</v>
      </c>
      <c r="BP855" s="12">
        <f t="shared" si="25"/>
        <v>64.155405711671676</v>
      </c>
      <c r="BQ855" s="12">
        <f t="shared" si="25"/>
        <v>3.2986938044651755E-2</v>
      </c>
      <c r="BR855" s="12">
        <f>STDEV(BR2:BR848)</f>
        <v>0.83382177317299466</v>
      </c>
      <c r="BS855" s="12">
        <v>0.10176872939677895</v>
      </c>
      <c r="BT855" s="12" t="e">
        <f t="shared" si="25"/>
        <v>#VALUE!</v>
      </c>
      <c r="BU855" s="12">
        <f t="shared" si="25"/>
        <v>0.12757325361149971</v>
      </c>
      <c r="BV855" s="12">
        <f t="shared" si="25"/>
        <v>5.1309580154424088</v>
      </c>
      <c r="BW855" s="12" t="e">
        <f>STDEV(BW2:BW848)</f>
        <v>#VALUE!</v>
      </c>
      <c r="BX855" s="12" t="e">
        <f>STDEV(BX2:BX848)</f>
        <v>#VALUE!</v>
      </c>
      <c r="BY855" s="12" t="e">
        <f>STDEV(BY2:BY848)</f>
        <v>#VALUE!</v>
      </c>
      <c r="BZ855" s="12" t="e">
        <f>STDEV(BZ2:BZ848)</f>
        <v>#VALUE!</v>
      </c>
    </row>
  </sheetData>
  <autoFilter ref="A1:BY848" xr:uid="{2D9BA9D4-C23D-6B43-9C36-05E0CBDF0DD7}">
    <sortState xmlns:xlrd2="http://schemas.microsoft.com/office/spreadsheetml/2017/richdata2" ref="A2:BY848">
      <sortCondition ref="A1:A8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5B04-EE43-8A4C-B062-E5884E81752B}">
  <dimension ref="A1:R539"/>
  <sheetViews>
    <sheetView zoomScale="121" workbookViewId="0">
      <selection activeCell="C15" sqref="C15"/>
    </sheetView>
  </sheetViews>
  <sheetFormatPr baseColWidth="10" defaultRowHeight="14"/>
  <cols>
    <col min="2" max="2" width="110" customWidth="1"/>
    <col min="11" max="11" width="70.3984375" bestFit="1" customWidth="1"/>
    <col min="16" max="16" width="11" customWidth="1"/>
  </cols>
  <sheetData>
    <row r="1" spans="1:18" ht="15">
      <c r="A1" s="13" t="s">
        <v>500</v>
      </c>
      <c r="B1" s="14" t="s">
        <v>574</v>
      </c>
      <c r="C1" s="13" t="s">
        <v>500</v>
      </c>
      <c r="D1" s="15"/>
      <c r="E1" s="15"/>
      <c r="F1" s="15"/>
      <c r="G1" s="15"/>
      <c r="H1" s="15"/>
      <c r="I1" s="15"/>
      <c r="J1" s="15"/>
      <c r="K1" s="15"/>
      <c r="L1" s="15"/>
      <c r="M1" s="16"/>
      <c r="N1" s="15"/>
      <c r="O1" s="15"/>
      <c r="P1" s="15"/>
      <c r="Q1" s="15"/>
      <c r="R1" s="15"/>
    </row>
    <row r="2" spans="1:18" ht="15">
      <c r="A2" s="17">
        <v>1</v>
      </c>
      <c r="B2" s="14" t="s">
        <v>510</v>
      </c>
      <c r="C2" s="17">
        <v>1</v>
      </c>
      <c r="D2" s="15"/>
      <c r="E2" s="15"/>
      <c r="F2" s="15"/>
      <c r="G2" s="15"/>
      <c r="H2" s="15"/>
      <c r="I2" s="15"/>
      <c r="J2" s="15"/>
      <c r="K2" s="15"/>
      <c r="L2" s="15"/>
      <c r="M2" s="16"/>
      <c r="N2" s="15"/>
      <c r="O2" s="15"/>
      <c r="P2" s="15"/>
      <c r="Q2" s="15"/>
      <c r="R2" s="15"/>
    </row>
    <row r="3" spans="1:18" ht="15">
      <c r="A3" s="17">
        <v>2</v>
      </c>
      <c r="B3" s="14" t="s">
        <v>573</v>
      </c>
      <c r="C3" s="17">
        <v>2</v>
      </c>
      <c r="D3" s="15"/>
      <c r="E3" s="15"/>
      <c r="F3" s="15"/>
      <c r="G3" s="15"/>
      <c r="H3" s="15"/>
      <c r="I3" s="15"/>
      <c r="J3" s="15"/>
      <c r="K3" s="15"/>
      <c r="L3" s="15"/>
      <c r="M3" s="16"/>
      <c r="N3" s="15"/>
      <c r="O3" s="15"/>
      <c r="P3" s="15"/>
      <c r="Q3" s="15"/>
      <c r="R3" s="15"/>
    </row>
    <row r="4" spans="1:18">
      <c r="A4" s="15"/>
      <c r="B4" s="18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</row>
    <row r="5" spans="1:18">
      <c r="A5" s="15"/>
      <c r="B5" s="18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5"/>
      <c r="O5" s="15"/>
      <c r="P5" s="15"/>
      <c r="Q5" s="15"/>
      <c r="R5" s="15"/>
    </row>
    <row r="6" spans="1:18">
      <c r="A6" s="15">
        <v>1</v>
      </c>
      <c r="B6" s="19" t="s">
        <v>510</v>
      </c>
      <c r="C6" s="15">
        <v>1</v>
      </c>
      <c r="D6" s="15"/>
      <c r="E6" s="15"/>
      <c r="F6" s="15"/>
      <c r="G6" s="15"/>
      <c r="H6" s="15"/>
      <c r="I6" s="15"/>
      <c r="J6" s="15"/>
      <c r="K6" s="15"/>
      <c r="L6" s="15"/>
      <c r="M6" s="20"/>
      <c r="N6" s="15"/>
      <c r="O6" s="15"/>
      <c r="P6" s="15"/>
      <c r="Q6" s="15"/>
      <c r="R6" s="15"/>
    </row>
    <row r="7" spans="1:18">
      <c r="A7" s="15">
        <v>2</v>
      </c>
      <c r="B7" s="19" t="s">
        <v>511</v>
      </c>
      <c r="C7" s="15">
        <v>2</v>
      </c>
      <c r="D7" s="15"/>
      <c r="E7" s="15"/>
      <c r="F7" s="15"/>
      <c r="G7" s="15"/>
      <c r="H7" s="15"/>
      <c r="I7" s="15"/>
      <c r="J7" s="15"/>
      <c r="K7" s="15"/>
      <c r="L7" s="15"/>
      <c r="M7" s="20"/>
      <c r="N7" s="15"/>
      <c r="O7" s="15"/>
      <c r="P7" s="15"/>
      <c r="Q7" s="15"/>
      <c r="R7" s="15"/>
    </row>
    <row r="8" spans="1:18">
      <c r="A8" s="15">
        <v>2</v>
      </c>
      <c r="B8" s="19" t="s">
        <v>512</v>
      </c>
      <c r="C8" s="15">
        <v>2</v>
      </c>
      <c r="D8" s="15"/>
      <c r="E8" s="15"/>
      <c r="F8" s="15"/>
      <c r="G8" s="15"/>
      <c r="H8" s="15"/>
      <c r="I8" s="15"/>
      <c r="J8" s="15"/>
      <c r="K8" s="15"/>
      <c r="L8" s="15"/>
      <c r="M8" s="20"/>
      <c r="N8" s="15"/>
      <c r="O8" s="15"/>
      <c r="P8" s="15"/>
      <c r="Q8" s="15"/>
      <c r="R8" s="15"/>
    </row>
    <row r="9" spans="1:18">
      <c r="A9" s="15">
        <v>2</v>
      </c>
      <c r="B9" s="19" t="s">
        <v>513</v>
      </c>
      <c r="C9" s="15">
        <v>2</v>
      </c>
      <c r="D9" s="15"/>
      <c r="E9" s="15"/>
      <c r="F9" s="15"/>
      <c r="G9" s="15"/>
      <c r="H9" s="15"/>
      <c r="I9" s="15"/>
      <c r="J9" s="15"/>
      <c r="K9" s="15"/>
      <c r="L9" s="15"/>
      <c r="M9" s="20"/>
      <c r="N9" s="15"/>
      <c r="O9" s="15"/>
      <c r="P9" s="15"/>
      <c r="Q9" s="15"/>
      <c r="R9" s="15"/>
    </row>
    <row r="10" spans="1:18">
      <c r="A10" s="15">
        <v>2</v>
      </c>
      <c r="B10" s="19" t="s">
        <v>514</v>
      </c>
      <c r="C10" s="15">
        <v>2</v>
      </c>
      <c r="D10" s="15"/>
      <c r="E10" s="15"/>
      <c r="F10" s="15"/>
      <c r="G10" s="15"/>
      <c r="H10" s="15"/>
      <c r="I10" s="15"/>
      <c r="J10" s="15"/>
      <c r="K10" s="15"/>
      <c r="L10" s="15"/>
      <c r="M10" s="20"/>
      <c r="N10" s="15"/>
      <c r="O10" s="15"/>
      <c r="P10" s="15"/>
      <c r="Q10" s="15"/>
      <c r="R10" s="15"/>
    </row>
    <row r="11" spans="1:18">
      <c r="A11" s="15">
        <v>2</v>
      </c>
      <c r="B11" s="19" t="s">
        <v>515</v>
      </c>
      <c r="C11" s="15">
        <v>2</v>
      </c>
      <c r="D11" s="15"/>
      <c r="E11" s="15"/>
      <c r="F11" s="15"/>
      <c r="G11" s="15"/>
      <c r="H11" s="15"/>
      <c r="I11" s="15"/>
      <c r="J11" s="15"/>
      <c r="K11" s="15"/>
      <c r="L11" s="15"/>
      <c r="M11" s="20"/>
      <c r="N11" s="15"/>
      <c r="O11" s="15"/>
      <c r="P11" s="15"/>
      <c r="Q11" s="15"/>
      <c r="R11" s="15"/>
    </row>
    <row r="12" spans="1:18">
      <c r="A12" s="15">
        <v>2</v>
      </c>
      <c r="B12" s="19" t="s">
        <v>516</v>
      </c>
      <c r="C12" s="15">
        <v>2</v>
      </c>
      <c r="D12" s="15"/>
      <c r="E12" s="15"/>
      <c r="F12" s="15"/>
      <c r="G12" s="15"/>
      <c r="H12" s="15"/>
      <c r="I12" s="15"/>
      <c r="J12" s="15"/>
      <c r="K12" s="15"/>
      <c r="L12" s="15"/>
      <c r="M12" s="19"/>
      <c r="N12" s="15"/>
      <c r="O12" s="15"/>
      <c r="P12" s="15"/>
      <c r="Q12" s="15"/>
      <c r="R12" s="15"/>
    </row>
    <row r="13" spans="1:18">
      <c r="A13" s="15">
        <v>2</v>
      </c>
      <c r="B13" s="19" t="s">
        <v>517</v>
      </c>
      <c r="C13" s="15">
        <v>2</v>
      </c>
      <c r="D13" s="15"/>
      <c r="E13" s="15"/>
      <c r="F13" s="15"/>
      <c r="G13" s="15"/>
      <c r="H13" s="15"/>
      <c r="I13" s="15"/>
      <c r="J13" s="15"/>
      <c r="K13" s="15"/>
      <c r="L13" s="15"/>
      <c r="M13" s="19"/>
      <c r="N13" s="15"/>
      <c r="O13" s="15"/>
      <c r="P13" s="15"/>
      <c r="Q13" s="15"/>
      <c r="R13" s="15"/>
    </row>
    <row r="14" spans="1:18">
      <c r="A14" s="15">
        <v>2</v>
      </c>
      <c r="B14" s="19" t="s">
        <v>518</v>
      </c>
      <c r="C14" s="15">
        <v>2</v>
      </c>
      <c r="D14" s="15"/>
      <c r="E14" s="15"/>
      <c r="F14" s="15"/>
      <c r="G14" s="15"/>
      <c r="H14" s="15"/>
      <c r="I14" s="15"/>
      <c r="J14" s="15"/>
      <c r="K14" s="15"/>
      <c r="L14" s="15"/>
      <c r="M14" s="19"/>
      <c r="N14" s="15"/>
      <c r="O14" s="15"/>
      <c r="P14" s="15"/>
      <c r="Q14" s="15"/>
      <c r="R14" s="15"/>
    </row>
    <row r="15" spans="1:18">
      <c r="A15" s="15">
        <v>2</v>
      </c>
      <c r="B15" s="15" t="s">
        <v>519</v>
      </c>
      <c r="C15" s="15">
        <v>2</v>
      </c>
      <c r="D15" s="15"/>
      <c r="E15" s="15"/>
      <c r="F15" s="15"/>
      <c r="G15" s="15"/>
      <c r="H15" s="15"/>
      <c r="I15" s="15"/>
      <c r="J15" s="15"/>
      <c r="K15" s="15"/>
      <c r="L15" s="15"/>
      <c r="M15" s="19"/>
      <c r="N15" s="15"/>
      <c r="O15" s="15"/>
      <c r="P15" s="15"/>
      <c r="Q15" s="15"/>
      <c r="R15" s="15"/>
    </row>
    <row r="16" spans="1:18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9"/>
      <c r="N16" s="15"/>
      <c r="O16" s="15"/>
      <c r="P16" s="15"/>
      <c r="Q16" s="15"/>
      <c r="R16" s="15"/>
    </row>
    <row r="17" spans="1:18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9"/>
      <c r="N17" s="15"/>
      <c r="O17" s="15"/>
      <c r="P17" s="15"/>
      <c r="Q17" s="15"/>
      <c r="R17" s="15"/>
    </row>
    <row r="18" spans="1: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9"/>
      <c r="N18" s="15"/>
      <c r="O18" s="15"/>
      <c r="P18" s="15"/>
      <c r="Q18" s="15"/>
      <c r="R18" s="15"/>
    </row>
    <row r="19" spans="1:18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9"/>
      <c r="N19" s="15"/>
      <c r="O19" s="15"/>
      <c r="P19" s="15"/>
      <c r="Q19" s="15"/>
      <c r="R19" s="15"/>
    </row>
    <row r="20" spans="1:18" ht="15">
      <c r="A20" s="13" t="s">
        <v>500</v>
      </c>
      <c r="B20" s="14" t="s">
        <v>575</v>
      </c>
      <c r="C20" s="13" t="s">
        <v>500</v>
      </c>
      <c r="D20" s="15"/>
      <c r="E20" s="15"/>
      <c r="F20" s="15"/>
      <c r="G20" s="15"/>
      <c r="H20" s="15"/>
      <c r="I20" s="15"/>
      <c r="J20" s="15"/>
      <c r="K20" s="15"/>
      <c r="L20" s="15"/>
      <c r="M20" s="19"/>
      <c r="N20" s="15"/>
      <c r="O20" s="15"/>
      <c r="P20" s="15"/>
      <c r="Q20" s="15"/>
      <c r="R20" s="15"/>
    </row>
    <row r="21" spans="1:18">
      <c r="A21" s="17">
        <v>1</v>
      </c>
      <c r="B21" s="21" t="s">
        <v>520</v>
      </c>
      <c r="C21" s="17">
        <v>1</v>
      </c>
      <c r="D21" s="15"/>
      <c r="E21" s="15"/>
      <c r="F21" s="15"/>
      <c r="G21" s="15"/>
      <c r="H21" s="15"/>
      <c r="I21" s="15"/>
      <c r="J21" s="15"/>
      <c r="K21" s="15"/>
      <c r="L21" s="15"/>
      <c r="M21" s="20"/>
      <c r="N21" s="15"/>
      <c r="O21" s="15"/>
      <c r="P21" s="15"/>
      <c r="Q21" s="15"/>
      <c r="R21" s="15"/>
    </row>
    <row r="22" spans="1:18">
      <c r="A22" s="17">
        <v>2</v>
      </c>
      <c r="B22" s="21" t="s">
        <v>521</v>
      </c>
      <c r="C22" s="17">
        <v>2</v>
      </c>
      <c r="D22" s="15"/>
      <c r="E22" s="15"/>
      <c r="F22" s="15"/>
      <c r="G22" s="15"/>
      <c r="H22" s="15"/>
      <c r="I22" s="15"/>
      <c r="J22" s="15"/>
      <c r="K22" s="15"/>
      <c r="L22" s="15"/>
      <c r="M22" s="20"/>
      <c r="N22" s="15"/>
      <c r="O22" s="15"/>
      <c r="P22" s="15"/>
      <c r="Q22" s="15"/>
      <c r="R22" s="15"/>
    </row>
    <row r="23" spans="1:18">
      <c r="A23" s="17">
        <v>3</v>
      </c>
      <c r="B23" s="21" t="s">
        <v>522</v>
      </c>
      <c r="C23" s="17">
        <v>3</v>
      </c>
      <c r="D23" s="15"/>
      <c r="E23" s="15"/>
      <c r="F23" s="15"/>
      <c r="G23" s="15"/>
      <c r="H23" s="15"/>
      <c r="I23" s="15"/>
      <c r="J23" s="15"/>
      <c r="K23" s="15"/>
      <c r="L23" s="15"/>
      <c r="M23" s="20"/>
      <c r="N23" s="15"/>
      <c r="O23" s="15"/>
      <c r="P23" s="15"/>
      <c r="Q23" s="15"/>
      <c r="R23" s="15"/>
    </row>
    <row r="24" spans="1:18">
      <c r="A24" s="17">
        <v>4</v>
      </c>
      <c r="B24" s="21" t="s">
        <v>523</v>
      </c>
      <c r="C24" s="17">
        <v>4</v>
      </c>
      <c r="D24" s="15"/>
      <c r="E24" s="15"/>
      <c r="F24" s="15"/>
      <c r="G24" s="15"/>
      <c r="H24" s="15"/>
      <c r="I24" s="15"/>
      <c r="J24" s="15"/>
      <c r="K24" s="15"/>
      <c r="L24" s="15"/>
      <c r="M24" s="20"/>
      <c r="N24" s="15"/>
      <c r="O24" s="15"/>
      <c r="P24" s="15"/>
      <c r="Q24" s="15"/>
      <c r="R24" s="15"/>
    </row>
    <row r="25" spans="1:18">
      <c r="A25" s="17">
        <v>5</v>
      </c>
      <c r="B25" s="21" t="s">
        <v>524</v>
      </c>
      <c r="C25" s="17">
        <v>5</v>
      </c>
      <c r="D25" s="15"/>
      <c r="E25" s="15"/>
      <c r="F25" s="15"/>
      <c r="G25" s="15"/>
      <c r="H25" s="15"/>
      <c r="I25" s="15"/>
      <c r="J25" s="15"/>
      <c r="K25" s="15"/>
      <c r="L25" s="15"/>
      <c r="M25" s="20"/>
      <c r="N25" s="15"/>
      <c r="O25" s="15"/>
      <c r="P25" s="15"/>
      <c r="Q25" s="15"/>
      <c r="R25" s="15"/>
    </row>
    <row r="26" spans="1:18">
      <c r="A26" s="17">
        <v>6</v>
      </c>
      <c r="B26" s="21" t="s">
        <v>525</v>
      </c>
      <c r="C26" s="17">
        <v>6</v>
      </c>
      <c r="D26" s="15"/>
      <c r="E26" s="15"/>
      <c r="F26" s="15"/>
      <c r="G26" s="15"/>
      <c r="H26" s="15"/>
      <c r="I26" s="15"/>
      <c r="J26" s="15"/>
      <c r="K26" s="15"/>
      <c r="L26" s="15"/>
      <c r="M26" s="22"/>
      <c r="N26" s="15"/>
      <c r="O26" s="15"/>
      <c r="P26" s="15"/>
      <c r="Q26" s="15"/>
      <c r="R26" s="15"/>
    </row>
    <row r="27" spans="1:18">
      <c r="A27" s="17">
        <v>7</v>
      </c>
      <c r="B27" s="21" t="s">
        <v>526</v>
      </c>
      <c r="C27" s="17">
        <v>7</v>
      </c>
      <c r="D27" s="15"/>
      <c r="E27" s="15"/>
      <c r="F27" s="15"/>
      <c r="G27" s="15"/>
      <c r="H27" s="15"/>
      <c r="I27" s="15"/>
      <c r="J27" s="15"/>
      <c r="K27" s="15"/>
      <c r="L27" s="15"/>
      <c r="M27" s="22"/>
      <c r="N27" s="15"/>
      <c r="O27" s="15"/>
      <c r="P27" s="15"/>
      <c r="Q27" s="15"/>
      <c r="R27" s="15"/>
    </row>
    <row r="28" spans="1:18">
      <c r="A28" s="17">
        <v>8</v>
      </c>
      <c r="B28" s="21" t="s">
        <v>527</v>
      </c>
      <c r="C28" s="17">
        <v>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>
      <c r="A29" s="17">
        <v>9</v>
      </c>
      <c r="B29" s="21" t="s">
        <v>528</v>
      </c>
      <c r="C29" s="17">
        <v>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>
      <c r="A30" s="17">
        <v>10</v>
      </c>
      <c r="B30" s="21" t="s">
        <v>529</v>
      </c>
      <c r="C30" s="17">
        <v>10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>
      <c r="A31" s="17">
        <v>11</v>
      </c>
      <c r="B31" s="21" t="s">
        <v>530</v>
      </c>
      <c r="C31" s="17">
        <v>11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spans="1:18">
      <c r="A32" s="17">
        <v>12</v>
      </c>
      <c r="B32" s="21" t="s">
        <v>531</v>
      </c>
      <c r="C32" s="17">
        <v>12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>
      <c r="A33" s="17">
        <v>13</v>
      </c>
      <c r="B33" s="21" t="s">
        <v>532</v>
      </c>
      <c r="C33" s="17">
        <v>13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>
      <c r="A34" s="17">
        <v>14</v>
      </c>
      <c r="B34" s="21" t="s">
        <v>533</v>
      </c>
      <c r="C34" s="17">
        <v>14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>
      <c r="A35" s="17">
        <v>15</v>
      </c>
      <c r="B35" s="21" t="s">
        <v>534</v>
      </c>
      <c r="C35" s="17">
        <v>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>
      <c r="A36" s="17">
        <v>16</v>
      </c>
      <c r="B36" s="21" t="s">
        <v>535</v>
      </c>
      <c r="C36" s="17">
        <v>16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5">
      <c r="A38" s="13" t="s">
        <v>500</v>
      </c>
      <c r="B38" s="14" t="s">
        <v>576</v>
      </c>
      <c r="C38" s="13" t="s">
        <v>500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>
      <c r="A39" s="17">
        <v>1</v>
      </c>
      <c r="B39" s="21" t="s">
        <v>536</v>
      </c>
      <c r="C39" s="17">
        <v>1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 spans="1:18">
      <c r="A40" s="17">
        <v>2</v>
      </c>
      <c r="B40" s="21" t="s">
        <v>537</v>
      </c>
      <c r="C40" s="17">
        <v>2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 spans="1:18">
      <c r="A41" s="17">
        <v>3</v>
      </c>
      <c r="B41" s="21" t="s">
        <v>538</v>
      </c>
      <c r="C41" s="17">
        <v>3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 spans="1:18">
      <c r="A42" s="17">
        <v>4</v>
      </c>
      <c r="B42" s="21" t="s">
        <v>539</v>
      </c>
      <c r="C42" s="17">
        <v>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 spans="1:18">
      <c r="A43" s="17">
        <v>5</v>
      </c>
      <c r="B43" s="21" t="s">
        <v>540</v>
      </c>
      <c r="C43" s="17">
        <v>5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spans="1:18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8">
      <c r="A45" s="13"/>
      <c r="B45" s="14"/>
      <c r="C45" s="13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spans="1:18">
      <c r="A46" s="17"/>
      <c r="B46" s="21" t="s">
        <v>923</v>
      </c>
      <c r="C46" s="17"/>
      <c r="D46" s="15"/>
      <c r="E46" s="15"/>
      <c r="F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spans="1:18">
      <c r="A47" s="15">
        <v>1</v>
      </c>
      <c r="B47" s="15" t="s">
        <v>34</v>
      </c>
      <c r="C47" s="15">
        <v>1</v>
      </c>
      <c r="D47" s="15"/>
      <c r="E47" s="15"/>
      <c r="F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>
      <c r="A48" s="15">
        <v>0</v>
      </c>
      <c r="B48" s="15" t="s">
        <v>26</v>
      </c>
      <c r="C48" s="15"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>
      <c r="A49" s="15"/>
      <c r="B49" s="1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>
      <c r="A50" s="13" t="s">
        <v>500</v>
      </c>
      <c r="B50" s="15" t="s">
        <v>951</v>
      </c>
      <c r="C50" s="13" t="s">
        <v>500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>
      <c r="A51" s="15">
        <v>0</v>
      </c>
      <c r="B51" s="15" t="s">
        <v>572</v>
      </c>
      <c r="C51" s="15">
        <v>0</v>
      </c>
      <c r="D51" s="15"/>
      <c r="F51" s="23"/>
      <c r="G51" s="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>
      <c r="A52" s="15">
        <v>1</v>
      </c>
      <c r="B52" s="15" t="s">
        <v>4</v>
      </c>
      <c r="C52" s="15">
        <v>1</v>
      </c>
      <c r="D52" s="15"/>
      <c r="F52" s="23"/>
      <c r="G52" s="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 spans="1:18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 spans="1:18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 spans="1:18" ht="15">
      <c r="A55" s="13" t="s">
        <v>500</v>
      </c>
      <c r="B55" s="18" t="s">
        <v>924</v>
      </c>
      <c r="C55" s="13" t="s">
        <v>500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spans="1:18">
      <c r="A56" s="15">
        <v>1</v>
      </c>
      <c r="B56" s="15" t="s">
        <v>541</v>
      </c>
      <c r="C56" s="15">
        <v>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spans="1:18">
      <c r="A57" s="15">
        <v>2</v>
      </c>
      <c r="B57" s="15" t="s">
        <v>542</v>
      </c>
      <c r="C57" s="15">
        <v>2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spans="1:1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 spans="1:18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 spans="1:18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8" ht="15">
      <c r="A61" s="13" t="s">
        <v>500</v>
      </c>
      <c r="B61" s="18" t="s">
        <v>577</v>
      </c>
      <c r="C61" s="13" t="s">
        <v>500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>
      <c r="A62">
        <v>1</v>
      </c>
      <c r="B62" s="15" t="s">
        <v>950</v>
      </c>
      <c r="C62">
        <v>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ht="15">
      <c r="A63">
        <v>2</v>
      </c>
      <c r="B63" s="18" t="s">
        <v>1422</v>
      </c>
      <c r="C63">
        <v>2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>
      <c r="A64">
        <v>3</v>
      </c>
      <c r="B64" s="23" t="s">
        <v>1423</v>
      </c>
      <c r="C64">
        <v>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>
      <c r="A65">
        <v>4</v>
      </c>
      <c r="B65" s="23" t="s">
        <v>949</v>
      </c>
      <c r="C65">
        <v>4</v>
      </c>
      <c r="D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>
      <c r="A68" s="23" t="s">
        <v>500</v>
      </c>
      <c r="B68" s="23" t="s">
        <v>578</v>
      </c>
      <c r="C68" s="23" t="s">
        <v>500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ht="16">
      <c r="A69">
        <v>1</v>
      </c>
      <c r="B69" s="23" t="s">
        <v>937</v>
      </c>
      <c r="C69">
        <v>1</v>
      </c>
      <c r="D69" s="15" t="s">
        <v>1001</v>
      </c>
      <c r="E69" s="15"/>
      <c r="G69" s="15"/>
      <c r="H69" s="24" t="s">
        <v>940</v>
      </c>
      <c r="I69">
        <v>4</v>
      </c>
      <c r="J69" s="15" t="s">
        <v>1004</v>
      </c>
      <c r="K69" s="15"/>
      <c r="L69" s="15"/>
      <c r="M69" s="15"/>
      <c r="N69" s="15"/>
      <c r="O69" s="15"/>
      <c r="P69" s="15"/>
      <c r="Q69" s="15"/>
      <c r="R69" s="15"/>
    </row>
    <row r="70" spans="1:18" ht="16">
      <c r="A70">
        <v>2</v>
      </c>
      <c r="B70" s="23" t="s">
        <v>938</v>
      </c>
      <c r="C70">
        <v>2</v>
      </c>
      <c r="D70" s="15" t="s">
        <v>1002</v>
      </c>
      <c r="E70" s="15"/>
      <c r="G70" s="15"/>
      <c r="H70" s="24" t="s">
        <v>941</v>
      </c>
      <c r="I70" s="15">
        <v>5</v>
      </c>
      <c r="J70" s="15" t="s">
        <v>1005</v>
      </c>
      <c r="K70" s="15"/>
      <c r="L70" s="15"/>
      <c r="M70" s="15"/>
      <c r="N70" s="15"/>
      <c r="O70" s="15"/>
      <c r="P70" s="15"/>
      <c r="Q70" s="15"/>
      <c r="R70" s="15"/>
    </row>
    <row r="71" spans="1:18">
      <c r="A71">
        <v>3</v>
      </c>
      <c r="B71" s="23" t="s">
        <v>939</v>
      </c>
      <c r="C71">
        <v>3</v>
      </c>
      <c r="D71" s="15" t="s">
        <v>1003</v>
      </c>
      <c r="E71" s="15"/>
      <c r="G71" s="15"/>
      <c r="L71" s="15"/>
      <c r="M71" s="15"/>
      <c r="N71" s="15"/>
      <c r="O71" s="15"/>
      <c r="P71" s="15"/>
      <c r="Q71" s="15"/>
      <c r="R71" s="15"/>
    </row>
    <row r="72" spans="1:18">
      <c r="E72" s="15"/>
      <c r="G72" s="15"/>
      <c r="L72" s="15"/>
      <c r="M72" s="15"/>
      <c r="N72" s="15"/>
      <c r="O72" s="15"/>
      <c r="P72" s="15"/>
      <c r="Q72" s="15"/>
      <c r="R72" s="15"/>
    </row>
    <row r="73" spans="1:18">
      <c r="A73" s="23" t="s">
        <v>500</v>
      </c>
      <c r="B73" s="25" t="s">
        <v>1433</v>
      </c>
      <c r="C73" s="23" t="s">
        <v>500</v>
      </c>
      <c r="E73" s="15"/>
      <c r="G73" s="15"/>
      <c r="L73" s="15"/>
      <c r="M73" s="15"/>
      <c r="N73" s="15"/>
      <c r="O73" s="15"/>
      <c r="P73" s="15"/>
      <c r="Q73" s="15"/>
      <c r="R73" s="15"/>
    </row>
    <row r="74" spans="1:18">
      <c r="A74" s="26">
        <v>1</v>
      </c>
      <c r="B74" s="23" t="s">
        <v>1429</v>
      </c>
      <c r="C74" s="26">
        <v>1</v>
      </c>
      <c r="E74" s="15"/>
      <c r="G74" s="15"/>
      <c r="L74" s="15"/>
      <c r="M74" s="15"/>
      <c r="N74" s="15"/>
      <c r="O74" s="15"/>
      <c r="P74" s="15"/>
      <c r="Q74" s="15"/>
      <c r="R74" s="15"/>
    </row>
    <row r="75" spans="1:18">
      <c r="A75" s="26">
        <v>2</v>
      </c>
      <c r="B75" s="23" t="s">
        <v>1430</v>
      </c>
      <c r="C75" s="26">
        <v>2</v>
      </c>
      <c r="G75" s="15"/>
      <c r="L75" s="15"/>
      <c r="M75" s="15"/>
      <c r="N75" s="15"/>
      <c r="O75" s="15"/>
      <c r="P75" s="15"/>
      <c r="Q75" s="15"/>
      <c r="R75" s="15"/>
    </row>
    <row r="76" spans="1:18" ht="16">
      <c r="A76" s="26">
        <v>3</v>
      </c>
      <c r="B76" s="23" t="s">
        <v>1431</v>
      </c>
      <c r="C76" s="26">
        <v>3</v>
      </c>
      <c r="D76" s="15"/>
      <c r="E76" s="15"/>
      <c r="F76" s="24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6">
      <c r="A77" s="26">
        <v>4</v>
      </c>
      <c r="B77" s="23" t="s">
        <v>1432</v>
      </c>
      <c r="C77" s="26">
        <v>4</v>
      </c>
      <c r="D77" s="15"/>
      <c r="E77" s="15"/>
      <c r="F77" s="2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6">
      <c r="A78" s="26"/>
      <c r="B78" s="23"/>
      <c r="C78" s="26"/>
      <c r="D78" s="15"/>
      <c r="E78" s="15"/>
      <c r="F78" s="24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6">
      <c r="A79" s="23" t="s">
        <v>500</v>
      </c>
      <c r="B79" s="25" t="s">
        <v>1434</v>
      </c>
      <c r="C79" s="23" t="s">
        <v>500</v>
      </c>
      <c r="D79" s="15" t="s">
        <v>543</v>
      </c>
      <c r="E79" s="15" t="s">
        <v>1428</v>
      </c>
      <c r="F79" s="24" t="s">
        <v>1011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6">
      <c r="A80" s="26">
        <v>1</v>
      </c>
      <c r="B80" s="23" t="s">
        <v>1429</v>
      </c>
      <c r="C80" s="26">
        <v>1</v>
      </c>
      <c r="D80" s="15"/>
      <c r="E80" s="15"/>
      <c r="F80" s="2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6">
      <c r="A81" s="26">
        <v>2</v>
      </c>
      <c r="B81" s="23" t="s">
        <v>1430</v>
      </c>
      <c r="C81" s="26">
        <v>2</v>
      </c>
      <c r="D81" s="15"/>
      <c r="E81" s="15"/>
      <c r="F81" s="2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6">
      <c r="A82" s="26">
        <v>3</v>
      </c>
      <c r="B82" s="23" t="s">
        <v>1431</v>
      </c>
      <c r="C82" s="26">
        <v>3</v>
      </c>
      <c r="D82" s="15"/>
      <c r="E82" s="15"/>
      <c r="F82" s="2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6">
      <c r="A83" s="15"/>
      <c r="B83" s="15"/>
      <c r="C83" s="15"/>
      <c r="D83" s="15"/>
      <c r="E83" s="15"/>
      <c r="F83" s="2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30">
      <c r="A84" s="13" t="s">
        <v>500</v>
      </c>
      <c r="B84" s="18" t="s">
        <v>1012</v>
      </c>
      <c r="C84" s="13" t="s">
        <v>500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>
      <c r="A85" s="3">
        <v>1</v>
      </c>
      <c r="B85" s="15" t="s">
        <v>1009</v>
      </c>
      <c r="C85" s="3">
        <v>1</v>
      </c>
      <c r="D85" t="s">
        <v>1014</v>
      </c>
      <c r="E85">
        <v>1</v>
      </c>
      <c r="F85">
        <v>1</v>
      </c>
      <c r="G85" s="15"/>
      <c r="H85" s="15"/>
      <c r="M85" s="15"/>
      <c r="N85" s="15"/>
      <c r="O85" s="15"/>
      <c r="P85" s="15"/>
      <c r="Q85" s="15"/>
      <c r="R85" s="15"/>
    </row>
    <row r="86" spans="1:18">
      <c r="A86">
        <v>2</v>
      </c>
      <c r="B86" s="23" t="s">
        <v>947</v>
      </c>
      <c r="C86">
        <v>2</v>
      </c>
      <c r="D86" s="15" t="s">
        <v>1006</v>
      </c>
      <c r="E86" s="15" t="s">
        <v>1007</v>
      </c>
      <c r="F86" s="15" t="s">
        <v>1008</v>
      </c>
      <c r="G86" s="15"/>
      <c r="H86" s="15"/>
      <c r="M86" s="15"/>
      <c r="N86" s="15"/>
      <c r="O86" s="15"/>
      <c r="P86" s="15"/>
      <c r="Q86" s="15"/>
      <c r="R86" s="15"/>
    </row>
    <row r="87" spans="1:18" ht="16">
      <c r="A87">
        <v>3</v>
      </c>
      <c r="B87" s="23" t="s">
        <v>948</v>
      </c>
      <c r="C87">
        <v>3</v>
      </c>
      <c r="D87" t="s">
        <v>1013</v>
      </c>
      <c r="E87">
        <v>3</v>
      </c>
      <c r="F87">
        <v>3</v>
      </c>
      <c r="G87" s="15"/>
      <c r="H87" s="15"/>
      <c r="I87" s="24"/>
      <c r="K87" s="15"/>
      <c r="M87" s="15"/>
      <c r="N87" s="15"/>
      <c r="O87" s="15"/>
      <c r="P87" s="15"/>
      <c r="Q87" s="15"/>
      <c r="R87" s="15"/>
    </row>
    <row r="88" spans="1:18">
      <c r="A88" s="15"/>
      <c r="B88" s="15"/>
      <c r="C88" s="15"/>
      <c r="D88" s="15"/>
      <c r="E88" s="15"/>
      <c r="G88" s="15"/>
      <c r="H88" s="15"/>
      <c r="L88" s="15"/>
      <c r="M88" s="15"/>
      <c r="N88" s="15"/>
      <c r="O88" s="15"/>
      <c r="P88" s="15"/>
      <c r="Q88" s="15"/>
      <c r="R88" s="15"/>
    </row>
    <row r="89" spans="1:18" ht="15">
      <c r="A89" s="13" t="s">
        <v>500</v>
      </c>
      <c r="B89" s="18" t="s">
        <v>579</v>
      </c>
      <c r="C89" s="13" t="s">
        <v>500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>
      <c r="A90" s="15">
        <v>1</v>
      </c>
      <c r="B90" s="27" t="s">
        <v>544</v>
      </c>
      <c r="C90" s="15">
        <v>1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5" thickBot="1">
      <c r="A91" s="15">
        <v>2</v>
      </c>
      <c r="B91" s="27" t="s">
        <v>545</v>
      </c>
      <c r="C91" s="15">
        <v>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16">
      <c r="A92" s="15">
        <v>3</v>
      </c>
      <c r="B92" s="27" t="s">
        <v>33</v>
      </c>
      <c r="C92" s="15">
        <v>3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8"/>
      <c r="R92" s="15"/>
    </row>
    <row r="93" spans="1:18" ht="16">
      <c r="A93" s="15">
        <v>4</v>
      </c>
      <c r="B93" s="27" t="s">
        <v>863</v>
      </c>
      <c r="C93" s="15">
        <v>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9"/>
      <c r="R93" s="15"/>
    </row>
    <row r="94" spans="1:18" ht="16">
      <c r="A94" s="15"/>
      <c r="B94" s="18"/>
      <c r="C94" s="15"/>
      <c r="D94" s="15"/>
      <c r="E94" s="15"/>
      <c r="F94" s="15"/>
      <c r="G94" s="15"/>
      <c r="H94" s="15"/>
      <c r="I94" s="19"/>
      <c r="J94" s="19"/>
      <c r="K94" s="19"/>
      <c r="L94" s="19"/>
      <c r="M94" s="19"/>
      <c r="N94" s="15"/>
      <c r="O94" s="15"/>
      <c r="P94" s="15"/>
      <c r="Q94" s="29"/>
      <c r="R94" s="15"/>
    </row>
    <row r="95" spans="1:18" ht="17">
      <c r="A95" s="15">
        <v>2</v>
      </c>
      <c r="B95" s="19" t="s">
        <v>50</v>
      </c>
      <c r="C95" s="15">
        <v>2</v>
      </c>
      <c r="D95" s="15"/>
      <c r="E95" s="15"/>
      <c r="F95" s="30"/>
      <c r="G95" s="15"/>
      <c r="H95" s="15"/>
      <c r="I95" s="19"/>
      <c r="J95" s="19"/>
      <c r="K95" s="19"/>
      <c r="L95" s="19"/>
      <c r="M95" s="19"/>
      <c r="N95" s="15"/>
      <c r="O95" s="15"/>
      <c r="P95" s="15"/>
      <c r="Q95" s="29"/>
      <c r="R95" s="15"/>
    </row>
    <row r="96" spans="1:18" ht="16">
      <c r="A96" s="15">
        <v>3</v>
      </c>
      <c r="B96" s="19" t="s">
        <v>33</v>
      </c>
      <c r="C96" s="15">
        <v>3</v>
      </c>
      <c r="D96" s="15"/>
      <c r="E96" s="15"/>
      <c r="G96" s="15"/>
      <c r="H96" s="15"/>
      <c r="I96" s="19"/>
      <c r="J96" s="19"/>
      <c r="K96" s="19"/>
      <c r="L96" s="19"/>
      <c r="M96" s="19"/>
      <c r="N96" s="15"/>
      <c r="O96" s="15"/>
      <c r="P96" s="15"/>
      <c r="Q96" s="29"/>
      <c r="R96" s="15"/>
    </row>
    <row r="97" spans="1:18" ht="17" thickBot="1">
      <c r="A97" s="15">
        <v>2</v>
      </c>
      <c r="B97" s="19" t="s">
        <v>295</v>
      </c>
      <c r="C97" s="15">
        <v>2</v>
      </c>
      <c r="D97" s="15">
        <v>1</v>
      </c>
      <c r="E97" s="15"/>
      <c r="F97" s="31"/>
      <c r="G97" s="15"/>
      <c r="H97" s="15"/>
      <c r="I97" s="19"/>
      <c r="J97" s="19"/>
      <c r="K97" s="19"/>
      <c r="L97" s="19"/>
      <c r="M97" s="19"/>
      <c r="N97" s="15"/>
      <c r="O97" s="15"/>
      <c r="P97" s="15"/>
      <c r="Q97" s="32"/>
      <c r="R97" s="15"/>
    </row>
    <row r="98" spans="1:18">
      <c r="A98" s="15">
        <v>2</v>
      </c>
      <c r="B98" s="19" t="s">
        <v>123</v>
      </c>
      <c r="C98" s="15">
        <v>2</v>
      </c>
      <c r="D98" s="15"/>
      <c r="E98" s="15"/>
      <c r="G98" s="15"/>
      <c r="H98" s="15"/>
      <c r="I98" s="19"/>
      <c r="J98" s="19"/>
      <c r="K98" s="19"/>
      <c r="L98" s="19"/>
      <c r="M98" s="19"/>
      <c r="N98" s="15"/>
      <c r="O98" s="15"/>
      <c r="P98" s="15"/>
      <c r="Q98" s="15"/>
      <c r="R98" s="15"/>
    </row>
    <row r="99" spans="1:18">
      <c r="A99" s="15">
        <v>1</v>
      </c>
      <c r="B99" s="19" t="s">
        <v>25</v>
      </c>
      <c r="C99" s="15">
        <v>1</v>
      </c>
      <c r="D99" s="15"/>
      <c r="E99" s="15"/>
      <c r="F99" s="31"/>
      <c r="G99" s="15"/>
      <c r="H99" s="15"/>
      <c r="I99" s="19"/>
      <c r="J99" s="19"/>
      <c r="K99" s="19"/>
      <c r="L99" s="19"/>
      <c r="M99" s="19"/>
      <c r="N99" s="15"/>
      <c r="O99" s="15"/>
      <c r="P99" s="15"/>
      <c r="Q99" s="15"/>
      <c r="R99" s="15"/>
    </row>
    <row r="100" spans="1:18">
      <c r="A100" s="15">
        <v>1</v>
      </c>
      <c r="B100" s="19" t="s">
        <v>44</v>
      </c>
      <c r="C100" s="15">
        <v>1</v>
      </c>
      <c r="D100" s="15"/>
      <c r="E100" s="15"/>
      <c r="G100" s="15"/>
      <c r="H100" s="15"/>
      <c r="I100" s="15"/>
      <c r="J100" s="19"/>
      <c r="K100" s="19"/>
      <c r="L100" s="19"/>
      <c r="M100" s="19"/>
      <c r="N100" s="15"/>
      <c r="O100" s="15"/>
      <c r="P100" s="15"/>
      <c r="Q100" s="15"/>
      <c r="R100" s="15"/>
    </row>
    <row r="101" spans="1:18">
      <c r="A101" s="15">
        <v>2</v>
      </c>
      <c r="B101" s="19" t="s">
        <v>106</v>
      </c>
      <c r="C101" s="15">
        <v>2</v>
      </c>
      <c r="D101" s="15"/>
      <c r="E101" s="15"/>
      <c r="F101" s="33"/>
      <c r="G101" s="15"/>
      <c r="H101" s="15"/>
      <c r="I101" s="15"/>
      <c r="J101" s="19"/>
      <c r="K101" s="19"/>
      <c r="L101" s="19"/>
      <c r="M101" s="19"/>
      <c r="N101" s="15"/>
      <c r="O101" s="15"/>
      <c r="P101" s="15"/>
      <c r="Q101" s="15"/>
      <c r="R101" s="15"/>
    </row>
    <row r="102" spans="1:18">
      <c r="A102" s="15">
        <v>1</v>
      </c>
      <c r="B102" s="19" t="s">
        <v>173</v>
      </c>
      <c r="C102" s="15">
        <v>1</v>
      </c>
      <c r="D102" s="15"/>
      <c r="E102" s="15"/>
      <c r="F102" s="15"/>
      <c r="G102" s="15"/>
      <c r="H102" s="15"/>
      <c r="I102" s="15"/>
      <c r="J102" s="19"/>
      <c r="K102" s="19"/>
      <c r="L102" s="19"/>
      <c r="M102" s="19"/>
      <c r="N102" s="15"/>
      <c r="O102" s="15"/>
      <c r="P102" s="15"/>
      <c r="Q102" s="15"/>
      <c r="R102" s="15"/>
    </row>
    <row r="103" spans="1:18">
      <c r="A103" s="15">
        <v>2</v>
      </c>
      <c r="B103" s="19" t="s">
        <v>40</v>
      </c>
      <c r="C103" s="15">
        <v>2</v>
      </c>
      <c r="D103" s="15">
        <v>1</v>
      </c>
      <c r="E103" s="15"/>
      <c r="F103" s="15"/>
      <c r="G103" s="15"/>
      <c r="H103" s="15"/>
      <c r="I103" s="15"/>
      <c r="J103" s="19"/>
      <c r="K103" s="19"/>
      <c r="L103" s="19"/>
      <c r="M103" s="19"/>
      <c r="N103" s="15"/>
      <c r="O103" s="15"/>
      <c r="P103" s="15"/>
      <c r="Q103" s="15"/>
      <c r="R103" s="15"/>
    </row>
    <row r="104" spans="1:18">
      <c r="A104" s="15">
        <v>2</v>
      </c>
      <c r="B104" s="19" t="s">
        <v>89</v>
      </c>
      <c r="C104" s="15">
        <v>2</v>
      </c>
      <c r="D104" s="15">
        <v>1</v>
      </c>
      <c r="E104" s="15"/>
      <c r="F104" s="15"/>
      <c r="G104" s="15"/>
      <c r="H104" s="15"/>
      <c r="I104" s="15"/>
      <c r="J104" s="19"/>
      <c r="K104" s="15"/>
      <c r="L104" s="19"/>
      <c r="M104" s="19"/>
      <c r="N104" s="15"/>
      <c r="O104" s="15"/>
      <c r="P104" s="15"/>
      <c r="Q104" s="15"/>
      <c r="R104" s="15"/>
    </row>
    <row r="105" spans="1:18">
      <c r="A105" s="15">
        <v>4</v>
      </c>
      <c r="B105" s="19" t="s">
        <v>127</v>
      </c>
      <c r="C105" s="15">
        <v>4</v>
      </c>
      <c r="D105" s="15"/>
      <c r="E105" s="15"/>
      <c r="F105" s="15"/>
      <c r="G105" s="15"/>
      <c r="H105" s="15"/>
      <c r="I105" s="15"/>
      <c r="J105" s="19"/>
      <c r="K105" s="15"/>
      <c r="L105" s="19"/>
      <c r="M105" s="19"/>
      <c r="N105" s="15"/>
      <c r="O105" s="15"/>
      <c r="P105" s="15"/>
      <c r="Q105" s="15"/>
      <c r="R105" s="15"/>
    </row>
    <row r="106" spans="1:18">
      <c r="A106" s="15">
        <v>2</v>
      </c>
      <c r="B106" s="19" t="s">
        <v>191</v>
      </c>
      <c r="C106" s="15">
        <v>2</v>
      </c>
      <c r="D106" s="15"/>
      <c r="E106" s="15"/>
      <c r="F106" s="15"/>
      <c r="G106" s="15"/>
      <c r="H106" s="15"/>
      <c r="I106" s="15"/>
      <c r="J106" s="19"/>
      <c r="K106" s="15"/>
      <c r="L106" s="19"/>
      <c r="M106" s="19"/>
      <c r="N106" s="15"/>
      <c r="O106" s="15"/>
      <c r="P106" s="15"/>
      <c r="Q106" s="15"/>
      <c r="R106" s="15"/>
    </row>
    <row r="107" spans="1:18">
      <c r="A107" s="15">
        <v>2</v>
      </c>
      <c r="B107" s="19" t="s">
        <v>269</v>
      </c>
      <c r="C107" s="15">
        <v>2</v>
      </c>
      <c r="D107" s="15">
        <v>1</v>
      </c>
      <c r="E107" s="15"/>
      <c r="F107" s="15"/>
      <c r="G107" s="15"/>
      <c r="H107" s="15"/>
      <c r="I107" s="15"/>
      <c r="J107" s="19"/>
      <c r="K107" s="15"/>
      <c r="L107" s="19"/>
      <c r="M107" s="19"/>
      <c r="N107" s="15"/>
      <c r="O107" s="15"/>
      <c r="P107" s="15"/>
      <c r="Q107" s="15"/>
      <c r="R107" s="15"/>
    </row>
    <row r="108" spans="1:18">
      <c r="A108" s="15">
        <v>2</v>
      </c>
      <c r="B108" s="19" t="s">
        <v>436</v>
      </c>
      <c r="C108" s="15">
        <v>2</v>
      </c>
      <c r="D108" s="15"/>
      <c r="E108" s="15"/>
      <c r="F108" s="15"/>
      <c r="G108" s="15"/>
      <c r="H108" s="15"/>
      <c r="I108" s="15"/>
      <c r="J108" s="19"/>
      <c r="K108" s="15"/>
      <c r="L108" s="19"/>
      <c r="M108" s="19"/>
      <c r="N108" s="15"/>
      <c r="O108" s="15"/>
      <c r="P108" s="15"/>
      <c r="Q108" s="15"/>
      <c r="R108" s="15"/>
    </row>
    <row r="109" spans="1:18">
      <c r="A109" s="15">
        <v>2</v>
      </c>
      <c r="B109" s="19" t="s">
        <v>429</v>
      </c>
      <c r="C109" s="15">
        <v>2</v>
      </c>
      <c r="D109" s="15"/>
      <c r="E109" s="15"/>
      <c r="F109" s="15"/>
      <c r="G109" s="15"/>
      <c r="H109" s="15"/>
      <c r="I109" s="15"/>
      <c r="J109" s="19"/>
      <c r="K109" s="15"/>
      <c r="L109" s="19"/>
      <c r="M109" s="19"/>
      <c r="N109" s="15"/>
      <c r="O109" s="15"/>
      <c r="P109" s="15"/>
      <c r="Q109" s="15"/>
      <c r="R109" s="15"/>
    </row>
    <row r="110" spans="1:18">
      <c r="A110" s="15">
        <v>2</v>
      </c>
      <c r="B110" s="19" t="s">
        <v>90</v>
      </c>
      <c r="C110" s="15">
        <v>2</v>
      </c>
      <c r="D110" s="15">
        <v>1</v>
      </c>
      <c r="E110" s="15"/>
      <c r="F110" s="15"/>
      <c r="G110" s="15"/>
      <c r="H110" s="15"/>
      <c r="I110" s="15"/>
      <c r="J110" s="19"/>
      <c r="K110" s="15"/>
      <c r="L110" s="19"/>
      <c r="M110" s="19"/>
      <c r="N110" s="15"/>
      <c r="O110" s="15"/>
      <c r="P110" s="15"/>
      <c r="Q110" s="15"/>
      <c r="R110" s="15"/>
    </row>
    <row r="111" spans="1:18">
      <c r="A111" s="15"/>
      <c r="B111" s="15"/>
      <c r="C111" s="15"/>
      <c r="D111" s="15"/>
      <c r="E111" s="15"/>
      <c r="F111" s="15"/>
      <c r="G111" s="15"/>
      <c r="H111" s="15"/>
      <c r="I111" s="15"/>
      <c r="J111" s="19"/>
      <c r="K111" s="15"/>
      <c r="L111" s="19"/>
      <c r="M111" s="19"/>
      <c r="N111" s="15"/>
      <c r="O111" s="15"/>
      <c r="P111" s="15"/>
      <c r="Q111" s="15"/>
      <c r="R111" s="15"/>
    </row>
    <row r="112" spans="1:18">
      <c r="A112" s="15"/>
      <c r="B112" s="15"/>
      <c r="C112" s="15"/>
      <c r="D112" s="15"/>
      <c r="E112" s="15"/>
      <c r="F112" s="15"/>
      <c r="G112" s="15"/>
      <c r="H112" s="15"/>
      <c r="I112" s="15"/>
      <c r="J112" s="19"/>
      <c r="K112" s="15"/>
      <c r="L112" s="19"/>
      <c r="M112" s="19"/>
      <c r="N112" s="15"/>
      <c r="O112" s="15"/>
      <c r="P112" s="15"/>
      <c r="Q112" s="15"/>
      <c r="R112" s="15"/>
    </row>
    <row r="113" spans="1:18">
      <c r="A113" s="15"/>
      <c r="B113" s="15"/>
      <c r="C113" s="15"/>
      <c r="D113" s="15"/>
      <c r="E113" s="15"/>
      <c r="F113" s="15"/>
      <c r="G113" s="15"/>
      <c r="H113" s="15"/>
      <c r="I113" s="15"/>
      <c r="J113" s="19"/>
      <c r="K113" s="15"/>
      <c r="L113" s="19"/>
      <c r="M113" s="19"/>
      <c r="N113" s="15"/>
      <c r="O113" s="15"/>
      <c r="P113" s="15"/>
      <c r="Q113" s="15"/>
      <c r="R113" s="15"/>
    </row>
    <row r="114" spans="1:18">
      <c r="A114" s="15"/>
      <c r="B114" s="15"/>
      <c r="C114" s="15"/>
      <c r="D114" s="15"/>
      <c r="E114" s="15"/>
      <c r="F114" s="15"/>
      <c r="G114" s="15"/>
      <c r="H114" s="15"/>
      <c r="I114" s="15"/>
      <c r="J114" s="19"/>
      <c r="K114" s="15"/>
      <c r="L114" s="19"/>
      <c r="M114" s="19"/>
      <c r="N114" s="15"/>
      <c r="O114" s="15"/>
      <c r="P114" s="15"/>
      <c r="Q114" s="15"/>
      <c r="R114" s="15"/>
    </row>
    <row r="115" spans="1:18">
      <c r="A115" s="15"/>
      <c r="B115" s="15"/>
      <c r="C115" s="15"/>
      <c r="D115" s="15"/>
      <c r="E115" s="15"/>
      <c r="F115" s="15"/>
      <c r="G115" s="15"/>
      <c r="H115" s="15"/>
      <c r="I115" s="15"/>
      <c r="J115" s="19"/>
      <c r="K115" s="15"/>
      <c r="L115" s="19"/>
      <c r="M115" s="19"/>
      <c r="N115" s="15"/>
      <c r="O115" s="15"/>
      <c r="P115" s="15"/>
      <c r="Q115" s="15"/>
      <c r="R115" s="15"/>
    </row>
    <row r="116" spans="1:18" ht="15">
      <c r="A116" s="13" t="s">
        <v>500</v>
      </c>
      <c r="B116" s="18" t="s">
        <v>580</v>
      </c>
      <c r="C116" s="13" t="s">
        <v>500</v>
      </c>
      <c r="D116" s="15"/>
      <c r="E116" s="15"/>
      <c r="F116" s="15"/>
      <c r="G116" s="15"/>
      <c r="H116" s="15"/>
      <c r="I116" s="15"/>
      <c r="J116" s="19"/>
      <c r="K116" s="15"/>
      <c r="L116" s="19"/>
      <c r="M116" s="19"/>
      <c r="N116" s="15"/>
      <c r="O116" s="15"/>
      <c r="P116" s="15"/>
      <c r="Q116" s="15"/>
      <c r="R116" s="15"/>
    </row>
    <row r="117" spans="1:18">
      <c r="A117">
        <v>0</v>
      </c>
      <c r="B117" s="27" t="s">
        <v>548</v>
      </c>
      <c r="C117">
        <v>0</v>
      </c>
      <c r="D117" s="15"/>
      <c r="E117" s="15"/>
      <c r="F117" s="15"/>
      <c r="G117" s="15"/>
      <c r="H117" s="15"/>
      <c r="I117" s="15"/>
      <c r="J117" s="19"/>
      <c r="K117" s="15"/>
      <c r="L117" s="19"/>
      <c r="M117" s="19"/>
      <c r="N117" s="15"/>
      <c r="O117" s="15"/>
      <c r="P117" s="15"/>
      <c r="Q117" s="15"/>
      <c r="R117" s="15"/>
    </row>
    <row r="118" spans="1:18">
      <c r="A118">
        <v>1</v>
      </c>
      <c r="B118" s="27" t="s">
        <v>1424</v>
      </c>
      <c r="C118">
        <v>1</v>
      </c>
      <c r="D118" s="15"/>
      <c r="E118" s="15"/>
      <c r="F118" s="15"/>
      <c r="G118" s="15"/>
      <c r="H118" s="15"/>
      <c r="I118" s="15"/>
      <c r="J118" s="19"/>
      <c r="K118" s="15"/>
      <c r="L118" s="19"/>
      <c r="M118" s="19"/>
      <c r="N118" s="15"/>
      <c r="O118" s="15"/>
      <c r="P118" s="15"/>
      <c r="Q118" s="15"/>
      <c r="R118" s="15"/>
    </row>
    <row r="119" spans="1:18">
      <c r="A119">
        <v>2</v>
      </c>
      <c r="B119" s="27" t="s">
        <v>1425</v>
      </c>
      <c r="C119">
        <v>2</v>
      </c>
      <c r="D119" s="15"/>
      <c r="E119" s="15"/>
      <c r="F119" s="15"/>
      <c r="G119" s="15"/>
      <c r="H119" s="15"/>
      <c r="I119" s="15"/>
      <c r="J119" s="19"/>
      <c r="K119" s="15"/>
      <c r="L119" s="19"/>
      <c r="M119" s="19"/>
      <c r="N119" s="15"/>
      <c r="O119" s="15"/>
      <c r="P119" s="15"/>
      <c r="Q119" s="15"/>
      <c r="R119" s="15"/>
    </row>
    <row r="120" spans="1:18">
      <c r="A120">
        <v>3</v>
      </c>
      <c r="B120" s="27" t="s">
        <v>1426</v>
      </c>
      <c r="C120">
        <v>3</v>
      </c>
      <c r="D120" s="15"/>
      <c r="E120" s="15"/>
      <c r="F120" s="15"/>
      <c r="G120" s="15"/>
      <c r="H120" s="15"/>
      <c r="I120" s="15"/>
      <c r="J120" s="19"/>
      <c r="K120" s="15"/>
      <c r="L120" s="19"/>
      <c r="M120" s="19"/>
      <c r="N120" s="15"/>
      <c r="O120" s="15"/>
      <c r="P120" s="15"/>
      <c r="Q120" s="15"/>
      <c r="R120" s="15"/>
    </row>
    <row r="121" spans="1:18">
      <c r="A121">
        <v>4</v>
      </c>
      <c r="B121" s="27" t="s">
        <v>1427</v>
      </c>
      <c r="C121">
        <v>4</v>
      </c>
      <c r="D121" s="15"/>
      <c r="E121" s="15"/>
      <c r="F121" s="15"/>
      <c r="G121" s="15"/>
      <c r="H121" s="15"/>
      <c r="I121" s="15"/>
      <c r="J121" s="19"/>
      <c r="K121" s="15"/>
      <c r="L121" s="19"/>
      <c r="M121" s="19"/>
      <c r="N121" s="15"/>
      <c r="O121" s="15"/>
      <c r="P121" s="15"/>
      <c r="Q121" s="15"/>
      <c r="R121" s="15"/>
    </row>
    <row r="122" spans="1:18">
      <c r="A122">
        <v>5</v>
      </c>
      <c r="B122" s="27" t="s">
        <v>547</v>
      </c>
      <c r="C122">
        <v>5</v>
      </c>
      <c r="D122" s="15"/>
      <c r="E122" s="15"/>
      <c r="F122" s="15"/>
      <c r="G122" s="15"/>
      <c r="H122" s="15"/>
      <c r="I122" s="15"/>
      <c r="J122" s="19"/>
      <c r="K122" s="15"/>
      <c r="L122" s="19"/>
      <c r="M122" s="19"/>
      <c r="N122" s="15"/>
      <c r="O122" s="15"/>
      <c r="P122" s="15"/>
      <c r="Q122" s="15"/>
      <c r="R122" s="15"/>
    </row>
    <row r="123" spans="1:18">
      <c r="A123">
        <v>6</v>
      </c>
      <c r="B123" s="27" t="s">
        <v>546</v>
      </c>
      <c r="C123">
        <v>6</v>
      </c>
      <c r="D123" s="15"/>
      <c r="E123" s="15"/>
      <c r="F123" s="15"/>
      <c r="G123" s="15"/>
      <c r="H123" s="15"/>
      <c r="I123" s="19"/>
      <c r="J123" s="19"/>
      <c r="K123" s="15"/>
      <c r="L123" s="19"/>
      <c r="M123" s="19"/>
      <c r="N123" s="15"/>
      <c r="O123" s="15"/>
      <c r="P123" s="15"/>
      <c r="Q123" s="15"/>
      <c r="R123" s="15"/>
    </row>
    <row r="124" spans="1:18">
      <c r="A124" s="15"/>
      <c r="B124" s="19"/>
      <c r="C124" s="15"/>
      <c r="D124" s="15"/>
      <c r="E124" s="15"/>
      <c r="F124" s="15"/>
      <c r="G124" s="15"/>
      <c r="H124" s="15"/>
      <c r="I124" s="19"/>
      <c r="J124" s="19"/>
      <c r="K124" s="15"/>
      <c r="L124" s="19"/>
      <c r="M124" s="19"/>
      <c r="N124" s="15"/>
      <c r="O124" s="15"/>
      <c r="P124" s="15"/>
      <c r="Q124" s="15"/>
      <c r="R124" s="15"/>
    </row>
    <row r="125" spans="1:18">
      <c r="A125" s="13" t="s">
        <v>500</v>
      </c>
      <c r="B125" s="17" t="s">
        <v>581</v>
      </c>
      <c r="C125" s="13" t="s">
        <v>500</v>
      </c>
      <c r="D125" s="15"/>
      <c r="E125" s="15"/>
      <c r="F125" s="15"/>
      <c r="G125" s="15"/>
      <c r="H125" s="15"/>
      <c r="I125" s="19"/>
      <c r="J125" s="19"/>
      <c r="K125" s="15"/>
      <c r="L125" s="19"/>
      <c r="M125" s="19"/>
      <c r="N125" s="15"/>
      <c r="O125" s="15"/>
      <c r="P125" s="15"/>
      <c r="Q125" s="15"/>
      <c r="R125" s="15"/>
    </row>
    <row r="126" spans="1:18">
      <c r="A126" s="17">
        <v>1</v>
      </c>
      <c r="B126" s="21" t="s">
        <v>51</v>
      </c>
      <c r="C126" s="17">
        <v>1</v>
      </c>
      <c r="D126" s="19"/>
      <c r="E126" s="15"/>
      <c r="F126" s="15"/>
      <c r="G126" s="15"/>
      <c r="H126" s="15"/>
      <c r="I126" s="19"/>
      <c r="J126" s="19"/>
      <c r="K126" s="15"/>
      <c r="L126" s="19"/>
      <c r="M126" s="19"/>
      <c r="N126" s="15"/>
      <c r="O126" s="15"/>
      <c r="P126" s="15"/>
      <c r="Q126" s="15"/>
      <c r="R126" s="15"/>
    </row>
    <row r="127" spans="1:18">
      <c r="A127" s="17">
        <v>2</v>
      </c>
      <c r="B127" s="21" t="s">
        <v>54</v>
      </c>
      <c r="C127" s="17">
        <v>2</v>
      </c>
      <c r="D127" s="19"/>
      <c r="E127" s="15"/>
      <c r="F127" s="15"/>
      <c r="G127" s="15"/>
      <c r="H127" s="15"/>
      <c r="I127" s="19"/>
      <c r="J127" s="19"/>
      <c r="K127" s="15"/>
      <c r="L127" s="19"/>
      <c r="M127" s="19"/>
      <c r="N127" s="15"/>
      <c r="O127" s="15"/>
      <c r="P127" s="15"/>
      <c r="Q127" s="15"/>
      <c r="R127" s="15"/>
    </row>
    <row r="128" spans="1:18">
      <c r="A128" s="17">
        <v>3</v>
      </c>
      <c r="B128" s="21" t="s">
        <v>28</v>
      </c>
      <c r="C128" s="17">
        <v>3</v>
      </c>
      <c r="D128" s="19"/>
      <c r="E128" s="15"/>
      <c r="F128" s="15"/>
      <c r="G128" s="15"/>
      <c r="H128" s="15"/>
      <c r="I128" s="19"/>
      <c r="J128" s="19"/>
      <c r="K128" s="15"/>
      <c r="L128" s="19"/>
      <c r="M128" s="19"/>
      <c r="N128" s="15"/>
      <c r="O128" s="15"/>
      <c r="P128" s="15"/>
      <c r="Q128" s="15"/>
      <c r="R128" s="15"/>
    </row>
    <row r="129" spans="1:18">
      <c r="A129" s="17">
        <v>4</v>
      </c>
      <c r="B129" s="21" t="s">
        <v>36</v>
      </c>
      <c r="C129" s="17">
        <v>4</v>
      </c>
      <c r="D129" s="19"/>
      <c r="E129" s="15"/>
      <c r="F129" s="15"/>
      <c r="G129" s="15"/>
      <c r="H129" s="15"/>
      <c r="I129" s="19"/>
      <c r="J129" s="19"/>
      <c r="K129" s="15"/>
      <c r="L129" s="19"/>
      <c r="M129" s="19"/>
      <c r="N129" s="15"/>
      <c r="O129" s="15"/>
      <c r="P129" s="15"/>
      <c r="Q129" s="15"/>
      <c r="R129" s="15"/>
    </row>
    <row r="130" spans="1:18">
      <c r="A130" s="17">
        <v>5</v>
      </c>
      <c r="B130" s="21" t="s">
        <v>49</v>
      </c>
      <c r="C130" s="17">
        <v>5</v>
      </c>
      <c r="D130" s="19"/>
      <c r="E130" s="15"/>
      <c r="F130" s="15"/>
      <c r="G130" s="15"/>
      <c r="H130" s="15"/>
      <c r="I130" s="19"/>
      <c r="J130" s="19"/>
      <c r="K130" s="15"/>
      <c r="L130" s="19"/>
      <c r="M130" s="19"/>
      <c r="N130" s="15"/>
      <c r="O130" s="15"/>
      <c r="P130" s="15"/>
      <c r="Q130" s="15"/>
      <c r="R130" s="15"/>
    </row>
    <row r="131" spans="1:18">
      <c r="A131" s="17">
        <v>6</v>
      </c>
      <c r="B131" s="21" t="s">
        <v>42</v>
      </c>
      <c r="C131" s="17">
        <v>6</v>
      </c>
      <c r="D131" s="19"/>
      <c r="E131" s="15"/>
      <c r="F131" s="15"/>
      <c r="G131" s="15"/>
      <c r="H131" s="15"/>
      <c r="I131" s="19"/>
      <c r="J131" s="19"/>
      <c r="K131" s="15"/>
      <c r="L131" s="19"/>
      <c r="M131" s="19"/>
      <c r="N131" s="15"/>
      <c r="O131" s="15"/>
      <c r="P131" s="15"/>
      <c r="Q131" s="15"/>
      <c r="R131" s="15"/>
    </row>
    <row r="132" spans="1:18">
      <c r="A132" s="15"/>
      <c r="B132" s="19"/>
      <c r="C132" s="15"/>
      <c r="D132" s="15"/>
      <c r="E132" s="15"/>
      <c r="F132" s="15"/>
      <c r="G132" s="15"/>
      <c r="H132" s="15"/>
      <c r="I132" s="19"/>
      <c r="J132" s="19"/>
      <c r="K132" s="15"/>
      <c r="L132" s="19"/>
      <c r="M132" s="19"/>
      <c r="N132" s="15"/>
      <c r="O132" s="15"/>
      <c r="P132" s="15"/>
      <c r="Q132" s="15"/>
      <c r="R132" s="15"/>
    </row>
    <row r="133" spans="1:18">
      <c r="A133" s="15">
        <v>1</v>
      </c>
      <c r="B133" s="19" t="s">
        <v>51</v>
      </c>
      <c r="C133" s="15">
        <v>1</v>
      </c>
      <c r="D133" s="15"/>
      <c r="E133" s="15"/>
      <c r="F133" s="15"/>
      <c r="G133" s="15"/>
      <c r="H133" s="15"/>
      <c r="I133" s="19"/>
      <c r="J133" s="19"/>
      <c r="K133" s="15"/>
      <c r="L133" s="19"/>
      <c r="M133" s="19"/>
      <c r="N133" s="15"/>
      <c r="O133" s="15"/>
      <c r="P133" s="15"/>
      <c r="Q133" s="15"/>
      <c r="R133" s="15"/>
    </row>
    <row r="134" spans="1:18">
      <c r="A134" s="15">
        <v>2</v>
      </c>
      <c r="B134" s="19" t="s">
        <v>54</v>
      </c>
      <c r="C134" s="15">
        <v>2</v>
      </c>
      <c r="D134" s="15"/>
      <c r="E134" s="15"/>
      <c r="F134" s="15"/>
      <c r="G134" s="15"/>
      <c r="H134" s="15"/>
      <c r="I134" s="19"/>
      <c r="J134" s="19"/>
      <c r="K134" s="17"/>
      <c r="L134" s="19"/>
      <c r="M134" s="19"/>
      <c r="N134" s="15"/>
      <c r="O134" s="15"/>
      <c r="P134" s="15"/>
      <c r="Q134" s="15"/>
      <c r="R134" s="15"/>
    </row>
    <row r="135" spans="1:18">
      <c r="A135" s="15">
        <v>3</v>
      </c>
      <c r="B135" s="19" t="s">
        <v>28</v>
      </c>
      <c r="C135" s="15">
        <v>3</v>
      </c>
      <c r="D135" s="15"/>
      <c r="E135" s="15"/>
      <c r="F135" s="15"/>
      <c r="G135" s="15"/>
      <c r="H135" s="15"/>
      <c r="I135" s="19"/>
      <c r="J135" s="19"/>
      <c r="K135" s="21"/>
      <c r="L135" s="34"/>
      <c r="M135" s="19"/>
      <c r="N135" s="15"/>
      <c r="O135" s="15"/>
      <c r="P135" s="15"/>
      <c r="Q135" s="15"/>
      <c r="R135" s="15"/>
    </row>
    <row r="136" spans="1:18">
      <c r="A136" s="15">
        <v>4</v>
      </c>
      <c r="B136" s="19" t="s">
        <v>36</v>
      </c>
      <c r="C136" s="15">
        <v>4</v>
      </c>
      <c r="D136" s="15"/>
      <c r="E136" s="15"/>
      <c r="F136" s="15"/>
      <c r="G136" s="15"/>
      <c r="H136" s="15"/>
      <c r="I136" s="19"/>
      <c r="J136" s="19"/>
      <c r="K136" s="21"/>
      <c r="L136" s="34"/>
      <c r="M136" s="19"/>
      <c r="N136" s="15"/>
      <c r="O136" s="15"/>
      <c r="P136" s="15"/>
      <c r="Q136" s="15"/>
      <c r="R136" s="15"/>
    </row>
    <row r="137" spans="1:18">
      <c r="A137" s="15">
        <v>4</v>
      </c>
      <c r="B137" s="19" t="s">
        <v>228</v>
      </c>
      <c r="C137" s="15">
        <v>4</v>
      </c>
      <c r="D137" s="15"/>
      <c r="E137" s="15"/>
      <c r="F137" s="15"/>
      <c r="G137" s="15"/>
      <c r="H137" s="15"/>
      <c r="I137" s="19"/>
      <c r="J137" s="19"/>
      <c r="K137" s="21"/>
      <c r="L137" s="34"/>
      <c r="M137" s="19"/>
      <c r="N137" s="15"/>
      <c r="O137" s="15"/>
      <c r="P137" s="15"/>
      <c r="Q137" s="15"/>
      <c r="R137" s="15"/>
    </row>
    <row r="138" spans="1:18">
      <c r="A138" s="15">
        <v>5</v>
      </c>
      <c r="B138" s="19" t="s">
        <v>49</v>
      </c>
      <c r="C138" s="15">
        <v>5</v>
      </c>
      <c r="D138" s="15"/>
      <c r="E138" s="15"/>
      <c r="F138" s="15"/>
      <c r="G138" s="15"/>
      <c r="H138" s="15"/>
      <c r="I138" s="19"/>
      <c r="J138" s="19"/>
      <c r="K138" s="21"/>
      <c r="L138" s="34"/>
      <c r="M138" s="19"/>
      <c r="N138" s="15"/>
      <c r="O138" s="15"/>
      <c r="P138" s="15"/>
      <c r="Q138" s="15"/>
      <c r="R138" s="15"/>
    </row>
    <row r="139" spans="1:18">
      <c r="A139" s="15">
        <v>6</v>
      </c>
      <c r="B139" s="19" t="s">
        <v>114</v>
      </c>
      <c r="C139" s="15">
        <v>6</v>
      </c>
      <c r="D139" s="15"/>
      <c r="E139" s="15"/>
      <c r="F139" s="15"/>
      <c r="G139" s="15"/>
      <c r="H139" s="15"/>
      <c r="I139" s="19"/>
      <c r="J139" s="19"/>
      <c r="K139" s="21"/>
      <c r="L139" s="34"/>
      <c r="M139" s="19"/>
      <c r="N139" s="15"/>
      <c r="O139" s="15"/>
      <c r="P139" s="15"/>
      <c r="Q139" s="15"/>
      <c r="R139" s="15"/>
    </row>
    <row r="140" spans="1:18">
      <c r="A140" s="15">
        <v>6</v>
      </c>
      <c r="B140" s="19" t="s">
        <v>42</v>
      </c>
      <c r="C140" s="15">
        <v>6</v>
      </c>
      <c r="D140" s="15"/>
      <c r="E140" s="15"/>
      <c r="F140" s="15"/>
      <c r="G140" s="15"/>
      <c r="H140" s="15"/>
      <c r="I140" s="19"/>
      <c r="J140" s="19"/>
      <c r="K140" s="21"/>
      <c r="L140" s="34"/>
      <c r="M140" s="19"/>
      <c r="N140" s="15"/>
      <c r="O140" s="15"/>
      <c r="P140" s="15"/>
      <c r="Q140" s="15"/>
      <c r="R140" s="15"/>
    </row>
    <row r="141" spans="1:18">
      <c r="A141" s="15"/>
      <c r="B141" s="15"/>
      <c r="C141" s="15"/>
      <c r="D141" s="15"/>
      <c r="E141" s="15"/>
      <c r="F141" s="15"/>
      <c r="G141" s="15"/>
      <c r="H141" s="15"/>
      <c r="I141" s="19"/>
      <c r="J141" s="19"/>
      <c r="K141" s="15"/>
      <c r="L141" s="19"/>
      <c r="M141" s="19"/>
      <c r="N141" s="15"/>
      <c r="O141" s="15"/>
      <c r="P141" s="15"/>
      <c r="Q141" s="15"/>
      <c r="R141" s="15"/>
    </row>
    <row r="142" spans="1:18">
      <c r="A142" s="15"/>
      <c r="B142" s="15"/>
      <c r="C142" s="15"/>
      <c r="D142" s="15"/>
      <c r="E142" s="15"/>
      <c r="F142" s="15"/>
      <c r="G142" s="15"/>
      <c r="H142" s="15"/>
      <c r="I142" s="19"/>
      <c r="J142" s="19"/>
      <c r="K142" s="15"/>
      <c r="L142" s="19"/>
      <c r="M142" s="19"/>
      <c r="N142" s="15"/>
      <c r="O142" s="15"/>
      <c r="P142" s="15"/>
      <c r="Q142" s="15"/>
      <c r="R142" s="15"/>
    </row>
    <row r="143" spans="1:18">
      <c r="A143" s="15"/>
      <c r="B143" s="15"/>
      <c r="C143" s="15"/>
      <c r="D143" s="15"/>
      <c r="E143" s="15"/>
      <c r="F143" s="15"/>
      <c r="G143" s="15"/>
      <c r="H143" s="15"/>
      <c r="I143" s="19"/>
      <c r="J143" s="19"/>
      <c r="K143" s="15"/>
      <c r="L143" s="19"/>
      <c r="M143" s="19"/>
      <c r="N143" s="15"/>
      <c r="O143" s="15"/>
      <c r="P143" s="15"/>
      <c r="Q143" s="15"/>
      <c r="R143" s="15"/>
    </row>
    <row r="144" spans="1:18">
      <c r="A144" s="15"/>
      <c r="B144" s="15"/>
      <c r="C144" s="15"/>
      <c r="D144" s="15"/>
      <c r="E144" s="15"/>
      <c r="F144" s="15"/>
      <c r="G144" s="15"/>
      <c r="H144" s="15"/>
      <c r="I144" s="19"/>
      <c r="J144" s="19"/>
      <c r="K144" s="15"/>
      <c r="L144" s="19"/>
      <c r="M144" s="19"/>
      <c r="N144" s="15"/>
      <c r="O144" s="15"/>
      <c r="P144" s="15"/>
      <c r="Q144" s="15"/>
      <c r="R144" s="15"/>
    </row>
    <row r="145" spans="1:18">
      <c r="A145" s="13" t="s">
        <v>500</v>
      </c>
      <c r="B145" s="17" t="s">
        <v>19</v>
      </c>
      <c r="C145" s="13" t="s">
        <v>500</v>
      </c>
      <c r="D145" s="15"/>
      <c r="E145" s="15"/>
      <c r="F145" s="15"/>
      <c r="G145" s="15"/>
      <c r="H145" s="15"/>
      <c r="I145" s="19"/>
      <c r="J145" s="19"/>
      <c r="K145" s="15"/>
      <c r="L145" s="19"/>
      <c r="M145" s="19"/>
      <c r="N145" s="15"/>
      <c r="O145" s="15"/>
      <c r="P145" s="15"/>
      <c r="Q145" s="15"/>
      <c r="R145" s="15"/>
    </row>
    <row r="146" spans="1:18">
      <c r="A146" s="15"/>
      <c r="B146" s="15"/>
      <c r="C146" s="15"/>
      <c r="D146" s="15"/>
      <c r="E146" s="15"/>
      <c r="F146" s="15"/>
      <c r="G146" s="15"/>
      <c r="H146" s="15"/>
      <c r="I146" s="19"/>
      <c r="J146" s="19"/>
      <c r="K146" s="15"/>
      <c r="L146" s="19"/>
      <c r="M146" s="19"/>
      <c r="N146" s="15"/>
      <c r="O146" s="15"/>
      <c r="P146" s="15"/>
      <c r="Q146" s="15"/>
      <c r="R146" s="15"/>
    </row>
    <row r="147" spans="1:18">
      <c r="A147" s="27">
        <v>1</v>
      </c>
      <c r="B147" s="35" t="s">
        <v>29</v>
      </c>
      <c r="C147" s="27">
        <v>1</v>
      </c>
      <c r="D147" s="15"/>
      <c r="E147" s="15"/>
      <c r="F147" s="15"/>
      <c r="G147" s="15"/>
      <c r="H147" s="15"/>
      <c r="I147" s="19"/>
      <c r="J147" s="19"/>
      <c r="K147" s="15"/>
      <c r="L147" s="19"/>
      <c r="M147" s="19"/>
      <c r="N147" s="15"/>
      <c r="O147" s="15"/>
      <c r="P147" s="15"/>
      <c r="Q147" s="15"/>
      <c r="R147" s="15"/>
    </row>
    <row r="148" spans="1:18">
      <c r="A148" s="27">
        <v>2</v>
      </c>
      <c r="B148" s="27" t="s">
        <v>552</v>
      </c>
      <c r="C148" s="27">
        <v>2</v>
      </c>
      <c r="D148" s="15"/>
      <c r="E148" s="15"/>
      <c r="F148" s="15"/>
      <c r="G148" s="15"/>
      <c r="H148" s="15"/>
      <c r="I148" s="19"/>
      <c r="J148" s="19"/>
      <c r="K148" s="15"/>
      <c r="L148" s="19"/>
      <c r="M148" s="19"/>
      <c r="N148" s="15"/>
      <c r="O148" s="15"/>
      <c r="P148" s="15"/>
      <c r="Q148" s="15"/>
      <c r="R148" s="15"/>
    </row>
    <row r="149" spans="1:18">
      <c r="A149" s="27">
        <v>3</v>
      </c>
      <c r="B149" s="27" t="s">
        <v>553</v>
      </c>
      <c r="C149" s="27">
        <v>3</v>
      </c>
      <c r="D149" s="15"/>
      <c r="E149" s="15"/>
      <c r="F149" s="15"/>
      <c r="G149" s="15"/>
      <c r="H149" s="15"/>
      <c r="I149" s="19"/>
      <c r="J149" s="19"/>
      <c r="K149" s="15"/>
      <c r="L149" s="19"/>
      <c r="M149" s="19"/>
      <c r="N149" s="15"/>
      <c r="O149" s="15"/>
      <c r="P149" s="15"/>
      <c r="Q149" s="15"/>
      <c r="R149" s="15"/>
    </row>
    <row r="150" spans="1:18">
      <c r="A150" s="27">
        <v>4</v>
      </c>
      <c r="B150" s="27" t="s">
        <v>554</v>
      </c>
      <c r="C150" s="27">
        <v>4</v>
      </c>
      <c r="D150" s="15"/>
      <c r="E150" s="15"/>
      <c r="F150" s="15"/>
      <c r="G150" s="15"/>
      <c r="H150" s="15"/>
      <c r="I150" s="19"/>
      <c r="J150" s="19"/>
      <c r="K150" s="15"/>
      <c r="L150" s="19"/>
      <c r="M150" s="19"/>
      <c r="N150" s="15"/>
      <c r="O150" s="15"/>
      <c r="P150" s="15"/>
      <c r="Q150" s="15"/>
      <c r="R150" s="15"/>
    </row>
    <row r="151" spans="1:18">
      <c r="A151" s="15"/>
      <c r="B151" s="15"/>
      <c r="C151" s="15"/>
      <c r="D151" s="15"/>
      <c r="E151" s="15"/>
      <c r="F151" s="15"/>
      <c r="G151" s="15"/>
      <c r="H151" s="15"/>
      <c r="I151" s="19"/>
      <c r="J151" s="19"/>
      <c r="K151" s="15"/>
      <c r="L151" s="19"/>
      <c r="M151" s="19"/>
      <c r="N151" s="15"/>
      <c r="O151" s="15"/>
      <c r="P151" s="15"/>
      <c r="Q151" s="15"/>
      <c r="R151" s="15"/>
    </row>
    <row r="152" spans="1:18">
      <c r="A152" s="15"/>
      <c r="B152" s="15"/>
      <c r="C152" s="15"/>
      <c r="D152" s="15"/>
      <c r="E152" s="15"/>
      <c r="F152" s="15"/>
      <c r="G152" s="15"/>
      <c r="H152" s="15"/>
      <c r="I152" s="19"/>
      <c r="J152" s="19"/>
      <c r="K152" s="15"/>
      <c r="L152" s="19"/>
      <c r="M152" s="19"/>
      <c r="N152" s="15"/>
      <c r="O152" s="15"/>
      <c r="P152" s="15"/>
      <c r="Q152" s="15"/>
      <c r="R152" s="15"/>
    </row>
    <row r="153" spans="1:18">
      <c r="A153" s="15">
        <v>1</v>
      </c>
      <c r="B153" s="19" t="s">
        <v>29</v>
      </c>
      <c r="C153" s="15">
        <v>1</v>
      </c>
      <c r="D153" s="15"/>
      <c r="E153" s="15"/>
      <c r="F153" s="15"/>
      <c r="G153" s="15"/>
      <c r="H153" s="15"/>
      <c r="I153" s="19"/>
      <c r="J153" s="19"/>
      <c r="K153" s="15"/>
      <c r="L153" s="19"/>
      <c r="M153" s="19"/>
      <c r="N153" s="15"/>
      <c r="O153" s="15"/>
      <c r="P153" s="15"/>
      <c r="Q153" s="15"/>
      <c r="R153" s="15"/>
    </row>
    <row r="154" spans="1:18">
      <c r="A154" s="15">
        <v>3</v>
      </c>
      <c r="B154" s="19" t="s">
        <v>189</v>
      </c>
      <c r="C154" s="15">
        <v>3</v>
      </c>
      <c r="D154" s="15"/>
      <c r="E154" s="15"/>
      <c r="F154" s="15"/>
      <c r="G154" s="15"/>
      <c r="H154" s="15"/>
      <c r="I154" s="19"/>
      <c r="J154" s="19"/>
      <c r="K154" s="15"/>
      <c r="L154" s="19"/>
      <c r="M154" s="19"/>
      <c r="N154" s="15"/>
      <c r="O154" s="15"/>
      <c r="P154" s="15"/>
      <c r="Q154" s="15"/>
      <c r="R154" s="15"/>
    </row>
    <row r="155" spans="1:18">
      <c r="A155" s="15">
        <v>3</v>
      </c>
      <c r="B155" s="19" t="s">
        <v>262</v>
      </c>
      <c r="C155" s="15">
        <v>3</v>
      </c>
      <c r="D155" s="15"/>
      <c r="E155" s="15"/>
      <c r="F155" s="15"/>
      <c r="G155" s="15"/>
      <c r="H155" s="15"/>
      <c r="I155" s="19"/>
      <c r="J155" s="19"/>
      <c r="K155" s="15"/>
      <c r="L155" s="19"/>
      <c r="M155" s="19"/>
      <c r="N155" s="15"/>
      <c r="O155" s="15"/>
      <c r="P155" s="15"/>
      <c r="Q155" s="15"/>
      <c r="R155" s="15"/>
    </row>
    <row r="156" spans="1:18">
      <c r="A156" s="15">
        <v>3</v>
      </c>
      <c r="B156" s="19" t="s">
        <v>185</v>
      </c>
      <c r="C156" s="15">
        <v>3</v>
      </c>
      <c r="D156" s="15"/>
      <c r="E156" s="15"/>
      <c r="F156" s="15"/>
      <c r="G156" s="15"/>
      <c r="H156" s="15"/>
      <c r="I156" s="19"/>
      <c r="J156" s="19"/>
      <c r="K156" s="15"/>
      <c r="L156" s="19"/>
      <c r="M156" s="19"/>
      <c r="N156" s="15"/>
      <c r="O156" s="15"/>
      <c r="P156" s="15"/>
      <c r="Q156" s="15"/>
      <c r="R156" s="15"/>
    </row>
    <row r="157" spans="1:18">
      <c r="A157" s="15">
        <v>3</v>
      </c>
      <c r="B157" s="19" t="s">
        <v>485</v>
      </c>
      <c r="C157" s="15">
        <v>3</v>
      </c>
      <c r="D157" s="15"/>
      <c r="E157" s="15"/>
      <c r="F157" s="15"/>
      <c r="G157" s="15"/>
      <c r="H157" s="15"/>
      <c r="I157" s="19"/>
      <c r="J157" s="19"/>
      <c r="K157" s="15"/>
      <c r="L157" s="19"/>
      <c r="M157" s="19"/>
      <c r="N157" s="15"/>
      <c r="O157" s="15"/>
      <c r="P157" s="15"/>
      <c r="Q157" s="15"/>
      <c r="R157" s="15"/>
    </row>
    <row r="158" spans="1:18">
      <c r="A158" s="15">
        <v>3</v>
      </c>
      <c r="B158" s="19" t="s">
        <v>302</v>
      </c>
      <c r="C158" s="15">
        <v>3</v>
      </c>
      <c r="D158" s="15"/>
      <c r="E158" s="15"/>
      <c r="F158" s="15"/>
      <c r="G158" s="15"/>
      <c r="H158" s="15"/>
      <c r="I158" s="19"/>
      <c r="J158" s="19"/>
      <c r="K158" s="15"/>
      <c r="L158" s="19"/>
      <c r="M158" s="19"/>
      <c r="N158" s="15"/>
      <c r="O158" s="15"/>
      <c r="P158" s="15"/>
      <c r="Q158" s="15"/>
      <c r="R158" s="15"/>
    </row>
    <row r="159" spans="1:18">
      <c r="A159" s="15">
        <v>3</v>
      </c>
      <c r="B159" s="19" t="s">
        <v>405</v>
      </c>
      <c r="C159" s="15">
        <v>3</v>
      </c>
      <c r="D159" s="15"/>
      <c r="E159" s="15"/>
      <c r="F159" s="15"/>
      <c r="G159" s="15"/>
      <c r="H159" s="15"/>
      <c r="I159" s="19"/>
      <c r="J159" s="19"/>
      <c r="K159" s="15"/>
      <c r="L159" s="19"/>
      <c r="M159" s="19"/>
      <c r="N159" s="15"/>
      <c r="O159" s="15"/>
      <c r="P159" s="15"/>
      <c r="Q159" s="15"/>
      <c r="R159" s="15"/>
    </row>
    <row r="160" spans="1:18">
      <c r="A160" s="15">
        <v>3</v>
      </c>
      <c r="B160" s="19" t="s">
        <v>394</v>
      </c>
      <c r="C160" s="15">
        <v>3</v>
      </c>
      <c r="D160" s="15"/>
      <c r="E160" s="15"/>
      <c r="F160" s="15"/>
      <c r="G160" s="15"/>
      <c r="H160" s="15"/>
      <c r="I160" s="19"/>
      <c r="J160" s="19"/>
      <c r="K160" s="15"/>
      <c r="L160" s="19"/>
      <c r="M160" s="19"/>
      <c r="N160" s="15"/>
      <c r="O160" s="15"/>
      <c r="P160" s="15"/>
      <c r="Q160" s="15"/>
      <c r="R160" s="15"/>
    </row>
    <row r="161" spans="1:18">
      <c r="A161" s="15">
        <v>3</v>
      </c>
      <c r="B161" s="19" t="s">
        <v>154</v>
      </c>
      <c r="C161" s="15">
        <v>3</v>
      </c>
      <c r="D161" s="15"/>
      <c r="E161" s="15"/>
      <c r="F161" s="15"/>
      <c r="G161" s="15"/>
      <c r="H161" s="15"/>
      <c r="I161" s="19"/>
      <c r="J161" s="19"/>
      <c r="K161" s="15"/>
      <c r="L161" s="19"/>
      <c r="M161" s="19"/>
      <c r="N161" s="15"/>
      <c r="O161" s="15"/>
      <c r="P161" s="15"/>
      <c r="Q161" s="15"/>
      <c r="R161" s="15"/>
    </row>
    <row r="162" spans="1:18">
      <c r="A162" s="15">
        <v>3</v>
      </c>
      <c r="B162" s="19" t="s">
        <v>233</v>
      </c>
      <c r="C162" s="15">
        <v>3</v>
      </c>
      <c r="D162" s="15"/>
      <c r="E162" s="15"/>
      <c r="F162" s="15"/>
      <c r="G162" s="15"/>
      <c r="H162" s="15"/>
      <c r="I162" s="19"/>
      <c r="J162" s="19"/>
      <c r="K162" s="15"/>
      <c r="L162" s="19"/>
      <c r="M162" s="19"/>
      <c r="N162" s="15"/>
      <c r="O162" s="15"/>
      <c r="P162" s="15"/>
      <c r="Q162" s="15"/>
      <c r="R162" s="15"/>
    </row>
    <row r="163" spans="1:18">
      <c r="A163" s="15">
        <v>3</v>
      </c>
      <c r="B163" s="19" t="s">
        <v>497</v>
      </c>
      <c r="C163" s="15">
        <v>3</v>
      </c>
      <c r="D163" s="15"/>
      <c r="E163" s="15"/>
      <c r="F163" s="15"/>
      <c r="G163" s="15"/>
      <c r="H163" s="15"/>
      <c r="I163" s="19"/>
      <c r="J163" s="19"/>
      <c r="K163" s="15"/>
      <c r="L163" s="19"/>
      <c r="M163" s="19"/>
      <c r="N163" s="15"/>
      <c r="O163" s="15"/>
      <c r="P163" s="15"/>
      <c r="Q163" s="15"/>
      <c r="R163" s="15"/>
    </row>
    <row r="164" spans="1:18">
      <c r="A164" s="15">
        <v>3</v>
      </c>
      <c r="B164" s="19" t="s">
        <v>193</v>
      </c>
      <c r="C164" s="15">
        <v>3</v>
      </c>
      <c r="D164" s="15"/>
      <c r="E164" s="15"/>
      <c r="F164" s="15"/>
      <c r="G164" s="15"/>
      <c r="H164" s="15"/>
      <c r="I164" s="19"/>
      <c r="J164" s="19"/>
      <c r="K164" s="15"/>
      <c r="L164" s="19"/>
      <c r="M164" s="19"/>
      <c r="N164" s="15"/>
      <c r="O164" s="15"/>
      <c r="P164" s="15"/>
      <c r="Q164" s="15"/>
      <c r="R164" s="15"/>
    </row>
    <row r="165" spans="1:18">
      <c r="A165" s="15">
        <v>3</v>
      </c>
      <c r="B165" s="19" t="s">
        <v>174</v>
      </c>
      <c r="C165" s="15">
        <v>3</v>
      </c>
      <c r="D165" s="15"/>
      <c r="E165" s="15"/>
      <c r="F165" s="15"/>
      <c r="G165" s="15"/>
      <c r="H165" s="15"/>
      <c r="I165" s="19"/>
      <c r="J165" s="19"/>
      <c r="K165" s="15"/>
      <c r="L165" s="19"/>
      <c r="M165" s="19"/>
      <c r="N165" s="15"/>
      <c r="O165" s="15"/>
      <c r="P165" s="15"/>
      <c r="Q165" s="15"/>
      <c r="R165" s="15"/>
    </row>
    <row r="166" spans="1:18">
      <c r="A166" s="15">
        <v>3</v>
      </c>
      <c r="B166" s="19" t="s">
        <v>83</v>
      </c>
      <c r="C166" s="15">
        <v>3</v>
      </c>
      <c r="D166" s="15"/>
      <c r="E166" s="15"/>
      <c r="F166" s="15"/>
      <c r="G166" s="15"/>
      <c r="H166" s="15"/>
      <c r="I166" s="19"/>
      <c r="J166" s="19"/>
      <c r="K166" s="15"/>
      <c r="L166" s="19"/>
      <c r="M166" s="19"/>
      <c r="N166" s="15"/>
      <c r="O166" s="15"/>
      <c r="P166" s="15"/>
      <c r="Q166" s="15"/>
      <c r="R166" s="15"/>
    </row>
    <row r="167" spans="1:18">
      <c r="A167" s="15">
        <v>3</v>
      </c>
      <c r="B167" s="19" t="s">
        <v>494</v>
      </c>
      <c r="C167" s="15">
        <v>3</v>
      </c>
      <c r="D167" s="15"/>
      <c r="E167" s="15"/>
      <c r="F167" s="15"/>
      <c r="G167" s="15"/>
      <c r="H167" s="15"/>
      <c r="I167" s="19"/>
      <c r="J167" s="19"/>
      <c r="K167" s="15"/>
      <c r="L167" s="19"/>
      <c r="M167" s="19"/>
      <c r="N167" s="15"/>
      <c r="O167" s="15"/>
      <c r="P167" s="15"/>
      <c r="Q167" s="15"/>
      <c r="R167" s="15"/>
    </row>
    <row r="168" spans="1:18">
      <c r="A168" s="15">
        <v>1</v>
      </c>
      <c r="B168" s="19" t="s">
        <v>555</v>
      </c>
      <c r="C168" s="15">
        <v>1</v>
      </c>
      <c r="D168" s="15"/>
      <c r="E168" s="15"/>
      <c r="F168" s="15"/>
      <c r="G168" s="15"/>
      <c r="H168" s="15"/>
      <c r="I168" s="19"/>
      <c r="J168" s="19"/>
      <c r="K168" s="15"/>
      <c r="L168" s="19"/>
      <c r="M168" s="19"/>
      <c r="N168" s="15"/>
      <c r="O168" s="15"/>
      <c r="P168" s="15"/>
      <c r="Q168" s="15"/>
      <c r="R168" s="15"/>
    </row>
    <row r="169" spans="1:18">
      <c r="A169" s="15">
        <v>2</v>
      </c>
      <c r="B169" s="19" t="s">
        <v>556</v>
      </c>
      <c r="C169" s="15">
        <v>2</v>
      </c>
      <c r="D169" s="15"/>
      <c r="E169" s="15"/>
      <c r="F169" s="15"/>
      <c r="G169" s="15"/>
      <c r="H169" s="15"/>
      <c r="I169" s="19"/>
      <c r="J169" s="19"/>
      <c r="K169" s="15"/>
      <c r="L169" s="19"/>
      <c r="M169" s="19"/>
      <c r="N169" s="15"/>
      <c r="O169" s="15"/>
      <c r="P169" s="15"/>
      <c r="Q169" s="15"/>
      <c r="R169" s="15"/>
    </row>
    <row r="170" spans="1:18">
      <c r="A170" s="15">
        <v>3</v>
      </c>
      <c r="B170" s="19" t="s">
        <v>272</v>
      </c>
      <c r="C170" s="15">
        <v>3</v>
      </c>
      <c r="D170" s="15"/>
      <c r="E170" s="15"/>
      <c r="F170" s="15"/>
      <c r="G170" s="15"/>
      <c r="H170" s="15"/>
      <c r="I170" s="19"/>
      <c r="J170" s="19"/>
      <c r="K170" s="15"/>
      <c r="L170" s="19"/>
      <c r="M170" s="19"/>
      <c r="N170" s="15"/>
      <c r="O170" s="15"/>
      <c r="P170" s="15"/>
      <c r="Q170" s="15"/>
      <c r="R170" s="15"/>
    </row>
    <row r="171" spans="1:18">
      <c r="A171" s="15">
        <v>3</v>
      </c>
      <c r="B171" s="19" t="s">
        <v>443</v>
      </c>
      <c r="C171" s="15">
        <v>3</v>
      </c>
      <c r="D171" s="15"/>
      <c r="E171" s="15"/>
      <c r="F171" s="15"/>
      <c r="G171" s="15"/>
      <c r="H171" s="15"/>
      <c r="I171" s="19"/>
      <c r="J171" s="19"/>
      <c r="K171" s="15"/>
      <c r="L171" s="19"/>
      <c r="M171" s="19"/>
      <c r="N171" s="15"/>
      <c r="O171" s="15"/>
      <c r="P171" s="15"/>
      <c r="Q171" s="15"/>
      <c r="R171" s="15"/>
    </row>
    <row r="172" spans="1:18">
      <c r="A172" s="15">
        <v>3</v>
      </c>
      <c r="B172" s="19" t="s">
        <v>263</v>
      </c>
      <c r="C172" s="15">
        <v>3</v>
      </c>
      <c r="D172" s="15"/>
      <c r="E172" s="15"/>
      <c r="F172" s="15"/>
      <c r="G172" s="15"/>
      <c r="H172" s="15"/>
      <c r="I172" s="19"/>
      <c r="J172" s="19"/>
      <c r="K172" s="15"/>
      <c r="L172" s="19"/>
      <c r="M172" s="19"/>
      <c r="N172" s="15"/>
      <c r="O172" s="15"/>
      <c r="P172" s="15"/>
      <c r="Q172" s="15"/>
      <c r="R172" s="15"/>
    </row>
    <row r="173" spans="1:18">
      <c r="A173" s="15">
        <v>3</v>
      </c>
      <c r="B173" s="19" t="s">
        <v>313</v>
      </c>
      <c r="C173" s="15">
        <v>3</v>
      </c>
      <c r="D173" s="15"/>
      <c r="E173" s="15"/>
      <c r="F173" s="15"/>
      <c r="G173" s="15"/>
      <c r="H173" s="15"/>
      <c r="I173" s="19"/>
      <c r="J173" s="19"/>
      <c r="K173" s="15"/>
      <c r="L173" s="19"/>
      <c r="M173" s="19"/>
      <c r="N173" s="15"/>
      <c r="O173" s="15"/>
      <c r="P173" s="15"/>
      <c r="Q173" s="15"/>
      <c r="R173" s="15"/>
    </row>
    <row r="174" spans="1:18">
      <c r="A174" s="15">
        <v>3</v>
      </c>
      <c r="B174" s="19" t="s">
        <v>452</v>
      </c>
      <c r="C174" s="15">
        <v>3</v>
      </c>
      <c r="D174" s="15"/>
      <c r="E174" s="15"/>
      <c r="F174" s="15"/>
      <c r="G174" s="15"/>
      <c r="H174" s="15"/>
      <c r="I174" s="19"/>
      <c r="J174" s="19"/>
      <c r="K174" s="15"/>
      <c r="L174" s="19"/>
      <c r="M174" s="19"/>
      <c r="N174" s="15"/>
      <c r="O174" s="15"/>
      <c r="P174" s="15"/>
      <c r="Q174" s="15"/>
      <c r="R174" s="15"/>
    </row>
    <row r="175" spans="1:18">
      <c r="A175" s="15">
        <v>3</v>
      </c>
      <c r="B175" s="19" t="s">
        <v>432</v>
      </c>
      <c r="C175" s="15">
        <v>3</v>
      </c>
      <c r="D175" s="15"/>
      <c r="E175" s="15"/>
      <c r="F175" s="15"/>
      <c r="G175" s="15"/>
      <c r="H175" s="15"/>
      <c r="I175" s="19"/>
      <c r="J175" s="19"/>
      <c r="K175" s="15"/>
      <c r="L175" s="19"/>
      <c r="M175" s="19"/>
      <c r="N175" s="15"/>
      <c r="O175" s="15"/>
      <c r="P175" s="15"/>
      <c r="Q175" s="15"/>
      <c r="R175" s="15"/>
    </row>
    <row r="176" spans="1:18">
      <c r="A176" s="15">
        <v>3</v>
      </c>
      <c r="B176" s="19" t="s">
        <v>161</v>
      </c>
      <c r="C176" s="15">
        <v>3</v>
      </c>
      <c r="D176" s="15"/>
      <c r="E176" s="15"/>
      <c r="F176" s="15"/>
      <c r="G176" s="15"/>
      <c r="H176" s="15"/>
      <c r="I176" s="19"/>
      <c r="J176" s="19"/>
      <c r="K176" s="15"/>
      <c r="L176" s="19"/>
      <c r="M176" s="19"/>
      <c r="N176" s="15"/>
      <c r="O176" s="15"/>
      <c r="P176" s="15"/>
      <c r="Q176" s="15"/>
      <c r="R176" s="15"/>
    </row>
    <row r="177" spans="1:18">
      <c r="A177" s="15">
        <v>3</v>
      </c>
      <c r="B177" s="19" t="s">
        <v>339</v>
      </c>
      <c r="C177" s="15">
        <v>3</v>
      </c>
      <c r="D177" s="15"/>
      <c r="E177" s="15"/>
      <c r="F177" s="15"/>
      <c r="G177" s="15"/>
      <c r="H177" s="15"/>
      <c r="I177" s="19"/>
      <c r="J177" s="19"/>
      <c r="K177" s="15"/>
      <c r="L177" s="19"/>
      <c r="M177" s="19"/>
      <c r="N177" s="15"/>
      <c r="O177" s="15"/>
      <c r="P177" s="15"/>
      <c r="Q177" s="15"/>
      <c r="R177" s="15"/>
    </row>
    <row r="178" spans="1:18">
      <c r="A178" s="15">
        <v>3</v>
      </c>
      <c r="B178" s="19" t="s">
        <v>122</v>
      </c>
      <c r="C178" s="15">
        <v>3</v>
      </c>
      <c r="D178" s="15"/>
      <c r="E178" s="15"/>
      <c r="F178" s="15"/>
      <c r="G178" s="15"/>
      <c r="H178" s="15"/>
      <c r="I178" s="19"/>
      <c r="J178" s="19"/>
      <c r="K178" s="15"/>
      <c r="L178" s="19"/>
      <c r="M178" s="19"/>
      <c r="N178" s="15"/>
      <c r="O178" s="15"/>
      <c r="P178" s="15"/>
      <c r="Q178" s="15"/>
      <c r="R178" s="15"/>
    </row>
    <row r="179" spans="1:18">
      <c r="A179" s="15">
        <v>3</v>
      </c>
      <c r="B179" s="19" t="s">
        <v>411</v>
      </c>
      <c r="C179" s="15">
        <v>3</v>
      </c>
      <c r="D179" s="15"/>
      <c r="E179" s="15"/>
      <c r="F179" s="15"/>
      <c r="G179" s="15"/>
      <c r="H179" s="15"/>
      <c r="I179" s="19"/>
      <c r="J179" s="19"/>
      <c r="K179" s="15"/>
      <c r="L179" s="19"/>
      <c r="M179" s="19"/>
      <c r="N179" s="15"/>
      <c r="O179" s="15"/>
      <c r="P179" s="15"/>
      <c r="Q179" s="15"/>
      <c r="R179" s="15"/>
    </row>
    <row r="180" spans="1:18">
      <c r="A180" s="15">
        <v>3</v>
      </c>
      <c r="B180" s="19" t="s">
        <v>378</v>
      </c>
      <c r="C180" s="15">
        <v>3</v>
      </c>
      <c r="D180" s="15"/>
      <c r="E180" s="15"/>
      <c r="F180" s="15"/>
      <c r="G180" s="15"/>
      <c r="H180" s="15"/>
      <c r="I180" s="19"/>
      <c r="J180" s="19"/>
      <c r="K180" s="15"/>
      <c r="L180" s="19"/>
      <c r="M180" s="19"/>
      <c r="N180" s="15"/>
      <c r="O180" s="15"/>
      <c r="P180" s="15"/>
      <c r="Q180" s="15"/>
      <c r="R180" s="15"/>
    </row>
    <row r="181" spans="1:18">
      <c r="A181" s="15">
        <v>3</v>
      </c>
      <c r="B181" s="19" t="s">
        <v>176</v>
      </c>
      <c r="C181" s="15">
        <v>3</v>
      </c>
      <c r="D181" s="15"/>
      <c r="E181" s="15"/>
      <c r="F181" s="15"/>
      <c r="G181" s="15"/>
      <c r="H181" s="15"/>
      <c r="I181" s="19"/>
      <c r="J181" s="19"/>
      <c r="K181" s="15"/>
      <c r="L181" s="19"/>
      <c r="M181" s="19"/>
      <c r="N181" s="15"/>
      <c r="O181" s="15"/>
      <c r="P181" s="15"/>
      <c r="Q181" s="15"/>
      <c r="R181" s="15"/>
    </row>
    <row r="182" spans="1:18">
      <c r="A182" s="15">
        <v>3</v>
      </c>
      <c r="B182" s="19" t="s">
        <v>276</v>
      </c>
      <c r="C182" s="15">
        <v>3</v>
      </c>
      <c r="D182" s="15"/>
      <c r="E182" s="15"/>
      <c r="F182" s="15"/>
      <c r="G182" s="15"/>
      <c r="H182" s="15"/>
      <c r="I182" s="19"/>
      <c r="J182" s="19"/>
      <c r="K182" s="15"/>
      <c r="L182" s="19"/>
      <c r="M182" s="19"/>
      <c r="N182" s="15"/>
      <c r="O182" s="15"/>
      <c r="P182" s="15"/>
      <c r="Q182" s="15"/>
      <c r="R182" s="15"/>
    </row>
    <row r="183" spans="1:18">
      <c r="A183" s="15">
        <v>3</v>
      </c>
      <c r="B183" s="19" t="s">
        <v>259</v>
      </c>
      <c r="C183" s="15">
        <v>3</v>
      </c>
      <c r="D183" s="15"/>
      <c r="E183" s="15"/>
      <c r="F183" s="15"/>
      <c r="G183" s="15"/>
      <c r="H183" s="15"/>
      <c r="I183" s="19"/>
      <c r="J183" s="19"/>
      <c r="K183" s="15"/>
      <c r="L183" s="19"/>
      <c r="M183" s="19"/>
      <c r="N183" s="15"/>
      <c r="O183" s="15"/>
      <c r="P183" s="15"/>
      <c r="Q183" s="15"/>
      <c r="R183" s="15"/>
    </row>
    <row r="184" spans="1:18">
      <c r="A184" s="15">
        <v>4</v>
      </c>
      <c r="B184" s="19" t="s">
        <v>52</v>
      </c>
      <c r="C184" s="15">
        <v>4</v>
      </c>
      <c r="D184" s="15"/>
      <c r="E184" s="15"/>
      <c r="F184" s="15"/>
      <c r="G184" s="15"/>
      <c r="H184" s="15"/>
      <c r="I184" s="19"/>
      <c r="J184" s="19"/>
      <c r="K184" s="15"/>
      <c r="L184" s="19"/>
      <c r="M184" s="19"/>
      <c r="N184" s="15"/>
      <c r="O184" s="15"/>
      <c r="P184" s="15"/>
      <c r="Q184" s="15"/>
      <c r="R184" s="15"/>
    </row>
    <row r="185" spans="1:18">
      <c r="A185" s="15">
        <v>3</v>
      </c>
      <c r="B185" s="19" t="s">
        <v>441</v>
      </c>
      <c r="C185" s="15">
        <v>3</v>
      </c>
      <c r="D185" s="15"/>
      <c r="E185" s="15"/>
      <c r="F185" s="15"/>
      <c r="G185" s="15"/>
      <c r="H185" s="15"/>
      <c r="I185" s="19"/>
      <c r="J185" s="19"/>
      <c r="K185" s="15"/>
      <c r="L185" s="19"/>
      <c r="M185" s="19"/>
      <c r="N185" s="15"/>
      <c r="O185" s="15"/>
      <c r="P185" s="15"/>
      <c r="Q185" s="15"/>
      <c r="R185" s="15"/>
    </row>
    <row r="186" spans="1:18">
      <c r="A186" s="15">
        <v>3</v>
      </c>
      <c r="B186" s="19" t="s">
        <v>325</v>
      </c>
      <c r="C186" s="15">
        <v>3</v>
      </c>
      <c r="D186" s="15"/>
      <c r="E186" s="15"/>
      <c r="F186" s="15"/>
      <c r="G186" s="15"/>
      <c r="H186" s="15"/>
      <c r="I186" s="19"/>
      <c r="J186" s="19"/>
      <c r="K186" s="15"/>
      <c r="L186" s="19"/>
      <c r="M186" s="19"/>
      <c r="N186" s="15"/>
      <c r="O186" s="15"/>
      <c r="P186" s="15"/>
      <c r="Q186" s="15"/>
      <c r="R186" s="15"/>
    </row>
    <row r="187" spans="1:18">
      <c r="A187" s="15">
        <v>3</v>
      </c>
      <c r="B187" s="19" t="s">
        <v>346</v>
      </c>
      <c r="C187" s="15">
        <v>3</v>
      </c>
      <c r="D187" s="15"/>
      <c r="E187" s="15"/>
      <c r="F187" s="15"/>
      <c r="G187" s="15"/>
      <c r="H187" s="15"/>
      <c r="I187" s="19"/>
      <c r="J187" s="19"/>
      <c r="K187" s="15"/>
      <c r="L187" s="19"/>
      <c r="M187" s="19"/>
      <c r="N187" s="15"/>
      <c r="O187" s="15"/>
      <c r="P187" s="15"/>
      <c r="Q187" s="15"/>
      <c r="R187" s="15"/>
    </row>
    <row r="188" spans="1:18">
      <c r="A188" s="15">
        <v>3</v>
      </c>
      <c r="B188" s="19" t="s">
        <v>169</v>
      </c>
      <c r="C188" s="15">
        <v>3</v>
      </c>
      <c r="D188" s="15"/>
      <c r="E188" s="15"/>
      <c r="F188" s="15"/>
      <c r="G188" s="15"/>
      <c r="H188" s="15"/>
      <c r="I188" s="19"/>
      <c r="J188" s="19"/>
      <c r="K188" s="15"/>
      <c r="L188" s="19"/>
      <c r="M188" s="19"/>
      <c r="N188" s="15"/>
      <c r="O188" s="15"/>
      <c r="P188" s="15"/>
      <c r="Q188" s="15"/>
      <c r="R188" s="15"/>
    </row>
    <row r="189" spans="1:18">
      <c r="A189" s="15">
        <v>3</v>
      </c>
      <c r="B189" s="19" t="s">
        <v>454</v>
      </c>
      <c r="C189" s="15">
        <v>3</v>
      </c>
      <c r="D189" s="15"/>
      <c r="E189" s="15"/>
      <c r="F189" s="15"/>
      <c r="G189" s="15"/>
      <c r="H189" s="15"/>
      <c r="I189" s="19"/>
      <c r="J189" s="19"/>
      <c r="K189" s="15"/>
      <c r="L189" s="19"/>
      <c r="M189" s="19"/>
      <c r="N189" s="15"/>
      <c r="O189" s="15"/>
      <c r="P189" s="15"/>
      <c r="Q189" s="15"/>
      <c r="R189" s="15"/>
    </row>
    <row r="190" spans="1:18">
      <c r="A190" s="15">
        <v>3</v>
      </c>
      <c r="B190" s="19" t="s">
        <v>171</v>
      </c>
      <c r="C190" s="15">
        <v>3</v>
      </c>
      <c r="D190" s="15"/>
      <c r="E190" s="15"/>
      <c r="F190" s="15"/>
      <c r="G190" s="15"/>
      <c r="H190" s="15"/>
      <c r="I190" s="19"/>
      <c r="J190" s="19"/>
      <c r="K190" s="15"/>
      <c r="L190" s="19"/>
      <c r="M190" s="19"/>
      <c r="N190" s="15"/>
      <c r="O190" s="15"/>
      <c r="P190" s="15"/>
      <c r="Q190" s="15"/>
      <c r="R190" s="15"/>
    </row>
    <row r="191" spans="1:18">
      <c r="A191" s="15">
        <v>3</v>
      </c>
      <c r="B191" s="19" t="s">
        <v>557</v>
      </c>
      <c r="C191" s="15">
        <v>3</v>
      </c>
      <c r="D191" s="15"/>
      <c r="E191" s="15"/>
      <c r="F191" s="15"/>
      <c r="G191" s="15"/>
      <c r="H191" s="15"/>
      <c r="I191" s="19"/>
      <c r="J191" s="19"/>
      <c r="K191" s="15"/>
      <c r="L191" s="19"/>
      <c r="M191" s="19"/>
      <c r="N191" s="15"/>
      <c r="O191" s="15"/>
      <c r="P191" s="15"/>
      <c r="Q191" s="15"/>
      <c r="R191" s="15"/>
    </row>
    <row r="192" spans="1:18">
      <c r="A192" s="15">
        <v>3</v>
      </c>
      <c r="B192" s="19" t="s">
        <v>356</v>
      </c>
      <c r="C192" s="15">
        <v>3</v>
      </c>
      <c r="D192" s="15"/>
      <c r="E192" s="15"/>
      <c r="F192" s="15"/>
      <c r="G192" s="15"/>
      <c r="H192" s="15"/>
      <c r="I192" s="19"/>
      <c r="J192" s="19"/>
      <c r="K192" s="15"/>
      <c r="L192" s="19"/>
      <c r="M192" s="19"/>
      <c r="N192" s="15"/>
      <c r="O192" s="15"/>
      <c r="P192" s="15"/>
      <c r="Q192" s="15"/>
      <c r="R192" s="15"/>
    </row>
    <row r="193" spans="1:18">
      <c r="A193" s="15">
        <v>3</v>
      </c>
      <c r="B193" s="19" t="s">
        <v>354</v>
      </c>
      <c r="C193" s="15">
        <v>3</v>
      </c>
      <c r="D193" s="15"/>
      <c r="E193" s="15"/>
      <c r="F193" s="15"/>
      <c r="G193" s="15"/>
      <c r="H193" s="15"/>
      <c r="I193" s="19"/>
      <c r="J193" s="19"/>
      <c r="K193" s="15"/>
      <c r="L193" s="19"/>
      <c r="M193" s="19"/>
      <c r="N193" s="15"/>
      <c r="O193" s="15"/>
      <c r="P193" s="15"/>
      <c r="Q193" s="15"/>
      <c r="R193" s="15"/>
    </row>
    <row r="194" spans="1:18">
      <c r="A194" s="15">
        <v>3</v>
      </c>
      <c r="B194" s="19" t="s">
        <v>474</v>
      </c>
      <c r="C194" s="15">
        <v>3</v>
      </c>
      <c r="D194" s="15"/>
      <c r="E194" s="15"/>
      <c r="F194" s="15"/>
      <c r="G194" s="15"/>
      <c r="H194" s="15"/>
      <c r="I194" s="19"/>
      <c r="J194" s="19"/>
      <c r="K194" s="15"/>
      <c r="L194" s="19"/>
      <c r="M194" s="19"/>
      <c r="N194" s="15"/>
      <c r="O194" s="15"/>
      <c r="P194" s="15"/>
      <c r="Q194" s="15"/>
      <c r="R194" s="15"/>
    </row>
    <row r="195" spans="1:18">
      <c r="A195" s="15">
        <v>3</v>
      </c>
      <c r="B195" s="19" t="s">
        <v>110</v>
      </c>
      <c r="C195" s="15">
        <v>3</v>
      </c>
      <c r="D195" s="15"/>
      <c r="E195" s="15"/>
      <c r="F195" s="15"/>
      <c r="G195" s="15"/>
      <c r="H195" s="15"/>
      <c r="I195" s="19"/>
      <c r="J195" s="19"/>
      <c r="K195" s="15"/>
      <c r="L195" s="19"/>
      <c r="M195" s="19"/>
      <c r="N195" s="15"/>
      <c r="O195" s="15"/>
      <c r="P195" s="15"/>
      <c r="Q195" s="15"/>
      <c r="R195" s="15"/>
    </row>
    <row r="196" spans="1:18">
      <c r="A196" s="15">
        <v>3</v>
      </c>
      <c r="B196" s="19" t="s">
        <v>328</v>
      </c>
      <c r="C196" s="15">
        <v>3</v>
      </c>
      <c r="D196" s="15"/>
      <c r="E196" s="15"/>
      <c r="F196" s="15"/>
      <c r="G196" s="15"/>
      <c r="H196" s="15"/>
      <c r="I196" s="19"/>
      <c r="J196" s="19"/>
      <c r="K196" s="15"/>
      <c r="L196" s="19"/>
      <c r="M196" s="19"/>
      <c r="N196" s="15"/>
      <c r="O196" s="15"/>
      <c r="P196" s="15"/>
      <c r="Q196" s="15"/>
      <c r="R196" s="15"/>
    </row>
    <row r="197" spans="1:18">
      <c r="A197" s="15">
        <v>4</v>
      </c>
      <c r="B197" s="19" t="s">
        <v>463</v>
      </c>
      <c r="C197" s="15">
        <v>4</v>
      </c>
      <c r="D197" s="15"/>
      <c r="E197" s="15"/>
      <c r="F197" s="15"/>
      <c r="G197" s="15"/>
      <c r="H197" s="15"/>
      <c r="I197" s="19"/>
      <c r="J197" s="19"/>
      <c r="K197" s="15"/>
      <c r="L197" s="19"/>
      <c r="M197" s="19"/>
      <c r="N197" s="15"/>
      <c r="O197" s="15"/>
      <c r="P197" s="15"/>
      <c r="Q197" s="15"/>
      <c r="R197" s="15"/>
    </row>
    <row r="198" spans="1:18">
      <c r="A198" s="15">
        <v>3</v>
      </c>
      <c r="B198" s="19" t="s">
        <v>113</v>
      </c>
      <c r="C198" s="15">
        <v>3</v>
      </c>
      <c r="D198" s="15"/>
      <c r="E198" s="15"/>
      <c r="F198" s="15"/>
      <c r="G198" s="15"/>
      <c r="H198" s="15"/>
      <c r="I198" s="19"/>
      <c r="J198" s="19"/>
      <c r="K198" s="15"/>
      <c r="L198" s="19"/>
      <c r="M198" s="19"/>
      <c r="N198" s="15"/>
      <c r="O198" s="15"/>
      <c r="P198" s="15"/>
      <c r="Q198" s="15"/>
      <c r="R198" s="15"/>
    </row>
    <row r="199" spans="1:18">
      <c r="A199" s="15">
        <v>3</v>
      </c>
      <c r="B199" s="19" t="s">
        <v>293</v>
      </c>
      <c r="C199" s="15">
        <v>3</v>
      </c>
      <c r="D199" s="15"/>
      <c r="E199" s="15"/>
      <c r="F199" s="15"/>
      <c r="G199" s="15"/>
      <c r="H199" s="15"/>
      <c r="I199" s="19"/>
      <c r="J199" s="19"/>
      <c r="K199" s="15"/>
      <c r="L199" s="19"/>
      <c r="M199" s="19"/>
      <c r="N199" s="15"/>
      <c r="O199" s="15"/>
      <c r="P199" s="15"/>
      <c r="Q199" s="15"/>
      <c r="R199" s="15"/>
    </row>
    <row r="200" spans="1:18">
      <c r="A200" s="15">
        <v>3</v>
      </c>
      <c r="B200" s="19" t="s">
        <v>190</v>
      </c>
      <c r="C200" s="15">
        <v>3</v>
      </c>
      <c r="D200" s="15"/>
      <c r="E200" s="15"/>
      <c r="F200" s="15"/>
      <c r="G200" s="15"/>
      <c r="H200" s="15"/>
      <c r="I200" s="19"/>
      <c r="J200" s="19"/>
      <c r="K200" s="15"/>
      <c r="L200" s="19"/>
      <c r="M200" s="19"/>
      <c r="N200" s="15"/>
      <c r="O200" s="15"/>
      <c r="P200" s="15"/>
      <c r="Q200" s="15"/>
      <c r="R200" s="15"/>
    </row>
    <row r="201" spans="1:18">
      <c r="A201" s="15">
        <v>3</v>
      </c>
      <c r="B201" s="19" t="s">
        <v>389</v>
      </c>
      <c r="C201" s="15">
        <v>3</v>
      </c>
      <c r="D201" s="15"/>
      <c r="E201" s="15"/>
      <c r="F201" s="15"/>
      <c r="G201" s="15"/>
      <c r="H201" s="15"/>
      <c r="I201" s="19"/>
      <c r="J201" s="19"/>
      <c r="K201" s="15"/>
      <c r="L201" s="19"/>
      <c r="M201" s="19"/>
      <c r="N201" s="15"/>
      <c r="O201" s="15"/>
      <c r="P201" s="15"/>
      <c r="Q201" s="15"/>
      <c r="R201" s="15"/>
    </row>
    <row r="202" spans="1:18">
      <c r="A202" s="15">
        <v>4</v>
      </c>
      <c r="B202" s="19" t="s">
        <v>198</v>
      </c>
      <c r="C202" s="15">
        <v>4</v>
      </c>
      <c r="D202" s="15"/>
      <c r="E202" s="15"/>
      <c r="F202" s="15"/>
      <c r="G202" s="15"/>
      <c r="H202" s="15"/>
      <c r="I202" s="19"/>
      <c r="J202" s="19"/>
      <c r="K202" s="15"/>
      <c r="L202" s="19"/>
      <c r="M202" s="19"/>
      <c r="N202" s="15"/>
      <c r="O202" s="15"/>
      <c r="P202" s="15"/>
      <c r="Q202" s="15"/>
      <c r="R202" s="15"/>
    </row>
    <row r="203" spans="1:18">
      <c r="A203" s="15">
        <v>4</v>
      </c>
      <c r="B203" s="19" t="s">
        <v>558</v>
      </c>
      <c r="C203" s="15">
        <v>4</v>
      </c>
      <c r="D203" s="15"/>
      <c r="E203" s="15"/>
      <c r="F203" s="15"/>
      <c r="G203" s="15"/>
      <c r="H203" s="15"/>
      <c r="I203" s="19"/>
      <c r="J203" s="19"/>
      <c r="K203" s="15"/>
      <c r="L203" s="19"/>
      <c r="M203" s="19"/>
      <c r="N203" s="15"/>
      <c r="O203" s="15"/>
      <c r="P203" s="15"/>
      <c r="Q203" s="15"/>
      <c r="R203" s="15"/>
    </row>
    <row r="204" spans="1:18">
      <c r="A204" s="15">
        <v>3</v>
      </c>
      <c r="B204" s="19" t="s">
        <v>284</v>
      </c>
      <c r="C204" s="15">
        <v>3</v>
      </c>
      <c r="D204" s="15"/>
      <c r="E204" s="15"/>
      <c r="F204" s="15"/>
      <c r="G204" s="15"/>
      <c r="H204" s="15"/>
      <c r="I204" s="19"/>
      <c r="J204" s="19"/>
      <c r="K204" s="15"/>
      <c r="L204" s="19"/>
      <c r="M204" s="19"/>
      <c r="N204" s="15"/>
      <c r="O204" s="15"/>
      <c r="P204" s="15"/>
      <c r="Q204" s="15"/>
      <c r="R204" s="15"/>
    </row>
    <row r="205" spans="1:18">
      <c r="A205" s="15">
        <v>2</v>
      </c>
      <c r="B205" s="19" t="s">
        <v>301</v>
      </c>
      <c r="C205" s="15">
        <v>2</v>
      </c>
      <c r="D205" s="15"/>
      <c r="E205" s="15"/>
      <c r="F205" s="15"/>
      <c r="G205" s="15"/>
      <c r="H205" s="15"/>
      <c r="I205" s="19"/>
      <c r="J205" s="19"/>
      <c r="K205" s="15"/>
      <c r="L205" s="19"/>
      <c r="M205" s="19"/>
      <c r="N205" s="15"/>
      <c r="O205" s="15"/>
      <c r="P205" s="15"/>
      <c r="Q205" s="15"/>
      <c r="R205" s="15"/>
    </row>
    <row r="206" spans="1:18">
      <c r="A206" s="15">
        <v>4</v>
      </c>
      <c r="B206" s="19" t="s">
        <v>481</v>
      </c>
      <c r="C206" s="15">
        <v>4</v>
      </c>
      <c r="D206" s="15"/>
      <c r="E206" s="15"/>
      <c r="F206" s="15"/>
      <c r="G206" s="15"/>
      <c r="H206" s="15"/>
      <c r="I206" s="19"/>
      <c r="J206" s="19"/>
      <c r="K206" s="15"/>
      <c r="L206" s="19"/>
      <c r="M206" s="19"/>
      <c r="N206" s="15"/>
      <c r="O206" s="15"/>
      <c r="P206" s="15"/>
      <c r="Q206" s="15"/>
      <c r="R206" s="15"/>
    </row>
    <row r="207" spans="1:18">
      <c r="A207" s="15">
        <v>4</v>
      </c>
      <c r="B207" s="19" t="s">
        <v>65</v>
      </c>
      <c r="C207" s="15">
        <v>4</v>
      </c>
      <c r="D207" s="15"/>
      <c r="E207" s="15"/>
      <c r="F207" s="15"/>
      <c r="G207" s="15"/>
      <c r="H207" s="15"/>
      <c r="I207" s="19"/>
      <c r="J207" s="19"/>
      <c r="K207" s="15"/>
      <c r="L207" s="19"/>
      <c r="M207" s="19"/>
      <c r="N207" s="15"/>
      <c r="O207" s="15"/>
      <c r="P207" s="15"/>
      <c r="Q207" s="15"/>
      <c r="R207" s="15"/>
    </row>
    <row r="208" spans="1:18">
      <c r="A208" s="15">
        <v>4</v>
      </c>
      <c r="B208" s="19" t="s">
        <v>180</v>
      </c>
      <c r="C208" s="15">
        <v>4</v>
      </c>
      <c r="D208" s="15"/>
      <c r="E208" s="15"/>
      <c r="F208" s="15"/>
      <c r="G208" s="15"/>
      <c r="H208" s="15"/>
      <c r="I208" s="19"/>
      <c r="J208" s="19"/>
      <c r="K208" s="15"/>
      <c r="L208" s="19"/>
      <c r="M208" s="19"/>
      <c r="N208" s="15"/>
      <c r="O208" s="15"/>
      <c r="P208" s="15"/>
      <c r="Q208" s="15"/>
      <c r="R208" s="15"/>
    </row>
    <row r="209" spans="1:18">
      <c r="A209" s="15">
        <v>3</v>
      </c>
      <c r="B209" s="19" t="s">
        <v>329</v>
      </c>
      <c r="C209" s="15">
        <v>3</v>
      </c>
      <c r="D209" s="15"/>
      <c r="E209" s="15"/>
      <c r="F209" s="15"/>
      <c r="G209" s="15"/>
      <c r="H209" s="15"/>
      <c r="I209" s="19"/>
      <c r="J209" s="19"/>
      <c r="K209" s="15"/>
      <c r="L209" s="19"/>
      <c r="M209" s="19"/>
      <c r="N209" s="15"/>
      <c r="O209" s="15"/>
      <c r="P209" s="15"/>
      <c r="Q209" s="15"/>
      <c r="R209" s="15"/>
    </row>
    <row r="210" spans="1:18">
      <c r="A210" s="15">
        <v>4</v>
      </c>
      <c r="B210" s="19" t="s">
        <v>247</v>
      </c>
      <c r="C210" s="15">
        <v>4</v>
      </c>
      <c r="D210" s="15"/>
      <c r="E210" s="15"/>
      <c r="F210" s="15"/>
      <c r="G210" s="15"/>
      <c r="H210" s="15"/>
      <c r="I210" s="19"/>
      <c r="J210" s="19"/>
      <c r="K210" s="15"/>
      <c r="L210" s="19"/>
      <c r="M210" s="19"/>
      <c r="N210" s="15"/>
      <c r="O210" s="15"/>
      <c r="P210" s="15"/>
      <c r="Q210" s="15"/>
      <c r="R210" s="15"/>
    </row>
    <row r="211" spans="1:18">
      <c r="A211" s="15">
        <v>4</v>
      </c>
      <c r="B211" s="19" t="s">
        <v>478</v>
      </c>
      <c r="C211" s="15">
        <v>4</v>
      </c>
      <c r="D211" s="15"/>
      <c r="E211" s="15"/>
      <c r="F211" s="15"/>
      <c r="G211" s="15"/>
      <c r="H211" s="15"/>
      <c r="I211" s="19"/>
      <c r="J211" s="19"/>
      <c r="K211" s="15"/>
      <c r="L211" s="19"/>
      <c r="M211" s="19"/>
      <c r="N211" s="15"/>
      <c r="O211" s="15"/>
      <c r="P211" s="15"/>
      <c r="Q211" s="15"/>
      <c r="R211" s="15"/>
    </row>
    <row r="212" spans="1:18">
      <c r="A212" s="15">
        <v>1</v>
      </c>
      <c r="B212" s="19" t="s">
        <v>75</v>
      </c>
      <c r="C212" s="15">
        <v>1</v>
      </c>
      <c r="D212" s="15"/>
      <c r="E212" s="15"/>
      <c r="F212" s="15"/>
      <c r="G212" s="15"/>
      <c r="H212" s="15"/>
      <c r="I212" s="19"/>
      <c r="J212" s="19"/>
      <c r="K212" s="15"/>
      <c r="L212" s="19"/>
      <c r="M212" s="19"/>
      <c r="N212" s="15"/>
      <c r="O212" s="15"/>
      <c r="P212" s="15"/>
      <c r="Q212" s="15"/>
      <c r="R212" s="15"/>
    </row>
    <row r="213" spans="1:18">
      <c r="A213" s="15">
        <v>3</v>
      </c>
      <c r="B213" s="19" t="s">
        <v>362</v>
      </c>
      <c r="C213" s="15">
        <v>3</v>
      </c>
      <c r="D213" s="15"/>
      <c r="E213" s="15"/>
      <c r="F213" s="15"/>
      <c r="G213" s="15"/>
      <c r="H213" s="15"/>
      <c r="I213" s="19"/>
      <c r="J213" s="19"/>
      <c r="K213" s="15"/>
      <c r="L213" s="19"/>
      <c r="M213" s="19"/>
      <c r="N213" s="15"/>
      <c r="O213" s="15"/>
      <c r="P213" s="15"/>
      <c r="Q213" s="15"/>
      <c r="R213" s="15"/>
    </row>
    <row r="214" spans="1:18">
      <c r="A214" s="15">
        <v>3</v>
      </c>
      <c r="B214" s="19" t="s">
        <v>46</v>
      </c>
      <c r="C214" s="15">
        <v>3</v>
      </c>
      <c r="D214" s="15"/>
      <c r="E214" s="15"/>
      <c r="F214" s="15"/>
      <c r="G214" s="15"/>
      <c r="H214" s="15"/>
      <c r="I214" s="19"/>
      <c r="J214" s="19"/>
      <c r="K214" s="15"/>
      <c r="L214" s="19"/>
      <c r="M214" s="19"/>
      <c r="N214" s="15"/>
      <c r="O214" s="15"/>
      <c r="P214" s="15"/>
      <c r="Q214" s="15"/>
      <c r="R214" s="15"/>
    </row>
    <row r="215" spans="1:18">
      <c r="A215" s="15">
        <v>3</v>
      </c>
      <c r="B215" s="19" t="s">
        <v>449</v>
      </c>
      <c r="C215" s="15">
        <v>3</v>
      </c>
      <c r="D215" s="15"/>
      <c r="E215" s="15"/>
      <c r="F215" s="15"/>
      <c r="G215" s="15"/>
      <c r="H215" s="15"/>
      <c r="I215" s="19"/>
      <c r="J215" s="19"/>
      <c r="K215" s="15"/>
      <c r="L215" s="19"/>
      <c r="M215" s="19"/>
      <c r="N215" s="15"/>
      <c r="O215" s="15"/>
      <c r="P215" s="15"/>
      <c r="Q215" s="15"/>
      <c r="R215" s="15"/>
    </row>
    <row r="216" spans="1:18">
      <c r="A216" s="15">
        <v>3</v>
      </c>
      <c r="B216" s="19" t="s">
        <v>120</v>
      </c>
      <c r="C216" s="15">
        <v>3</v>
      </c>
      <c r="D216" s="15"/>
      <c r="E216" s="15"/>
      <c r="F216" s="15"/>
      <c r="G216" s="15"/>
      <c r="H216" s="15"/>
      <c r="I216" s="19"/>
      <c r="J216" s="19"/>
      <c r="K216" s="15"/>
      <c r="L216" s="19"/>
      <c r="M216" s="19"/>
      <c r="N216" s="15"/>
      <c r="O216" s="15"/>
      <c r="P216" s="15"/>
      <c r="Q216" s="15"/>
      <c r="R216" s="15"/>
    </row>
    <row r="217" spans="1:18">
      <c r="A217" s="15">
        <v>4</v>
      </c>
      <c r="B217" s="19" t="s">
        <v>559</v>
      </c>
      <c r="C217" s="15">
        <v>4</v>
      </c>
      <c r="D217" s="15"/>
      <c r="E217" s="15"/>
      <c r="F217" s="15"/>
      <c r="G217" s="15"/>
      <c r="H217" s="15"/>
      <c r="I217" s="19"/>
      <c r="J217" s="19"/>
      <c r="K217" s="15"/>
      <c r="L217" s="19"/>
      <c r="M217" s="19"/>
      <c r="N217" s="15"/>
      <c r="O217" s="15"/>
      <c r="P217" s="15"/>
      <c r="Q217" s="15"/>
      <c r="R217" s="15"/>
    </row>
    <row r="218" spans="1:18">
      <c r="A218" s="15">
        <v>3</v>
      </c>
      <c r="B218" s="19" t="s">
        <v>134</v>
      </c>
      <c r="C218" s="15">
        <v>3</v>
      </c>
      <c r="D218" s="15"/>
      <c r="E218" s="15"/>
      <c r="F218" s="15"/>
      <c r="G218" s="15"/>
      <c r="H218" s="15"/>
      <c r="I218" s="19"/>
      <c r="J218" s="19"/>
      <c r="K218" s="15"/>
      <c r="L218" s="19"/>
      <c r="M218" s="19"/>
      <c r="N218" s="15"/>
      <c r="O218" s="15"/>
      <c r="P218" s="15"/>
      <c r="Q218" s="15"/>
      <c r="R218" s="15"/>
    </row>
    <row r="219" spans="1:18">
      <c r="A219" s="15">
        <v>3</v>
      </c>
      <c r="B219" s="19" t="s">
        <v>172</v>
      </c>
      <c r="C219" s="15">
        <v>3</v>
      </c>
      <c r="D219" s="15"/>
      <c r="E219" s="15"/>
      <c r="F219" s="15"/>
      <c r="G219" s="15"/>
      <c r="H219" s="15"/>
      <c r="I219" s="19"/>
      <c r="J219" s="19"/>
      <c r="K219" s="15"/>
      <c r="L219" s="19"/>
      <c r="M219" s="19"/>
      <c r="N219" s="15"/>
      <c r="O219" s="15"/>
      <c r="P219" s="15"/>
      <c r="Q219" s="15"/>
      <c r="R219" s="15"/>
    </row>
    <row r="220" spans="1:18">
      <c r="A220" s="15">
        <v>3</v>
      </c>
      <c r="B220" s="19" t="s">
        <v>278</v>
      </c>
      <c r="C220" s="15">
        <v>3</v>
      </c>
      <c r="D220" s="15"/>
      <c r="E220" s="15"/>
      <c r="F220" s="15"/>
      <c r="G220" s="15"/>
      <c r="H220" s="15"/>
      <c r="I220" s="19"/>
      <c r="J220" s="19"/>
      <c r="K220" s="15"/>
      <c r="L220" s="19"/>
      <c r="M220" s="19"/>
      <c r="N220" s="15"/>
      <c r="O220" s="15"/>
      <c r="P220" s="15"/>
      <c r="Q220" s="15"/>
      <c r="R220" s="15"/>
    </row>
    <row r="221" spans="1:18">
      <c r="A221" s="15">
        <v>2</v>
      </c>
      <c r="B221" s="19" t="s">
        <v>364</v>
      </c>
      <c r="C221" s="15">
        <v>2</v>
      </c>
      <c r="D221" s="15"/>
      <c r="E221" s="15"/>
      <c r="F221" s="15"/>
      <c r="G221" s="15"/>
      <c r="H221" s="15"/>
      <c r="I221" s="19"/>
      <c r="J221" s="19"/>
      <c r="K221" s="15"/>
      <c r="L221" s="19"/>
      <c r="M221" s="19"/>
      <c r="N221" s="15"/>
      <c r="O221" s="15"/>
      <c r="P221" s="15"/>
      <c r="Q221" s="15"/>
      <c r="R221" s="15"/>
    </row>
    <row r="222" spans="1:18">
      <c r="A222" s="15">
        <v>3</v>
      </c>
      <c r="B222" s="19" t="s">
        <v>168</v>
      </c>
      <c r="C222" s="15">
        <v>3</v>
      </c>
      <c r="D222" s="15"/>
      <c r="E222" s="15"/>
      <c r="F222" s="15"/>
      <c r="G222" s="15"/>
      <c r="H222" s="15"/>
      <c r="I222" s="19"/>
      <c r="J222" s="19"/>
      <c r="K222" s="15"/>
      <c r="L222" s="19"/>
      <c r="M222" s="19"/>
      <c r="N222" s="15"/>
      <c r="O222" s="15"/>
      <c r="P222" s="15"/>
      <c r="Q222" s="15"/>
      <c r="R222" s="15"/>
    </row>
    <row r="223" spans="1:18">
      <c r="A223" s="15">
        <v>3</v>
      </c>
      <c r="B223" s="19" t="s">
        <v>240</v>
      </c>
      <c r="C223" s="15">
        <v>3</v>
      </c>
      <c r="D223" s="15"/>
      <c r="E223" s="15"/>
      <c r="F223" s="15"/>
      <c r="G223" s="15"/>
      <c r="H223" s="15"/>
      <c r="I223" s="19"/>
      <c r="J223" s="19"/>
      <c r="K223" s="15"/>
      <c r="L223" s="19"/>
      <c r="M223" s="19"/>
      <c r="N223" s="15"/>
      <c r="O223" s="15"/>
      <c r="P223" s="15"/>
      <c r="Q223" s="15"/>
      <c r="R223" s="15"/>
    </row>
    <row r="224" spans="1:18">
      <c r="A224" s="15">
        <v>3</v>
      </c>
      <c r="B224" s="19" t="s">
        <v>306</v>
      </c>
      <c r="C224" s="15">
        <v>3</v>
      </c>
      <c r="D224" s="15"/>
      <c r="E224" s="15"/>
      <c r="F224" s="15"/>
      <c r="G224" s="15"/>
      <c r="H224" s="15"/>
      <c r="I224" s="19"/>
      <c r="J224" s="19"/>
      <c r="K224" s="15"/>
      <c r="L224" s="19"/>
      <c r="M224" s="19"/>
      <c r="N224" s="15"/>
      <c r="O224" s="15"/>
      <c r="P224" s="15"/>
      <c r="Q224" s="15"/>
      <c r="R224" s="15"/>
    </row>
    <row r="225" spans="1:18">
      <c r="A225" s="15">
        <v>3</v>
      </c>
      <c r="B225" s="19" t="s">
        <v>216</v>
      </c>
      <c r="C225" s="15">
        <v>3</v>
      </c>
      <c r="D225" s="15"/>
      <c r="E225" s="15"/>
      <c r="F225" s="15"/>
      <c r="G225" s="15"/>
      <c r="H225" s="15"/>
      <c r="I225" s="19"/>
      <c r="J225" s="19"/>
      <c r="K225" s="15"/>
      <c r="L225" s="19"/>
      <c r="M225" s="19"/>
      <c r="N225" s="15"/>
      <c r="O225" s="15"/>
      <c r="P225" s="15"/>
      <c r="Q225" s="15"/>
      <c r="R225" s="15"/>
    </row>
    <row r="226" spans="1:18">
      <c r="A226" s="15">
        <v>3</v>
      </c>
      <c r="B226" s="19" t="s">
        <v>315</v>
      </c>
      <c r="C226" s="15">
        <v>3</v>
      </c>
      <c r="D226" s="15"/>
      <c r="E226" s="15"/>
      <c r="F226" s="15"/>
      <c r="G226" s="15"/>
      <c r="H226" s="15"/>
      <c r="I226" s="19"/>
      <c r="J226" s="19"/>
      <c r="K226" s="15"/>
      <c r="L226" s="19"/>
      <c r="M226" s="19"/>
      <c r="N226" s="15"/>
      <c r="O226" s="15"/>
      <c r="P226" s="15"/>
      <c r="Q226" s="15"/>
      <c r="R226" s="15"/>
    </row>
    <row r="227" spans="1:18">
      <c r="A227" s="15">
        <v>1</v>
      </c>
      <c r="B227" s="19" t="s">
        <v>226</v>
      </c>
      <c r="C227" s="15">
        <v>1</v>
      </c>
      <c r="D227" s="15"/>
      <c r="E227" s="15"/>
      <c r="F227" s="15"/>
      <c r="G227" s="15"/>
      <c r="H227" s="15"/>
      <c r="I227" s="19"/>
      <c r="J227" s="19"/>
      <c r="K227" s="15"/>
      <c r="L227" s="19"/>
      <c r="M227" s="19"/>
      <c r="N227" s="15"/>
      <c r="O227" s="15"/>
      <c r="P227" s="15"/>
      <c r="Q227" s="15"/>
      <c r="R227" s="15"/>
    </row>
    <row r="228" spans="1:18">
      <c r="A228" s="15">
        <v>3</v>
      </c>
      <c r="B228" s="19" t="s">
        <v>210</v>
      </c>
      <c r="C228" s="15">
        <v>3</v>
      </c>
      <c r="D228" s="15"/>
      <c r="E228" s="15"/>
      <c r="F228" s="15"/>
      <c r="G228" s="15"/>
      <c r="H228" s="15"/>
      <c r="I228" s="19"/>
      <c r="J228" s="19"/>
      <c r="K228" s="15"/>
      <c r="L228" s="19"/>
      <c r="M228" s="19"/>
      <c r="N228" s="15"/>
      <c r="O228" s="15"/>
      <c r="P228" s="15"/>
      <c r="Q228" s="15"/>
      <c r="R228" s="15"/>
    </row>
    <row r="229" spans="1:18">
      <c r="A229" s="15">
        <v>3</v>
      </c>
      <c r="B229" s="19" t="s">
        <v>486</v>
      </c>
      <c r="C229" s="15">
        <v>3</v>
      </c>
      <c r="D229" s="15"/>
      <c r="E229" s="15"/>
      <c r="F229" s="15"/>
      <c r="G229" s="15"/>
      <c r="H229" s="15"/>
      <c r="I229" s="19"/>
      <c r="J229" s="19"/>
      <c r="K229" s="15"/>
      <c r="L229" s="19"/>
      <c r="M229" s="19"/>
      <c r="N229" s="15"/>
      <c r="O229" s="15"/>
      <c r="P229" s="15"/>
      <c r="Q229" s="15"/>
      <c r="R229" s="15"/>
    </row>
    <row r="230" spans="1:18">
      <c r="A230" s="15">
        <v>3</v>
      </c>
      <c r="B230" s="19" t="s">
        <v>406</v>
      </c>
      <c r="C230" s="15">
        <v>3</v>
      </c>
      <c r="D230" s="15"/>
      <c r="E230" s="15"/>
      <c r="F230" s="15"/>
      <c r="G230" s="15"/>
      <c r="H230" s="15"/>
      <c r="I230" s="19"/>
      <c r="J230" s="19"/>
      <c r="K230" s="15"/>
      <c r="L230" s="19"/>
      <c r="M230" s="19"/>
      <c r="N230" s="15"/>
      <c r="O230" s="15"/>
      <c r="P230" s="15"/>
      <c r="Q230" s="15"/>
      <c r="R230" s="15"/>
    </row>
    <row r="231" spans="1:18">
      <c r="A231" s="15">
        <v>1</v>
      </c>
      <c r="B231" s="19" t="s">
        <v>187</v>
      </c>
      <c r="C231" s="15">
        <v>1</v>
      </c>
      <c r="D231" s="15"/>
      <c r="E231" s="15"/>
      <c r="F231" s="15"/>
      <c r="G231" s="15"/>
      <c r="H231" s="15"/>
      <c r="I231" s="19"/>
      <c r="J231" s="19"/>
      <c r="K231" s="15"/>
      <c r="L231" s="19"/>
      <c r="M231" s="19"/>
      <c r="N231" s="15"/>
      <c r="O231" s="15"/>
      <c r="P231" s="15"/>
      <c r="Q231" s="15"/>
      <c r="R231" s="15"/>
    </row>
    <row r="232" spans="1:18">
      <c r="A232" s="15">
        <v>4</v>
      </c>
      <c r="B232" s="19" t="s">
        <v>470</v>
      </c>
      <c r="C232" s="15">
        <v>4</v>
      </c>
      <c r="D232" s="15"/>
      <c r="E232" s="15"/>
      <c r="F232" s="15"/>
      <c r="G232" s="15"/>
      <c r="H232" s="15"/>
      <c r="I232" s="19"/>
      <c r="J232" s="19"/>
      <c r="K232" s="15"/>
      <c r="L232" s="19"/>
      <c r="M232" s="19"/>
      <c r="N232" s="15"/>
      <c r="O232" s="15"/>
      <c r="P232" s="15"/>
      <c r="Q232" s="15"/>
      <c r="R232" s="15"/>
    </row>
    <row r="233" spans="1:18">
      <c r="A233" s="15">
        <v>3</v>
      </c>
      <c r="B233" s="19" t="s">
        <v>104</v>
      </c>
      <c r="C233" s="15">
        <v>3</v>
      </c>
      <c r="D233" s="15"/>
      <c r="E233" s="15"/>
      <c r="F233" s="15"/>
      <c r="G233" s="15"/>
      <c r="H233" s="15"/>
      <c r="I233" s="19"/>
      <c r="J233" s="19"/>
      <c r="K233" s="15"/>
      <c r="L233" s="19"/>
      <c r="M233" s="19"/>
      <c r="N233" s="15"/>
      <c r="O233" s="15"/>
      <c r="P233" s="15"/>
      <c r="Q233" s="15"/>
      <c r="R233" s="15"/>
    </row>
    <row r="234" spans="1:18">
      <c r="A234" s="15">
        <v>3</v>
      </c>
      <c r="B234" s="19" t="s">
        <v>456</v>
      </c>
      <c r="C234" s="15">
        <v>3</v>
      </c>
      <c r="D234" s="15"/>
      <c r="E234" s="15"/>
      <c r="F234" s="15"/>
      <c r="G234" s="15"/>
      <c r="H234" s="15"/>
      <c r="I234" s="19"/>
      <c r="J234" s="19"/>
      <c r="K234" s="15"/>
      <c r="L234" s="19"/>
      <c r="M234" s="19"/>
      <c r="N234" s="15"/>
      <c r="O234" s="15"/>
      <c r="P234" s="15"/>
      <c r="Q234" s="15"/>
      <c r="R234" s="15"/>
    </row>
    <row r="235" spans="1:18">
      <c r="A235" s="15">
        <v>3</v>
      </c>
      <c r="B235" s="19" t="s">
        <v>160</v>
      </c>
      <c r="C235" s="15">
        <v>3</v>
      </c>
      <c r="D235" s="15"/>
      <c r="E235" s="15"/>
      <c r="F235" s="15"/>
      <c r="G235" s="15"/>
      <c r="H235" s="15"/>
      <c r="I235" s="19"/>
      <c r="J235" s="19"/>
      <c r="K235" s="15"/>
      <c r="L235" s="19"/>
      <c r="M235" s="19"/>
      <c r="N235" s="15"/>
      <c r="O235" s="15"/>
      <c r="P235" s="15"/>
      <c r="Q235" s="15"/>
      <c r="R235" s="15"/>
    </row>
    <row r="236" spans="1:18">
      <c r="A236" s="15">
        <v>4</v>
      </c>
      <c r="B236" s="19" t="s">
        <v>560</v>
      </c>
      <c r="C236" s="15">
        <v>4</v>
      </c>
      <c r="D236" s="15"/>
      <c r="E236" s="15"/>
      <c r="F236" s="15"/>
      <c r="G236" s="15"/>
      <c r="H236" s="15"/>
      <c r="I236" s="19"/>
      <c r="J236" s="19"/>
      <c r="K236" s="15"/>
      <c r="L236" s="19"/>
      <c r="M236" s="19"/>
      <c r="N236" s="15"/>
      <c r="O236" s="15"/>
      <c r="P236" s="15"/>
      <c r="Q236" s="15"/>
      <c r="R236" s="15"/>
    </row>
    <row r="237" spans="1:18">
      <c r="A237" s="15">
        <v>3</v>
      </c>
      <c r="B237" s="19" t="s">
        <v>377</v>
      </c>
      <c r="C237" s="15">
        <v>3</v>
      </c>
      <c r="D237" s="15"/>
      <c r="E237" s="15"/>
      <c r="F237" s="15"/>
      <c r="G237" s="15"/>
      <c r="H237" s="15"/>
      <c r="I237" s="19"/>
      <c r="J237" s="19"/>
      <c r="K237" s="15"/>
      <c r="L237" s="19"/>
      <c r="M237" s="19"/>
      <c r="N237" s="15"/>
      <c r="O237" s="15"/>
      <c r="P237" s="15"/>
      <c r="Q237" s="15"/>
      <c r="R237" s="15"/>
    </row>
    <row r="238" spans="1:18">
      <c r="A238" s="15">
        <v>3</v>
      </c>
      <c r="B238" s="19" t="s">
        <v>139</v>
      </c>
      <c r="C238" s="15">
        <v>3</v>
      </c>
      <c r="D238" s="15"/>
      <c r="E238" s="15"/>
      <c r="F238" s="15"/>
      <c r="G238" s="15"/>
      <c r="H238" s="15"/>
      <c r="I238" s="19"/>
      <c r="J238" s="19"/>
      <c r="K238" s="15"/>
      <c r="L238" s="19"/>
      <c r="M238" s="19"/>
      <c r="N238" s="15"/>
      <c r="O238" s="15"/>
      <c r="P238" s="15"/>
      <c r="Q238" s="15"/>
      <c r="R238" s="15"/>
    </row>
    <row r="239" spans="1:18">
      <c r="A239" s="15">
        <v>3</v>
      </c>
      <c r="B239" s="19" t="s">
        <v>70</v>
      </c>
      <c r="C239" s="15">
        <v>3</v>
      </c>
      <c r="D239" s="15"/>
      <c r="E239" s="15"/>
      <c r="F239" s="15"/>
      <c r="G239" s="15"/>
      <c r="H239" s="15"/>
      <c r="I239" s="19"/>
      <c r="J239" s="19"/>
      <c r="K239" s="15"/>
      <c r="L239" s="19"/>
      <c r="M239" s="19"/>
      <c r="N239" s="15"/>
      <c r="O239" s="15"/>
      <c r="P239" s="15"/>
      <c r="Q239" s="15"/>
      <c r="R239" s="15"/>
    </row>
    <row r="240" spans="1:18">
      <c r="A240" s="15">
        <v>1</v>
      </c>
      <c r="B240" s="19" t="s">
        <v>282</v>
      </c>
      <c r="C240" s="15">
        <v>1</v>
      </c>
      <c r="D240" s="15"/>
      <c r="E240" s="15"/>
      <c r="F240" s="15"/>
      <c r="G240" s="15"/>
      <c r="H240" s="15"/>
      <c r="I240" s="19"/>
      <c r="J240" s="19"/>
      <c r="K240" s="15"/>
      <c r="L240" s="19"/>
      <c r="M240" s="19"/>
      <c r="N240" s="15"/>
      <c r="O240" s="15"/>
      <c r="P240" s="15"/>
      <c r="Q240" s="15"/>
      <c r="R240" s="15"/>
    </row>
    <row r="241" spans="1:18">
      <c r="A241" s="15">
        <v>1</v>
      </c>
      <c r="B241" s="19" t="s">
        <v>214</v>
      </c>
      <c r="C241" s="15">
        <v>1</v>
      </c>
      <c r="D241" s="15"/>
      <c r="E241" s="15"/>
      <c r="F241" s="15"/>
      <c r="G241" s="15"/>
      <c r="H241" s="15"/>
      <c r="I241" s="19"/>
      <c r="J241" s="19"/>
      <c r="K241" s="15"/>
      <c r="L241" s="19"/>
      <c r="M241" s="19"/>
      <c r="N241" s="15"/>
      <c r="O241" s="15"/>
      <c r="P241" s="15"/>
      <c r="Q241" s="15"/>
      <c r="R241" s="15"/>
    </row>
    <row r="242" spans="1:18">
      <c r="A242" s="15">
        <v>4</v>
      </c>
      <c r="B242" s="19" t="s">
        <v>561</v>
      </c>
      <c r="C242" s="15">
        <v>4</v>
      </c>
      <c r="D242" s="15"/>
      <c r="E242" s="15"/>
      <c r="F242" s="15"/>
      <c r="G242" s="15"/>
      <c r="H242" s="15"/>
      <c r="I242" s="19"/>
      <c r="J242" s="19"/>
      <c r="K242" s="15"/>
      <c r="L242" s="19"/>
      <c r="M242" s="19"/>
      <c r="N242" s="15"/>
      <c r="O242" s="15"/>
      <c r="P242" s="15"/>
      <c r="Q242" s="15"/>
      <c r="R242" s="15"/>
    </row>
    <row r="243" spans="1:18">
      <c r="A243" s="15">
        <v>2</v>
      </c>
      <c r="B243" s="19" t="s">
        <v>562</v>
      </c>
      <c r="C243" s="15">
        <v>2</v>
      </c>
      <c r="D243" s="15"/>
      <c r="E243" s="15"/>
      <c r="F243" s="15"/>
      <c r="G243" s="15"/>
      <c r="H243" s="15"/>
      <c r="I243" s="19"/>
      <c r="J243" s="19"/>
      <c r="K243" s="15"/>
      <c r="L243" s="19"/>
      <c r="M243" s="19"/>
      <c r="N243" s="15"/>
      <c r="O243" s="15"/>
      <c r="P243" s="15"/>
      <c r="Q243" s="15"/>
      <c r="R243" s="15"/>
    </row>
    <row r="244" spans="1:18">
      <c r="A244" s="15">
        <v>4</v>
      </c>
      <c r="B244" s="19" t="s">
        <v>450</v>
      </c>
      <c r="C244" s="15">
        <v>4</v>
      </c>
      <c r="D244" s="15"/>
      <c r="E244" s="15"/>
      <c r="F244" s="15"/>
      <c r="G244" s="15"/>
      <c r="H244" s="15"/>
      <c r="I244" s="19"/>
      <c r="J244" s="19"/>
      <c r="K244" s="15"/>
      <c r="L244" s="19"/>
      <c r="M244" s="19"/>
      <c r="N244" s="15"/>
      <c r="O244" s="15"/>
      <c r="P244" s="15"/>
      <c r="Q244" s="15"/>
      <c r="R244" s="15"/>
    </row>
    <row r="245" spans="1:18">
      <c r="A245" s="15">
        <v>3</v>
      </c>
      <c r="B245" s="19" t="s">
        <v>498</v>
      </c>
      <c r="C245" s="15">
        <v>3</v>
      </c>
      <c r="D245" s="15"/>
      <c r="E245" s="15"/>
      <c r="F245" s="15"/>
      <c r="G245" s="15"/>
      <c r="H245" s="15"/>
      <c r="I245" s="19"/>
      <c r="J245" s="19"/>
      <c r="K245" s="15"/>
      <c r="L245" s="19"/>
      <c r="M245" s="19"/>
      <c r="N245" s="15"/>
      <c r="O245" s="15"/>
      <c r="P245" s="15"/>
      <c r="Q245" s="15"/>
      <c r="R245" s="15"/>
    </row>
    <row r="246" spans="1:18">
      <c r="A246" s="15">
        <v>3</v>
      </c>
      <c r="B246" s="19" t="s">
        <v>251</v>
      </c>
      <c r="C246" s="15">
        <v>3</v>
      </c>
      <c r="D246" s="15"/>
      <c r="E246" s="15"/>
      <c r="F246" s="15"/>
      <c r="G246" s="15"/>
      <c r="H246" s="15"/>
      <c r="I246" s="19"/>
      <c r="J246" s="19"/>
      <c r="K246" s="15"/>
      <c r="L246" s="19"/>
      <c r="M246" s="19"/>
      <c r="N246" s="15"/>
      <c r="O246" s="15"/>
      <c r="P246" s="15"/>
      <c r="Q246" s="15"/>
      <c r="R246" s="15"/>
    </row>
    <row r="247" spans="1:18">
      <c r="A247" s="15">
        <v>4</v>
      </c>
      <c r="B247" s="19" t="s">
        <v>368</v>
      </c>
      <c r="C247" s="15">
        <v>4</v>
      </c>
      <c r="D247" s="15"/>
      <c r="E247" s="15"/>
      <c r="F247" s="15"/>
      <c r="G247" s="15"/>
      <c r="H247" s="15"/>
      <c r="I247" s="19"/>
      <c r="J247" s="19"/>
      <c r="K247" s="15"/>
      <c r="L247" s="19"/>
      <c r="M247" s="19"/>
      <c r="N247" s="15"/>
      <c r="O247" s="15"/>
      <c r="P247" s="15"/>
      <c r="Q247" s="15"/>
      <c r="R247" s="15"/>
    </row>
    <row r="248" spans="1:18">
      <c r="A248" s="15">
        <v>3</v>
      </c>
      <c r="B248" s="19" t="s">
        <v>453</v>
      </c>
      <c r="C248" s="15">
        <v>3</v>
      </c>
      <c r="D248" s="15"/>
      <c r="E248" s="15"/>
      <c r="F248" s="15"/>
      <c r="G248" s="15"/>
      <c r="H248" s="15"/>
      <c r="I248" s="19"/>
      <c r="J248" s="19"/>
      <c r="K248" s="15"/>
      <c r="L248" s="19"/>
      <c r="M248" s="19"/>
      <c r="N248" s="15"/>
      <c r="O248" s="15"/>
      <c r="P248" s="15"/>
      <c r="Q248" s="15"/>
      <c r="R248" s="15"/>
    </row>
    <row r="249" spans="1:18">
      <c r="A249" s="15">
        <v>3</v>
      </c>
      <c r="B249" s="19" t="s">
        <v>288</v>
      </c>
      <c r="C249" s="15">
        <v>3</v>
      </c>
      <c r="D249" s="15"/>
      <c r="E249" s="15"/>
      <c r="F249" s="15"/>
      <c r="G249" s="15"/>
      <c r="H249" s="15"/>
      <c r="I249" s="19"/>
      <c r="J249" s="19"/>
      <c r="K249" s="15"/>
      <c r="L249" s="19"/>
      <c r="M249" s="19"/>
      <c r="N249" s="15"/>
      <c r="O249" s="15"/>
      <c r="P249" s="15"/>
      <c r="Q249" s="15"/>
      <c r="R249" s="15"/>
    </row>
    <row r="250" spans="1:18">
      <c r="A250" s="15">
        <v>3</v>
      </c>
      <c r="B250" s="19" t="s">
        <v>199</v>
      </c>
      <c r="C250" s="15">
        <v>3</v>
      </c>
      <c r="D250" s="15"/>
      <c r="E250" s="15"/>
      <c r="F250" s="15"/>
      <c r="G250" s="15"/>
      <c r="H250" s="15"/>
      <c r="I250" s="19"/>
      <c r="J250" s="19"/>
      <c r="K250" s="15"/>
      <c r="L250" s="19"/>
      <c r="M250" s="19"/>
      <c r="N250" s="15"/>
      <c r="O250" s="15"/>
      <c r="P250" s="15"/>
      <c r="Q250" s="15"/>
      <c r="R250" s="15"/>
    </row>
    <row r="251" spans="1:18">
      <c r="A251" s="15">
        <v>3</v>
      </c>
      <c r="B251" s="19" t="s">
        <v>414</v>
      </c>
      <c r="C251" s="15">
        <v>3</v>
      </c>
      <c r="D251" s="15"/>
      <c r="E251" s="15"/>
      <c r="F251" s="15"/>
      <c r="G251" s="15"/>
      <c r="H251" s="15"/>
      <c r="I251" s="19"/>
      <c r="J251" s="19"/>
      <c r="K251" s="15"/>
      <c r="L251" s="19"/>
      <c r="M251" s="19"/>
      <c r="N251" s="15"/>
      <c r="O251" s="15"/>
      <c r="P251" s="15"/>
      <c r="Q251" s="15"/>
      <c r="R251" s="15"/>
    </row>
    <row r="252" spans="1:18">
      <c r="A252" s="15">
        <v>3</v>
      </c>
      <c r="B252" s="19" t="s">
        <v>421</v>
      </c>
      <c r="C252" s="15">
        <v>3</v>
      </c>
      <c r="D252" s="15"/>
      <c r="E252" s="15"/>
      <c r="F252" s="15"/>
      <c r="G252" s="15"/>
      <c r="H252" s="15"/>
      <c r="I252" s="19"/>
      <c r="J252" s="19"/>
      <c r="K252" s="15"/>
      <c r="L252" s="19"/>
      <c r="M252" s="19"/>
      <c r="N252" s="15"/>
      <c r="O252" s="15"/>
      <c r="P252" s="15"/>
      <c r="Q252" s="15"/>
      <c r="R252" s="15"/>
    </row>
    <row r="253" spans="1:18">
      <c r="A253" s="15">
        <v>3</v>
      </c>
      <c r="B253" s="19" t="s">
        <v>267</v>
      </c>
      <c r="C253" s="15">
        <v>3</v>
      </c>
      <c r="D253" s="15"/>
      <c r="E253" s="15"/>
      <c r="F253" s="15"/>
      <c r="G253" s="15"/>
      <c r="H253" s="15"/>
      <c r="I253" s="19"/>
      <c r="J253" s="19"/>
      <c r="K253" s="15"/>
      <c r="L253" s="19"/>
      <c r="M253" s="19"/>
      <c r="N253" s="15"/>
      <c r="O253" s="15"/>
      <c r="P253" s="15"/>
      <c r="Q253" s="15"/>
      <c r="R253" s="15"/>
    </row>
    <row r="254" spans="1:18">
      <c r="A254" s="15">
        <v>4</v>
      </c>
      <c r="B254" s="19" t="s">
        <v>167</v>
      </c>
      <c r="C254" s="15">
        <v>4</v>
      </c>
      <c r="D254" s="15"/>
      <c r="E254" s="15"/>
      <c r="F254" s="15"/>
      <c r="G254" s="15"/>
      <c r="H254" s="15"/>
      <c r="I254" s="19"/>
      <c r="J254" s="19"/>
      <c r="K254" s="15"/>
      <c r="L254" s="19"/>
      <c r="M254" s="19"/>
      <c r="N254" s="15"/>
      <c r="O254" s="15"/>
      <c r="P254" s="15"/>
      <c r="Q254" s="15"/>
      <c r="R254" s="15"/>
    </row>
    <row r="255" spans="1:18">
      <c r="A255" s="15">
        <v>4</v>
      </c>
      <c r="B255" s="19" t="s">
        <v>142</v>
      </c>
      <c r="C255" s="15">
        <v>4</v>
      </c>
      <c r="D255" s="15"/>
      <c r="E255" s="15"/>
      <c r="F255" s="15"/>
      <c r="G255" s="15"/>
      <c r="H255" s="15"/>
      <c r="I255" s="19"/>
      <c r="J255" s="19"/>
      <c r="K255" s="15"/>
      <c r="L255" s="19"/>
      <c r="M255" s="19"/>
      <c r="N255" s="15"/>
      <c r="O255" s="15"/>
      <c r="P255" s="15"/>
      <c r="Q255" s="15"/>
      <c r="R255" s="15"/>
    </row>
    <row r="256" spans="1:18">
      <c r="A256" s="15">
        <v>3</v>
      </c>
      <c r="B256" s="19" t="s">
        <v>351</v>
      </c>
      <c r="C256" s="15">
        <v>3</v>
      </c>
      <c r="D256" s="15"/>
      <c r="E256" s="15"/>
      <c r="F256" s="15"/>
      <c r="G256" s="15"/>
      <c r="H256" s="15"/>
      <c r="I256" s="19"/>
      <c r="J256" s="19"/>
      <c r="K256" s="15"/>
      <c r="L256" s="19"/>
      <c r="M256" s="19"/>
      <c r="N256" s="15"/>
      <c r="O256" s="15"/>
      <c r="P256" s="15"/>
      <c r="Q256" s="15"/>
      <c r="R256" s="15"/>
    </row>
    <row r="257" spans="1:18">
      <c r="A257" s="15">
        <v>3</v>
      </c>
      <c r="B257" s="19" t="s">
        <v>563</v>
      </c>
      <c r="C257" s="15">
        <v>3</v>
      </c>
      <c r="D257" s="15"/>
      <c r="E257" s="15"/>
      <c r="F257" s="15"/>
      <c r="G257" s="15"/>
      <c r="H257" s="15"/>
      <c r="I257" s="19"/>
      <c r="J257" s="19"/>
      <c r="K257" s="15"/>
      <c r="L257" s="19"/>
      <c r="M257" s="19"/>
      <c r="N257" s="15"/>
      <c r="O257" s="15"/>
      <c r="P257" s="15"/>
      <c r="Q257" s="15"/>
      <c r="R257" s="15"/>
    </row>
    <row r="258" spans="1:18">
      <c r="A258" s="15">
        <v>1</v>
      </c>
      <c r="B258" s="19" t="s">
        <v>234</v>
      </c>
      <c r="C258" s="15">
        <v>1</v>
      </c>
      <c r="D258" s="15"/>
      <c r="E258" s="15"/>
      <c r="F258" s="15"/>
      <c r="G258" s="15"/>
      <c r="H258" s="15"/>
      <c r="I258" s="19"/>
      <c r="J258" s="19"/>
      <c r="K258" s="15"/>
      <c r="L258" s="19"/>
      <c r="M258" s="19"/>
      <c r="N258" s="15"/>
      <c r="O258" s="15"/>
      <c r="P258" s="15"/>
      <c r="Q258" s="15"/>
      <c r="R258" s="15"/>
    </row>
    <row r="259" spans="1:18">
      <c r="A259" s="15">
        <v>3</v>
      </c>
      <c r="B259" s="19" t="s">
        <v>370</v>
      </c>
      <c r="C259" s="15">
        <v>3</v>
      </c>
      <c r="D259" s="15"/>
      <c r="E259" s="15"/>
      <c r="F259" s="15"/>
      <c r="G259" s="15"/>
      <c r="H259" s="15"/>
      <c r="I259" s="19"/>
      <c r="J259" s="19"/>
      <c r="K259" s="15"/>
      <c r="L259" s="19"/>
      <c r="M259" s="19"/>
      <c r="N259" s="15"/>
      <c r="O259" s="15"/>
      <c r="P259" s="15"/>
      <c r="Q259" s="15"/>
      <c r="R259" s="15"/>
    </row>
    <row r="260" spans="1:18">
      <c r="A260" s="15">
        <v>1</v>
      </c>
      <c r="B260" s="19" t="s">
        <v>479</v>
      </c>
      <c r="C260" s="15">
        <v>1</v>
      </c>
      <c r="D260" s="15"/>
      <c r="E260" s="15"/>
      <c r="F260" s="15"/>
      <c r="G260" s="15"/>
      <c r="H260" s="15"/>
      <c r="I260" s="19"/>
      <c r="J260" s="19"/>
      <c r="K260" s="15"/>
      <c r="L260" s="19"/>
      <c r="M260" s="19"/>
      <c r="N260" s="15"/>
      <c r="O260" s="15"/>
      <c r="P260" s="15"/>
      <c r="Q260" s="15"/>
      <c r="R260" s="15"/>
    </row>
    <row r="261" spans="1:18">
      <c r="A261" s="15">
        <v>3</v>
      </c>
      <c r="B261" s="19" t="s">
        <v>202</v>
      </c>
      <c r="C261" s="15">
        <v>3</v>
      </c>
      <c r="D261" s="15"/>
      <c r="E261" s="15"/>
      <c r="F261" s="15"/>
      <c r="G261" s="15"/>
      <c r="H261" s="15"/>
      <c r="I261" s="19"/>
      <c r="J261" s="19"/>
      <c r="K261" s="15"/>
      <c r="L261" s="19"/>
      <c r="M261" s="19"/>
      <c r="N261" s="15"/>
      <c r="O261" s="15"/>
      <c r="P261" s="15"/>
      <c r="Q261" s="15"/>
      <c r="R261" s="15"/>
    </row>
    <row r="262" spans="1:18">
      <c r="A262" s="15">
        <v>3</v>
      </c>
      <c r="B262" s="19" t="s">
        <v>430</v>
      </c>
      <c r="C262" s="15">
        <v>3</v>
      </c>
      <c r="D262" s="15"/>
      <c r="E262" s="15"/>
      <c r="F262" s="15"/>
      <c r="G262" s="15"/>
      <c r="H262" s="15"/>
      <c r="I262" s="19"/>
      <c r="J262" s="19"/>
      <c r="K262" s="15"/>
      <c r="L262" s="19"/>
      <c r="M262" s="19"/>
      <c r="N262" s="15"/>
      <c r="O262" s="15"/>
      <c r="P262" s="15"/>
      <c r="Q262" s="15"/>
      <c r="R262" s="15"/>
    </row>
    <row r="263" spans="1:18">
      <c r="A263" s="15">
        <v>3</v>
      </c>
      <c r="B263" s="19" t="s">
        <v>229</v>
      </c>
      <c r="C263" s="15">
        <v>3</v>
      </c>
      <c r="D263" s="15"/>
      <c r="E263" s="15"/>
      <c r="F263" s="15"/>
      <c r="G263" s="15"/>
      <c r="H263" s="15"/>
      <c r="I263" s="19"/>
      <c r="J263" s="19"/>
      <c r="K263" s="15"/>
      <c r="L263" s="19"/>
      <c r="M263" s="19"/>
      <c r="N263" s="15"/>
      <c r="O263" s="15"/>
      <c r="P263" s="15"/>
      <c r="Q263" s="15"/>
      <c r="R263" s="15"/>
    </row>
    <row r="264" spans="1:18">
      <c r="A264" s="15">
        <v>3</v>
      </c>
      <c r="B264" s="19" t="s">
        <v>321</v>
      </c>
      <c r="C264" s="15">
        <v>3</v>
      </c>
      <c r="D264" s="15"/>
      <c r="E264" s="15"/>
      <c r="F264" s="15"/>
      <c r="G264" s="15"/>
      <c r="H264" s="15"/>
      <c r="I264" s="19"/>
      <c r="J264" s="19"/>
      <c r="K264" s="15"/>
      <c r="L264" s="19"/>
      <c r="M264" s="19"/>
      <c r="N264" s="15"/>
      <c r="O264" s="15"/>
      <c r="P264" s="15"/>
      <c r="Q264" s="15"/>
      <c r="R264" s="15"/>
    </row>
    <row r="265" spans="1:18">
      <c r="A265" s="15">
        <v>3</v>
      </c>
      <c r="B265" s="19" t="s">
        <v>564</v>
      </c>
      <c r="C265" s="15">
        <v>3</v>
      </c>
      <c r="D265" s="15"/>
      <c r="E265" s="15"/>
      <c r="F265" s="15"/>
      <c r="G265" s="15"/>
      <c r="H265" s="15"/>
      <c r="I265" s="19"/>
      <c r="J265" s="19"/>
      <c r="K265" s="15"/>
      <c r="L265" s="19"/>
      <c r="M265" s="19"/>
      <c r="N265" s="15"/>
      <c r="O265" s="15"/>
      <c r="P265" s="15"/>
      <c r="Q265" s="15"/>
      <c r="R265" s="15"/>
    </row>
    <row r="266" spans="1:18">
      <c r="A266" s="15">
        <v>3</v>
      </c>
      <c r="B266" s="19" t="s">
        <v>100</v>
      </c>
      <c r="C266" s="15">
        <v>3</v>
      </c>
      <c r="D266" s="15"/>
      <c r="E266" s="15"/>
      <c r="F266" s="15"/>
      <c r="G266" s="15"/>
      <c r="H266" s="15"/>
      <c r="I266" s="19"/>
      <c r="J266" s="19"/>
      <c r="K266" s="15"/>
      <c r="L266" s="19"/>
      <c r="M266" s="19"/>
      <c r="N266" s="15"/>
      <c r="O266" s="15"/>
      <c r="P266" s="15"/>
      <c r="Q266" s="15"/>
      <c r="R266" s="15"/>
    </row>
    <row r="267" spans="1:18">
      <c r="A267" s="15">
        <v>4</v>
      </c>
      <c r="B267" s="19" t="s">
        <v>565</v>
      </c>
      <c r="C267" s="15">
        <v>4</v>
      </c>
      <c r="D267" s="15"/>
      <c r="E267" s="15"/>
      <c r="F267" s="15"/>
      <c r="G267" s="15"/>
      <c r="H267" s="15"/>
      <c r="I267" s="19"/>
      <c r="J267" s="19"/>
      <c r="K267" s="15"/>
      <c r="L267" s="19"/>
      <c r="M267" s="19"/>
      <c r="N267" s="15"/>
      <c r="O267" s="15"/>
      <c r="P267" s="15"/>
      <c r="Q267" s="15"/>
      <c r="R267" s="15"/>
    </row>
    <row r="268" spans="1:18">
      <c r="A268" s="15">
        <v>3</v>
      </c>
      <c r="B268" s="19" t="s">
        <v>257</v>
      </c>
      <c r="C268" s="15">
        <v>3</v>
      </c>
      <c r="D268" s="15"/>
      <c r="E268" s="15"/>
      <c r="F268" s="15"/>
      <c r="G268" s="15"/>
      <c r="H268" s="15"/>
      <c r="I268" s="19"/>
      <c r="J268" s="19"/>
      <c r="K268" s="15"/>
      <c r="L268" s="19"/>
      <c r="M268" s="19"/>
      <c r="N268" s="15"/>
      <c r="O268" s="15"/>
      <c r="P268" s="15"/>
      <c r="Q268" s="15"/>
      <c r="R268" s="15"/>
    </row>
    <row r="269" spans="1:18">
      <c r="A269" s="15">
        <v>2</v>
      </c>
      <c r="B269" s="19" t="s">
        <v>205</v>
      </c>
      <c r="C269" s="15">
        <v>2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1:18">
      <c r="A270" s="15">
        <v>2</v>
      </c>
      <c r="B270" s="19" t="s">
        <v>109</v>
      </c>
      <c r="C270" s="15">
        <v>2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1:18">
      <c r="A271" s="15">
        <v>4</v>
      </c>
      <c r="B271" s="19" t="s">
        <v>385</v>
      </c>
      <c r="C271" s="15">
        <v>4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1:18">
      <c r="A272" s="15">
        <v>3</v>
      </c>
      <c r="B272" s="19" t="s">
        <v>416</v>
      </c>
      <c r="C272" s="15">
        <v>3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1:18">
      <c r="A273" s="15">
        <v>4</v>
      </c>
      <c r="B273" s="19" t="s">
        <v>566</v>
      </c>
      <c r="C273" s="15">
        <v>4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1:18">
      <c r="A274" s="15">
        <v>4</v>
      </c>
      <c r="B274" s="19" t="s">
        <v>145</v>
      </c>
      <c r="C274" s="15">
        <v>4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1:18">
      <c r="A275" s="15">
        <v>3</v>
      </c>
      <c r="B275" s="19" t="s">
        <v>464</v>
      </c>
      <c r="C275" s="15">
        <v>3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1:18">
      <c r="A276" s="15">
        <v>4</v>
      </c>
      <c r="B276" s="19" t="s">
        <v>369</v>
      </c>
      <c r="C276" s="15">
        <v>4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1:18">
      <c r="A277" s="15">
        <v>3</v>
      </c>
      <c r="B277" s="19" t="s">
        <v>447</v>
      </c>
      <c r="C277" s="15">
        <v>3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1:18">
      <c r="A278" s="15">
        <v>3</v>
      </c>
      <c r="B278" s="19" t="s">
        <v>291</v>
      </c>
      <c r="C278" s="15">
        <v>3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1:18">
      <c r="A279" s="15">
        <v>4</v>
      </c>
      <c r="B279" s="19" t="s">
        <v>225</v>
      </c>
      <c r="C279" s="15">
        <v>4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1:18">
      <c r="A280" s="15">
        <v>3</v>
      </c>
      <c r="B280" s="19" t="s">
        <v>567</v>
      </c>
      <c r="C280" s="15">
        <v>3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1:18">
      <c r="A281" s="15">
        <v>3</v>
      </c>
      <c r="B281" s="19" t="s">
        <v>425</v>
      </c>
      <c r="C281" s="15">
        <v>3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1:18">
      <c r="A282" s="15">
        <v>3</v>
      </c>
      <c r="B282" s="19" t="s">
        <v>355</v>
      </c>
      <c r="C282" s="15">
        <v>3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1:18">
      <c r="A283" s="15">
        <v>3</v>
      </c>
      <c r="B283" s="19" t="s">
        <v>340</v>
      </c>
      <c r="C283" s="15">
        <v>3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1:18">
      <c r="A284" s="15">
        <v>3</v>
      </c>
      <c r="B284" s="19" t="s">
        <v>68</v>
      </c>
      <c r="C284" s="15">
        <v>3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1:18">
      <c r="A285" s="15">
        <v>2</v>
      </c>
      <c r="B285" s="19" t="s">
        <v>230</v>
      </c>
      <c r="C285" s="15">
        <v>2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1:18">
      <c r="A286" s="15">
        <v>3</v>
      </c>
      <c r="B286" s="19" t="s">
        <v>311</v>
      </c>
      <c r="C286" s="15">
        <v>3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1:18">
      <c r="A287" s="15">
        <v>3</v>
      </c>
      <c r="B287" s="19" t="s">
        <v>434</v>
      </c>
      <c r="C287" s="15">
        <v>3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1:18">
      <c r="A288" s="15">
        <v>3</v>
      </c>
      <c r="B288" s="19" t="s">
        <v>131</v>
      </c>
      <c r="C288" s="15">
        <v>3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1:18">
      <c r="A289" s="15">
        <v>3</v>
      </c>
      <c r="B289" s="19" t="s">
        <v>86</v>
      </c>
      <c r="C289" s="15">
        <v>3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1:18">
      <c r="A290" s="15">
        <v>4</v>
      </c>
      <c r="B290" s="19" t="s">
        <v>568</v>
      </c>
      <c r="C290" s="15">
        <v>4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1:18">
      <c r="A291" s="15">
        <v>3</v>
      </c>
      <c r="B291" s="19" t="s">
        <v>348</v>
      </c>
      <c r="C291" s="15">
        <v>3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1:18">
      <c r="A292" s="15">
        <v>3</v>
      </c>
      <c r="B292" s="19" t="s">
        <v>569</v>
      </c>
      <c r="C292" s="15">
        <v>3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1:18">
      <c r="A293" s="15">
        <v>3</v>
      </c>
      <c r="B293" s="19" t="s">
        <v>388</v>
      </c>
      <c r="C293" s="15">
        <v>3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1:18">
      <c r="A294" s="15">
        <v>3</v>
      </c>
      <c r="B294" s="19" t="s">
        <v>126</v>
      </c>
      <c r="C294" s="15">
        <v>3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1:18">
      <c r="A295" s="15">
        <v>4</v>
      </c>
      <c r="B295" s="19" t="s">
        <v>91</v>
      </c>
      <c r="C295" s="15">
        <v>4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1:18">
      <c r="A296" s="15">
        <v>4</v>
      </c>
      <c r="B296" s="19" t="s">
        <v>424</v>
      </c>
      <c r="C296" s="15">
        <v>4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1:18">
      <c r="A297" s="15">
        <v>3</v>
      </c>
      <c r="B297" s="19" t="s">
        <v>420</v>
      </c>
      <c r="C297" s="15">
        <v>3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1:18">
      <c r="A298" s="15">
        <v>3</v>
      </c>
      <c r="B298" s="19" t="s">
        <v>115</v>
      </c>
      <c r="C298" s="15">
        <v>3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1:18">
      <c r="A299" s="15">
        <v>3</v>
      </c>
      <c r="B299" s="19" t="s">
        <v>255</v>
      </c>
      <c r="C299" s="15">
        <v>3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1:18">
      <c r="A300" s="15">
        <v>3</v>
      </c>
      <c r="B300" s="19" t="s">
        <v>477</v>
      </c>
      <c r="C300" s="15">
        <v>3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1:18">
      <c r="A301" s="15">
        <v>3</v>
      </c>
      <c r="B301" s="19" t="s">
        <v>327</v>
      </c>
      <c r="C301" s="15">
        <v>3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1:18">
      <c r="A302" s="15">
        <v>3</v>
      </c>
      <c r="B302" s="19" t="s">
        <v>324</v>
      </c>
      <c r="C302" s="15">
        <v>3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1:18">
      <c r="A303" s="15">
        <v>3</v>
      </c>
      <c r="B303" s="19" t="s">
        <v>125</v>
      </c>
      <c r="C303" s="15">
        <v>3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1:18">
      <c r="A304" s="15">
        <v>2</v>
      </c>
      <c r="B304" s="19" t="s">
        <v>374</v>
      </c>
      <c r="C304" s="15">
        <v>2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1:18">
      <c r="A305" s="15">
        <v>3</v>
      </c>
      <c r="B305" s="19" t="s">
        <v>495</v>
      </c>
      <c r="C305" s="15">
        <v>3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1:18">
      <c r="A306" s="15">
        <v>3</v>
      </c>
      <c r="B306" s="19" t="s">
        <v>390</v>
      </c>
      <c r="C306" s="15">
        <v>3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1:18">
      <c r="A307" s="15">
        <v>3</v>
      </c>
      <c r="B307" s="19" t="s">
        <v>218</v>
      </c>
      <c r="C307" s="15">
        <v>3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1:18">
      <c r="A308" s="15">
        <v>3</v>
      </c>
      <c r="B308" s="19" t="s">
        <v>570</v>
      </c>
      <c r="C308" s="15">
        <v>3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1:18">
      <c r="A309" s="15">
        <v>3</v>
      </c>
      <c r="B309" s="19" t="s">
        <v>380</v>
      </c>
      <c r="C309" s="15">
        <v>3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1:18">
      <c r="A310" s="15">
        <v>3</v>
      </c>
      <c r="B310" s="19" t="s">
        <v>571</v>
      </c>
      <c r="C310" s="15">
        <v>3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1:18">
      <c r="A311" s="15"/>
      <c r="B311" s="19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1:18">
      <c r="A312" s="13" t="s">
        <v>500</v>
      </c>
      <c r="B312" s="36" t="s">
        <v>961</v>
      </c>
      <c r="C312" s="13" t="s">
        <v>500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1:18">
      <c r="A313">
        <v>0</v>
      </c>
      <c r="B313" t="s">
        <v>582</v>
      </c>
      <c r="C313">
        <v>0</v>
      </c>
    </row>
    <row r="314" spans="1:18">
      <c r="A314">
        <v>1</v>
      </c>
      <c r="B314" t="s">
        <v>583</v>
      </c>
      <c r="C314">
        <v>1</v>
      </c>
    </row>
    <row r="315" spans="1:18">
      <c r="K315" s="37" t="s">
        <v>960</v>
      </c>
    </row>
    <row r="316" spans="1:18">
      <c r="A316" s="13" t="s">
        <v>500</v>
      </c>
      <c r="B316" s="37" t="s">
        <v>960</v>
      </c>
      <c r="C316" s="13" t="s">
        <v>500</v>
      </c>
      <c r="K316" s="38" t="s">
        <v>854</v>
      </c>
      <c r="L316" s="39" t="s">
        <v>1464</v>
      </c>
    </row>
    <row r="317" spans="1:18" ht="15">
      <c r="A317" s="40"/>
      <c r="B317" s="3"/>
      <c r="C317" s="40"/>
      <c r="K317" s="41" t="s">
        <v>866</v>
      </c>
      <c r="L317" s="39"/>
    </row>
    <row r="318" spans="1:18" ht="15">
      <c r="A318" s="42">
        <v>0</v>
      </c>
      <c r="B318" s="43" t="s">
        <v>121</v>
      </c>
      <c r="C318" s="42">
        <v>0</v>
      </c>
      <c r="K318" s="44" t="s">
        <v>1465</v>
      </c>
      <c r="L318" s="39">
        <f t="shared" ref="L318:L332" si="0">O318*1000</f>
        <v>1000</v>
      </c>
      <c r="M318" t="s">
        <v>1475</v>
      </c>
      <c r="O318" s="42">
        <v>1</v>
      </c>
    </row>
    <row r="319" spans="1:18" ht="15">
      <c r="A319" s="42">
        <v>1</v>
      </c>
      <c r="B319" s="43" t="s">
        <v>56</v>
      </c>
      <c r="C319" s="42">
        <v>1</v>
      </c>
      <c r="K319" s="44" t="s">
        <v>1466</v>
      </c>
      <c r="L319" s="39">
        <f t="shared" si="0"/>
        <v>5000</v>
      </c>
      <c r="M319" t="s">
        <v>1476</v>
      </c>
      <c r="O319" s="42">
        <v>5</v>
      </c>
    </row>
    <row r="320" spans="1:18" ht="15">
      <c r="A320" s="42">
        <v>2</v>
      </c>
      <c r="B320" s="43" t="s">
        <v>57</v>
      </c>
      <c r="C320" s="42">
        <v>2</v>
      </c>
      <c r="K320" s="44" t="s">
        <v>1467</v>
      </c>
      <c r="L320" s="39">
        <f t="shared" si="0"/>
        <v>5000</v>
      </c>
      <c r="M320" t="s">
        <v>1477</v>
      </c>
      <c r="O320" s="42">
        <v>5</v>
      </c>
    </row>
    <row r="321" spans="1:15" ht="15">
      <c r="A321" s="42">
        <v>3</v>
      </c>
      <c r="B321" s="43" t="s">
        <v>319</v>
      </c>
      <c r="C321" s="42">
        <v>3</v>
      </c>
      <c r="K321" s="44" t="s">
        <v>1468</v>
      </c>
      <c r="L321" s="39">
        <f t="shared" si="0"/>
        <v>1000</v>
      </c>
      <c r="M321" t="s">
        <v>1478</v>
      </c>
      <c r="O321" s="42">
        <v>1</v>
      </c>
    </row>
    <row r="322" spans="1:15" ht="15">
      <c r="A322" s="42">
        <v>4</v>
      </c>
      <c r="B322" s="43" t="s">
        <v>43</v>
      </c>
      <c r="C322" s="42">
        <v>4</v>
      </c>
      <c r="K322" s="44" t="s">
        <v>27</v>
      </c>
      <c r="L322" s="39">
        <f t="shared" si="0"/>
        <v>5000</v>
      </c>
      <c r="M322" t="s">
        <v>1481</v>
      </c>
      <c r="O322" s="42">
        <v>5</v>
      </c>
    </row>
    <row r="323" spans="1:15" ht="15">
      <c r="A323" s="42">
        <v>5</v>
      </c>
      <c r="B323" s="43" t="s">
        <v>27</v>
      </c>
      <c r="C323" s="42">
        <v>5</v>
      </c>
      <c r="K323" s="44" t="s">
        <v>1469</v>
      </c>
      <c r="L323" s="39">
        <f t="shared" si="0"/>
        <v>1000</v>
      </c>
      <c r="M323" t="s">
        <v>1482</v>
      </c>
      <c r="O323" s="42">
        <v>1</v>
      </c>
    </row>
    <row r="324" spans="1:15" ht="15">
      <c r="A324" s="42">
        <v>6</v>
      </c>
      <c r="B324" s="43" t="s">
        <v>373</v>
      </c>
      <c r="C324" s="42">
        <v>6</v>
      </c>
      <c r="K324" s="44" t="s">
        <v>1470</v>
      </c>
      <c r="L324" s="39">
        <f t="shared" si="0"/>
        <v>5000</v>
      </c>
      <c r="M324" t="s">
        <v>1483</v>
      </c>
      <c r="O324" s="42">
        <v>5</v>
      </c>
    </row>
    <row r="325" spans="1:15" ht="15">
      <c r="A325" s="42">
        <v>7</v>
      </c>
      <c r="B325" s="43" t="s">
        <v>206</v>
      </c>
      <c r="C325" s="42">
        <v>7</v>
      </c>
      <c r="K325" s="44" t="s">
        <v>1471</v>
      </c>
      <c r="L325" s="39">
        <f t="shared" si="0"/>
        <v>1000</v>
      </c>
      <c r="M325" t="s">
        <v>1484</v>
      </c>
      <c r="O325" s="42">
        <v>1</v>
      </c>
    </row>
    <row r="326" spans="1:15" ht="15">
      <c r="A326" s="42">
        <v>8</v>
      </c>
      <c r="B326" s="43" t="s">
        <v>260</v>
      </c>
      <c r="C326" s="42">
        <v>8</v>
      </c>
      <c r="K326" s="44" t="s">
        <v>1472</v>
      </c>
      <c r="L326" s="39">
        <f t="shared" si="0"/>
        <v>5000</v>
      </c>
      <c r="M326" t="s">
        <v>1480</v>
      </c>
      <c r="O326" s="42">
        <v>5</v>
      </c>
    </row>
    <row r="327" spans="1:15" ht="15">
      <c r="A327" s="42">
        <v>9</v>
      </c>
      <c r="B327" s="43" t="s">
        <v>501</v>
      </c>
      <c r="C327" s="42">
        <v>9</v>
      </c>
      <c r="K327" s="44" t="s">
        <v>1473</v>
      </c>
      <c r="L327" s="39">
        <f t="shared" si="0"/>
        <v>1000</v>
      </c>
      <c r="M327" t="s">
        <v>1485</v>
      </c>
      <c r="O327" s="42">
        <v>1</v>
      </c>
    </row>
    <row r="328" spans="1:15" ht="15">
      <c r="A328" s="42">
        <v>10</v>
      </c>
      <c r="B328" s="43" t="s">
        <v>166</v>
      </c>
      <c r="C328" s="42">
        <v>10</v>
      </c>
      <c r="K328" s="44" t="s">
        <v>1474</v>
      </c>
      <c r="L328" s="39">
        <f t="shared" si="0"/>
        <v>5000</v>
      </c>
      <c r="M328" t="s">
        <v>1486</v>
      </c>
      <c r="O328" s="42">
        <v>5</v>
      </c>
    </row>
    <row r="329" spans="1:15" ht="15">
      <c r="A329" s="42">
        <v>11</v>
      </c>
      <c r="B329" s="43" t="s">
        <v>81</v>
      </c>
      <c r="C329" s="42">
        <v>11</v>
      </c>
      <c r="K329" s="44" t="s">
        <v>162</v>
      </c>
      <c r="L329" s="39">
        <f t="shared" si="0"/>
        <v>100</v>
      </c>
      <c r="M329" t="s">
        <v>1487</v>
      </c>
      <c r="O329" s="42">
        <v>0.1</v>
      </c>
    </row>
    <row r="330" spans="1:15" ht="15">
      <c r="A330" s="42">
        <v>12</v>
      </c>
      <c r="B330" s="43" t="s">
        <v>162</v>
      </c>
      <c r="C330" s="42">
        <v>12</v>
      </c>
      <c r="K330" s="44" t="s">
        <v>79</v>
      </c>
      <c r="L330" s="39">
        <f t="shared" si="0"/>
        <v>1000</v>
      </c>
      <c r="M330" t="s">
        <v>1477</v>
      </c>
      <c r="O330" s="42">
        <v>1</v>
      </c>
    </row>
    <row r="331" spans="1:15" ht="15">
      <c r="A331" s="42"/>
      <c r="B331" s="43"/>
      <c r="C331" s="42"/>
      <c r="K331" s="44" t="s">
        <v>102</v>
      </c>
      <c r="L331" s="39">
        <f t="shared" si="0"/>
        <v>1000</v>
      </c>
      <c r="M331" t="s">
        <v>1477</v>
      </c>
      <c r="O331" s="40">
        <v>1</v>
      </c>
    </row>
    <row r="332" spans="1:15" ht="15">
      <c r="A332" s="42">
        <v>13</v>
      </c>
      <c r="B332" s="43" t="s">
        <v>79</v>
      </c>
      <c r="C332" s="42">
        <v>13</v>
      </c>
      <c r="K332" s="44" t="s">
        <v>117</v>
      </c>
      <c r="L332" s="39">
        <f t="shared" si="0"/>
        <v>5000</v>
      </c>
      <c r="M332" t="s">
        <v>1477</v>
      </c>
      <c r="O332" s="40">
        <v>5</v>
      </c>
    </row>
    <row r="333" spans="1:15" ht="15">
      <c r="A333" s="40">
        <v>14</v>
      </c>
      <c r="B333" s="43" t="s">
        <v>102</v>
      </c>
      <c r="C333" s="40">
        <v>14</v>
      </c>
      <c r="K333" s="41" t="s">
        <v>1463</v>
      </c>
      <c r="L333" s="39"/>
      <c r="M333" t="s">
        <v>1485</v>
      </c>
      <c r="O333" s="40"/>
    </row>
    <row r="334" spans="1:15" ht="15">
      <c r="A334" s="40">
        <v>15</v>
      </c>
      <c r="B334" s="43" t="s">
        <v>117</v>
      </c>
      <c r="C334" s="40">
        <v>15</v>
      </c>
      <c r="K334" s="44" t="s">
        <v>181</v>
      </c>
      <c r="L334" s="39">
        <f t="shared" ref="L334:L343" si="1">O334*1000</f>
        <v>600</v>
      </c>
      <c r="M334" t="s">
        <v>1488</v>
      </c>
      <c r="O334" s="40">
        <v>0.6</v>
      </c>
    </row>
    <row r="335" spans="1:15" ht="15">
      <c r="A335" s="40">
        <v>16</v>
      </c>
      <c r="B335" s="43" t="s">
        <v>360</v>
      </c>
      <c r="C335" s="40">
        <v>16</v>
      </c>
      <c r="K335" s="44" t="s">
        <v>217</v>
      </c>
      <c r="L335" s="39">
        <f t="shared" si="1"/>
        <v>2000</v>
      </c>
      <c r="M335" t="s">
        <v>1479</v>
      </c>
      <c r="O335" s="40">
        <v>2</v>
      </c>
    </row>
    <row r="336" spans="1:15" ht="15">
      <c r="A336" s="40"/>
      <c r="B336" s="43"/>
      <c r="C336" s="40"/>
      <c r="K336" s="44" t="s">
        <v>502</v>
      </c>
      <c r="L336" s="39">
        <f t="shared" si="1"/>
        <v>2000</v>
      </c>
      <c r="M336" t="s">
        <v>1477</v>
      </c>
      <c r="O336" s="40">
        <v>2</v>
      </c>
    </row>
    <row r="337" spans="1:15" ht="15">
      <c r="A337" s="13" t="s">
        <v>500</v>
      </c>
      <c r="B337" s="36" t="s">
        <v>962</v>
      </c>
      <c r="C337" s="13" t="s">
        <v>500</v>
      </c>
      <c r="K337" s="44" t="s">
        <v>503</v>
      </c>
      <c r="L337" s="39">
        <f t="shared" si="1"/>
        <v>130</v>
      </c>
      <c r="M337" t="s">
        <v>1477</v>
      </c>
      <c r="O337" s="40">
        <v>0.13</v>
      </c>
    </row>
    <row r="338" spans="1:15" ht="15">
      <c r="A338">
        <v>0</v>
      </c>
      <c r="B338" t="s">
        <v>582</v>
      </c>
      <c r="C338">
        <v>0</v>
      </c>
      <c r="K338" s="44" t="s">
        <v>238</v>
      </c>
      <c r="L338" s="39">
        <f t="shared" si="1"/>
        <v>355</v>
      </c>
      <c r="M338" t="s">
        <v>1477</v>
      </c>
      <c r="O338" s="40">
        <v>0.35499999999999998</v>
      </c>
    </row>
    <row r="339" spans="1:15" ht="15">
      <c r="A339">
        <v>1</v>
      </c>
      <c r="B339" t="s">
        <v>583</v>
      </c>
      <c r="C339">
        <v>1</v>
      </c>
      <c r="K339" s="44" t="s">
        <v>862</v>
      </c>
      <c r="L339" s="39">
        <f t="shared" si="1"/>
        <v>400</v>
      </c>
      <c r="M339" t="s">
        <v>1489</v>
      </c>
      <c r="O339" s="40">
        <v>0.4</v>
      </c>
    </row>
    <row r="340" spans="1:15" ht="15">
      <c r="A340" s="40"/>
      <c r="B340" s="43"/>
      <c r="C340" s="40"/>
      <c r="K340" s="44" t="s">
        <v>504</v>
      </c>
      <c r="L340" s="39">
        <f t="shared" si="1"/>
        <v>1000</v>
      </c>
      <c r="M340" t="s">
        <v>1477</v>
      </c>
      <c r="O340" s="40">
        <v>1</v>
      </c>
    </row>
    <row r="341" spans="1:15" ht="15">
      <c r="A341" s="13" t="s">
        <v>500</v>
      </c>
      <c r="B341" s="37" t="s">
        <v>963</v>
      </c>
      <c r="C341" s="13" t="s">
        <v>500</v>
      </c>
      <c r="K341" s="44" t="s">
        <v>119</v>
      </c>
      <c r="L341" s="39">
        <f t="shared" si="1"/>
        <v>500</v>
      </c>
      <c r="M341" t="s">
        <v>1490</v>
      </c>
      <c r="O341" s="40">
        <v>0.5</v>
      </c>
    </row>
    <row r="342" spans="1:15" ht="15">
      <c r="A342" s="40">
        <v>17</v>
      </c>
      <c r="B342" s="43" t="s">
        <v>181</v>
      </c>
      <c r="C342" s="40">
        <v>17</v>
      </c>
      <c r="H342" t="s">
        <v>607</v>
      </c>
      <c r="K342" s="44" t="s">
        <v>149</v>
      </c>
      <c r="L342" s="39">
        <f t="shared" si="1"/>
        <v>1000</v>
      </c>
      <c r="M342" t="s">
        <v>1491</v>
      </c>
      <c r="O342" s="40">
        <v>1</v>
      </c>
    </row>
    <row r="343" spans="1:15" ht="15">
      <c r="A343" s="40">
        <v>18</v>
      </c>
      <c r="B343" s="43" t="s">
        <v>217</v>
      </c>
      <c r="C343" s="40">
        <v>18</v>
      </c>
      <c r="K343" s="44" t="s">
        <v>585</v>
      </c>
      <c r="L343" s="39">
        <f t="shared" si="1"/>
        <v>500</v>
      </c>
      <c r="M343" t="s">
        <v>1492</v>
      </c>
      <c r="O343" s="40">
        <v>0.5</v>
      </c>
    </row>
    <row r="344" spans="1:15" ht="15">
      <c r="A344" s="40">
        <v>19</v>
      </c>
      <c r="B344" s="43" t="s">
        <v>502</v>
      </c>
      <c r="C344" s="40">
        <v>19</v>
      </c>
      <c r="K344" s="41" t="s">
        <v>900</v>
      </c>
      <c r="L344" s="39"/>
    </row>
    <row r="345" spans="1:15" ht="15">
      <c r="A345" s="40">
        <v>20</v>
      </c>
      <c r="B345" s="43" t="s">
        <v>503</v>
      </c>
      <c r="C345" s="40">
        <v>20</v>
      </c>
      <c r="K345" s="45" t="s">
        <v>587</v>
      </c>
      <c r="L345" s="39">
        <f>O345*1000</f>
        <v>800</v>
      </c>
      <c r="M345" t="s">
        <v>1493</v>
      </c>
      <c r="O345">
        <v>0.8</v>
      </c>
    </row>
    <row r="346" spans="1:15" ht="15">
      <c r="A346" s="40">
        <v>21</v>
      </c>
      <c r="B346" s="43" t="s">
        <v>238</v>
      </c>
      <c r="C346" s="40">
        <v>21</v>
      </c>
      <c r="K346" s="45" t="s">
        <v>61</v>
      </c>
      <c r="L346" s="39">
        <f t="shared" ref="L346:L359" si="2">O346*1000</f>
        <v>270</v>
      </c>
      <c r="M346" t="s">
        <v>1494</v>
      </c>
      <c r="O346">
        <v>0.27</v>
      </c>
    </row>
    <row r="347" spans="1:15" ht="15">
      <c r="A347" s="40">
        <v>22</v>
      </c>
      <c r="B347" s="43" t="s">
        <v>862</v>
      </c>
      <c r="C347" s="40">
        <v>22</v>
      </c>
      <c r="F347" s="46"/>
      <c r="G347" s="47"/>
      <c r="K347" s="45" t="s">
        <v>584</v>
      </c>
      <c r="L347" s="39">
        <f t="shared" si="2"/>
        <v>300</v>
      </c>
      <c r="M347" t="s">
        <v>1495</v>
      </c>
      <c r="O347">
        <v>0.3</v>
      </c>
    </row>
    <row r="348" spans="1:15" ht="15">
      <c r="A348" s="40">
        <v>23</v>
      </c>
      <c r="B348" s="43" t="s">
        <v>504</v>
      </c>
      <c r="C348" s="40">
        <v>23</v>
      </c>
      <c r="F348" s="40"/>
      <c r="G348" s="48"/>
      <c r="K348" s="45" t="s">
        <v>128</v>
      </c>
      <c r="L348" s="39">
        <f t="shared" si="2"/>
        <v>200</v>
      </c>
      <c r="M348" t="s">
        <v>1492</v>
      </c>
      <c r="O348">
        <v>0.2</v>
      </c>
    </row>
    <row r="349" spans="1:15" ht="15">
      <c r="A349" s="40">
        <v>24</v>
      </c>
      <c r="B349" s="43" t="s">
        <v>119</v>
      </c>
      <c r="C349" s="40">
        <v>24</v>
      </c>
      <c r="F349" s="40"/>
      <c r="G349" s="48"/>
      <c r="K349" s="49" t="s">
        <v>71</v>
      </c>
      <c r="L349" s="39">
        <f t="shared" si="2"/>
        <v>400</v>
      </c>
      <c r="M349" t="s">
        <v>1496</v>
      </c>
      <c r="O349">
        <v>0.4</v>
      </c>
    </row>
    <row r="350" spans="1:15" ht="15">
      <c r="A350" s="40">
        <v>25</v>
      </c>
      <c r="B350" s="43" t="s">
        <v>149</v>
      </c>
      <c r="C350" s="40">
        <v>25</v>
      </c>
      <c r="F350" s="40"/>
      <c r="G350" s="48"/>
      <c r="K350" s="49" t="s">
        <v>69</v>
      </c>
      <c r="L350" s="39">
        <f t="shared" si="2"/>
        <v>300</v>
      </c>
      <c r="M350" t="s">
        <v>1492</v>
      </c>
      <c r="O350">
        <v>0.3</v>
      </c>
    </row>
    <row r="351" spans="1:15" ht="15">
      <c r="A351" s="40">
        <v>26</v>
      </c>
      <c r="B351" s="43" t="s">
        <v>585</v>
      </c>
      <c r="C351" s="40">
        <v>26</v>
      </c>
      <c r="F351" s="40"/>
      <c r="G351" s="48"/>
      <c r="K351" s="49" t="s">
        <v>188</v>
      </c>
      <c r="L351" s="39">
        <f t="shared" si="2"/>
        <v>400</v>
      </c>
      <c r="M351" t="s">
        <v>1496</v>
      </c>
      <c r="O351">
        <v>0.4</v>
      </c>
    </row>
    <row r="352" spans="1:15">
      <c r="A352" s="40"/>
      <c r="B352" s="43"/>
      <c r="C352" s="40"/>
      <c r="F352" s="40"/>
      <c r="G352" s="48"/>
      <c r="K352" s="49" t="s">
        <v>136</v>
      </c>
      <c r="L352" s="39">
        <f t="shared" si="2"/>
        <v>400</v>
      </c>
      <c r="M352" t="s">
        <v>1497</v>
      </c>
      <c r="O352">
        <v>0.4</v>
      </c>
    </row>
    <row r="353" spans="1:15">
      <c r="F353" s="40"/>
      <c r="G353" s="48"/>
      <c r="K353" s="49" t="s">
        <v>137</v>
      </c>
      <c r="L353" s="39">
        <f t="shared" si="2"/>
        <v>800</v>
      </c>
      <c r="M353" t="s">
        <v>1493</v>
      </c>
      <c r="O353">
        <v>0.8</v>
      </c>
    </row>
    <row r="354" spans="1:15">
      <c r="A354" s="13" t="s">
        <v>856</v>
      </c>
      <c r="B354" s="37" t="s">
        <v>959</v>
      </c>
      <c r="C354" s="13" t="s">
        <v>856</v>
      </c>
      <c r="F354" s="40"/>
      <c r="G354" s="48"/>
      <c r="K354" s="49" t="s">
        <v>208</v>
      </c>
      <c r="L354" s="39">
        <f t="shared" si="2"/>
        <v>500</v>
      </c>
      <c r="M354" t="s">
        <v>1496</v>
      </c>
      <c r="O354">
        <v>0.5</v>
      </c>
    </row>
    <row r="355" spans="1:15">
      <c r="A355" s="40"/>
      <c r="B355" s="3"/>
      <c r="C355" s="40"/>
      <c r="F355" s="40"/>
      <c r="G355" s="48"/>
      <c r="K355" s="49" t="s">
        <v>97</v>
      </c>
      <c r="L355" s="39">
        <f t="shared" si="2"/>
        <v>200</v>
      </c>
      <c r="M355" t="s">
        <v>1498</v>
      </c>
      <c r="O355">
        <v>0.2</v>
      </c>
    </row>
    <row r="356" spans="1:15">
      <c r="A356" s="42"/>
      <c r="B356" s="42">
        <v>0</v>
      </c>
      <c r="C356" s="42"/>
      <c r="F356" s="40"/>
      <c r="G356" s="48"/>
      <c r="K356" s="49" t="s">
        <v>35</v>
      </c>
      <c r="L356" s="39">
        <f t="shared" si="2"/>
        <v>400</v>
      </c>
      <c r="M356" t="s">
        <v>1492</v>
      </c>
      <c r="O356">
        <v>0.4</v>
      </c>
    </row>
    <row r="357" spans="1:15">
      <c r="A357" s="42">
        <v>1</v>
      </c>
      <c r="B357" s="42">
        <v>1</v>
      </c>
      <c r="C357" s="42">
        <v>1</v>
      </c>
      <c r="F357" s="40"/>
      <c r="G357" s="48"/>
      <c r="K357" s="49" t="s">
        <v>427</v>
      </c>
      <c r="L357" s="39">
        <f t="shared" si="2"/>
        <v>100</v>
      </c>
      <c r="M357" t="s">
        <v>1499</v>
      </c>
      <c r="O357">
        <v>0.1</v>
      </c>
    </row>
    <row r="358" spans="1:15">
      <c r="A358" s="42">
        <v>5</v>
      </c>
      <c r="B358" s="42">
        <v>2</v>
      </c>
      <c r="C358" s="42">
        <v>5</v>
      </c>
      <c r="F358" s="40"/>
      <c r="G358" s="48"/>
      <c r="K358" s="49" t="s">
        <v>384</v>
      </c>
      <c r="L358" s="39">
        <f t="shared" si="2"/>
        <v>500</v>
      </c>
      <c r="O358">
        <v>0.5</v>
      </c>
    </row>
    <row r="359" spans="1:15">
      <c r="A359" s="42">
        <v>5</v>
      </c>
      <c r="B359" s="42">
        <v>3</v>
      </c>
      <c r="C359" s="42">
        <v>5</v>
      </c>
      <c r="F359" s="40"/>
      <c r="G359" s="48"/>
      <c r="K359" s="49" t="s">
        <v>292</v>
      </c>
      <c r="L359" s="39">
        <f t="shared" si="2"/>
        <v>500</v>
      </c>
      <c r="O359">
        <v>0.5</v>
      </c>
    </row>
    <row r="360" spans="1:15">
      <c r="A360" s="42">
        <v>1</v>
      </c>
      <c r="B360" s="42">
        <v>4</v>
      </c>
      <c r="C360" s="42">
        <v>1</v>
      </c>
      <c r="F360" s="40"/>
      <c r="G360" s="48"/>
    </row>
    <row r="361" spans="1:15">
      <c r="A361" s="42">
        <v>5</v>
      </c>
      <c r="B361" s="42">
        <v>5</v>
      </c>
      <c r="C361" s="42">
        <v>5</v>
      </c>
      <c r="F361" s="50"/>
      <c r="G361" s="48"/>
    </row>
    <row r="362" spans="1:15">
      <c r="A362" s="42">
        <v>1</v>
      </c>
      <c r="B362" s="42">
        <v>6</v>
      </c>
      <c r="C362" s="42">
        <v>1</v>
      </c>
      <c r="F362" s="50"/>
      <c r="G362" s="48"/>
    </row>
    <row r="363" spans="1:15">
      <c r="A363" s="42">
        <v>5</v>
      </c>
      <c r="B363" s="42">
        <v>7</v>
      </c>
      <c r="C363" s="42">
        <v>5</v>
      </c>
      <c r="F363" s="50"/>
      <c r="G363" s="48"/>
    </row>
    <row r="364" spans="1:15">
      <c r="A364" s="42">
        <v>1</v>
      </c>
      <c r="B364" s="42">
        <v>8</v>
      </c>
      <c r="C364" s="42">
        <v>1</v>
      </c>
      <c r="F364" s="50"/>
      <c r="G364" s="48"/>
    </row>
    <row r="365" spans="1:15">
      <c r="A365" s="42">
        <v>5</v>
      </c>
      <c r="B365" s="42">
        <v>9</v>
      </c>
      <c r="C365" s="42">
        <v>5</v>
      </c>
      <c r="F365" s="50"/>
      <c r="G365" s="48"/>
    </row>
    <row r="366" spans="1:15">
      <c r="A366" s="42">
        <v>1</v>
      </c>
      <c r="B366" s="42">
        <v>10</v>
      </c>
      <c r="C366" s="42">
        <v>1</v>
      </c>
      <c r="F366" s="50"/>
      <c r="G366" s="48"/>
    </row>
    <row r="367" spans="1:15">
      <c r="A367" s="42">
        <v>5</v>
      </c>
      <c r="B367" s="42">
        <v>11</v>
      </c>
      <c r="C367" s="42">
        <v>5</v>
      </c>
      <c r="F367" s="50"/>
      <c r="G367" s="48"/>
    </row>
    <row r="368" spans="1:15">
      <c r="A368" s="42">
        <v>0.1</v>
      </c>
      <c r="B368" s="42">
        <v>12</v>
      </c>
      <c r="C368" s="42">
        <v>0.1</v>
      </c>
      <c r="F368" s="50"/>
      <c r="G368" s="48"/>
    </row>
    <row r="369" spans="1:7">
      <c r="A369" s="42">
        <v>1</v>
      </c>
      <c r="B369" s="42">
        <v>13</v>
      </c>
      <c r="C369" s="42">
        <v>1</v>
      </c>
      <c r="F369" s="50"/>
      <c r="G369" s="48"/>
    </row>
    <row r="370" spans="1:7">
      <c r="A370" s="40">
        <v>1</v>
      </c>
      <c r="B370" s="40">
        <v>14</v>
      </c>
      <c r="C370" s="40">
        <v>1</v>
      </c>
      <c r="F370" s="50"/>
      <c r="G370" s="48"/>
    </row>
    <row r="371" spans="1:7">
      <c r="A371" s="40">
        <v>5</v>
      </c>
      <c r="B371" s="40">
        <v>15</v>
      </c>
      <c r="C371" s="40">
        <v>5</v>
      </c>
      <c r="F371" s="50"/>
      <c r="G371" s="48"/>
    </row>
    <row r="372" spans="1:7">
      <c r="A372" s="40">
        <v>1</v>
      </c>
      <c r="B372" s="40">
        <v>16</v>
      </c>
      <c r="C372" s="40">
        <v>1</v>
      </c>
      <c r="F372" s="50"/>
      <c r="G372" s="48"/>
    </row>
    <row r="373" spans="1:7">
      <c r="A373" s="40">
        <v>0.6</v>
      </c>
      <c r="B373" s="40">
        <v>17</v>
      </c>
      <c r="C373" s="40">
        <v>0.6</v>
      </c>
      <c r="F373" s="40"/>
      <c r="G373" s="48"/>
    </row>
    <row r="374" spans="1:7">
      <c r="A374" s="40">
        <v>2</v>
      </c>
      <c r="B374" s="40">
        <v>18</v>
      </c>
      <c r="C374" s="40">
        <v>2</v>
      </c>
      <c r="F374" s="40"/>
      <c r="G374" s="48"/>
    </row>
    <row r="375" spans="1:7">
      <c r="A375" s="40">
        <v>2</v>
      </c>
      <c r="B375" s="40">
        <v>19</v>
      </c>
      <c r="C375" s="40">
        <v>2</v>
      </c>
      <c r="F375" s="40"/>
      <c r="G375" s="48"/>
    </row>
    <row r="376" spans="1:7">
      <c r="A376" s="40">
        <v>0.13</v>
      </c>
      <c r="B376" s="40">
        <v>20</v>
      </c>
      <c r="C376" s="40">
        <v>0.13</v>
      </c>
      <c r="F376" s="40"/>
      <c r="G376" s="48"/>
    </row>
    <row r="377" spans="1:7">
      <c r="A377" s="40">
        <v>0.35499999999999998</v>
      </c>
      <c r="B377" s="40">
        <v>21</v>
      </c>
      <c r="C377" s="40">
        <v>0.35499999999999998</v>
      </c>
      <c r="F377" s="40"/>
      <c r="G377" s="48"/>
    </row>
    <row r="378" spans="1:7">
      <c r="A378" s="40">
        <v>0.4</v>
      </c>
      <c r="B378" s="40">
        <v>22</v>
      </c>
      <c r="C378" s="40">
        <v>0.4</v>
      </c>
      <c r="D378" t="s">
        <v>860</v>
      </c>
      <c r="F378" s="40"/>
      <c r="G378" s="48"/>
    </row>
    <row r="379" spans="1:7">
      <c r="A379" s="40">
        <v>1</v>
      </c>
      <c r="B379" s="40">
        <v>23</v>
      </c>
      <c r="C379" s="40">
        <v>1</v>
      </c>
      <c r="F379" s="40"/>
      <c r="G379" s="48"/>
    </row>
    <row r="380" spans="1:7">
      <c r="A380" s="40">
        <v>0.5</v>
      </c>
      <c r="B380" s="40">
        <v>24</v>
      </c>
      <c r="C380" s="40">
        <v>0.5</v>
      </c>
      <c r="F380" s="40"/>
      <c r="G380" s="48"/>
    </row>
    <row r="381" spans="1:7">
      <c r="A381" s="40">
        <v>1</v>
      </c>
      <c r="B381" s="40">
        <v>25</v>
      </c>
      <c r="C381" s="40">
        <v>1</v>
      </c>
      <c r="F381" s="40"/>
      <c r="G381" s="48"/>
    </row>
    <row r="382" spans="1:7">
      <c r="A382" s="40">
        <v>0.5</v>
      </c>
      <c r="B382" s="40">
        <v>26</v>
      </c>
      <c r="C382" s="40">
        <v>0.5</v>
      </c>
      <c r="F382" s="40"/>
      <c r="G382" s="48"/>
    </row>
    <row r="383" spans="1:7">
      <c r="B383" s="40"/>
      <c r="F383" s="40"/>
      <c r="G383" s="48"/>
    </row>
    <row r="384" spans="1:7">
      <c r="B384" s="40"/>
      <c r="F384" s="40"/>
      <c r="G384" s="48"/>
    </row>
    <row r="385" spans="1:7">
      <c r="A385" s="13" t="s">
        <v>500</v>
      </c>
      <c r="B385" s="36" t="s">
        <v>964</v>
      </c>
      <c r="C385" s="13" t="s">
        <v>500</v>
      </c>
      <c r="F385" s="40"/>
      <c r="G385" s="48"/>
    </row>
    <row r="386" spans="1:7">
      <c r="A386">
        <v>0</v>
      </c>
      <c r="B386" t="s">
        <v>582</v>
      </c>
      <c r="C386">
        <v>0</v>
      </c>
      <c r="F386" s="40"/>
      <c r="G386" s="48"/>
    </row>
    <row r="387" spans="1:7">
      <c r="A387">
        <v>1</v>
      </c>
      <c r="B387" t="s">
        <v>583</v>
      </c>
      <c r="C387">
        <v>1</v>
      </c>
      <c r="F387" s="40"/>
      <c r="G387" s="48"/>
    </row>
    <row r="388" spans="1:7">
      <c r="F388" s="40"/>
      <c r="G388" s="48"/>
    </row>
    <row r="389" spans="1:7">
      <c r="F389" s="40"/>
      <c r="G389" s="48"/>
    </row>
    <row r="390" spans="1:7">
      <c r="A390" s="13" t="s">
        <v>500</v>
      </c>
      <c r="B390" s="36" t="s">
        <v>586</v>
      </c>
      <c r="C390" s="13" t="s">
        <v>500</v>
      </c>
      <c r="F390" s="40"/>
      <c r="G390" s="48"/>
    </row>
    <row r="391" spans="1:7">
      <c r="A391">
        <v>0</v>
      </c>
      <c r="B391" t="s">
        <v>582</v>
      </c>
      <c r="C391">
        <v>0</v>
      </c>
      <c r="F391" s="40"/>
      <c r="G391" s="48"/>
    </row>
    <row r="392" spans="1:7">
      <c r="A392">
        <v>1</v>
      </c>
      <c r="B392" t="s">
        <v>587</v>
      </c>
      <c r="C392">
        <v>1</v>
      </c>
      <c r="E392">
        <v>27</v>
      </c>
    </row>
    <row r="393" spans="1:7">
      <c r="A393">
        <v>2</v>
      </c>
      <c r="B393" t="s">
        <v>61</v>
      </c>
      <c r="C393">
        <v>2</v>
      </c>
      <c r="E393">
        <v>28</v>
      </c>
    </row>
    <row r="394" spans="1:7">
      <c r="A394">
        <v>3</v>
      </c>
      <c r="B394" t="s">
        <v>584</v>
      </c>
      <c r="C394">
        <v>3</v>
      </c>
      <c r="E394">
        <v>29</v>
      </c>
    </row>
    <row r="395" spans="1:7">
      <c r="A395">
        <v>4</v>
      </c>
      <c r="B395" t="s">
        <v>128</v>
      </c>
      <c r="C395">
        <v>4</v>
      </c>
      <c r="E395">
        <v>30</v>
      </c>
    </row>
    <row r="396" spans="1:7">
      <c r="A396">
        <v>5</v>
      </c>
      <c r="B396" s="48" t="s">
        <v>71</v>
      </c>
      <c r="C396">
        <v>5</v>
      </c>
      <c r="E396">
        <v>31</v>
      </c>
    </row>
    <row r="397" spans="1:7">
      <c r="A397">
        <v>6</v>
      </c>
      <c r="B397" s="48" t="s">
        <v>69</v>
      </c>
      <c r="C397">
        <v>6</v>
      </c>
      <c r="E397">
        <v>32</v>
      </c>
    </row>
    <row r="398" spans="1:7">
      <c r="A398">
        <v>7</v>
      </c>
      <c r="B398" s="48" t="s">
        <v>188</v>
      </c>
      <c r="C398">
        <v>7</v>
      </c>
      <c r="E398">
        <v>33</v>
      </c>
    </row>
    <row r="399" spans="1:7">
      <c r="A399">
        <v>8</v>
      </c>
      <c r="B399" s="48" t="s">
        <v>136</v>
      </c>
      <c r="C399">
        <v>8</v>
      </c>
      <c r="E399">
        <v>34</v>
      </c>
    </row>
    <row r="400" spans="1:7">
      <c r="A400">
        <v>9</v>
      </c>
      <c r="B400" s="48" t="s">
        <v>137</v>
      </c>
      <c r="C400">
        <v>9</v>
      </c>
      <c r="E400">
        <v>35</v>
      </c>
    </row>
    <row r="401" spans="1:7">
      <c r="A401">
        <v>10</v>
      </c>
      <c r="B401" s="48" t="s">
        <v>208</v>
      </c>
      <c r="C401">
        <v>10</v>
      </c>
      <c r="E401">
        <v>36</v>
      </c>
    </row>
    <row r="402" spans="1:7">
      <c r="A402">
        <v>11</v>
      </c>
      <c r="B402" s="48" t="s">
        <v>97</v>
      </c>
      <c r="C402">
        <v>11</v>
      </c>
      <c r="E402">
        <v>37</v>
      </c>
    </row>
    <row r="403" spans="1:7">
      <c r="A403">
        <v>12</v>
      </c>
      <c r="B403" s="48" t="s">
        <v>35</v>
      </c>
      <c r="C403">
        <v>12</v>
      </c>
      <c r="E403">
        <v>38</v>
      </c>
    </row>
    <row r="404" spans="1:7">
      <c r="A404">
        <v>13</v>
      </c>
      <c r="B404" s="48" t="s">
        <v>427</v>
      </c>
      <c r="C404">
        <v>13</v>
      </c>
      <c r="E404">
        <v>39</v>
      </c>
    </row>
    <row r="405" spans="1:7">
      <c r="A405">
        <v>14</v>
      </c>
      <c r="B405" s="48" t="s">
        <v>384</v>
      </c>
      <c r="C405">
        <v>14</v>
      </c>
      <c r="E405">
        <v>40</v>
      </c>
    </row>
    <row r="406" spans="1:7">
      <c r="A406">
        <v>15</v>
      </c>
      <c r="B406" s="48" t="s">
        <v>292</v>
      </c>
      <c r="C406">
        <v>15</v>
      </c>
      <c r="D406" s="48" t="s">
        <v>911</v>
      </c>
      <c r="E406">
        <v>41</v>
      </c>
    </row>
    <row r="407" spans="1:7">
      <c r="A407">
        <v>16</v>
      </c>
      <c r="B407" s="48" t="s">
        <v>912</v>
      </c>
      <c r="C407">
        <v>16</v>
      </c>
      <c r="E407">
        <v>42</v>
      </c>
    </row>
    <row r="408" spans="1:7">
      <c r="B408" s="48"/>
    </row>
    <row r="409" spans="1:7">
      <c r="B409" s="48"/>
      <c r="D409" s="48"/>
    </row>
    <row r="411" spans="1:7">
      <c r="A411" s="13" t="s">
        <v>856</v>
      </c>
      <c r="B411" s="36" t="s">
        <v>586</v>
      </c>
      <c r="C411" s="13" t="s">
        <v>856</v>
      </c>
      <c r="F411" s="40"/>
      <c r="G411" s="48"/>
    </row>
    <row r="412" spans="1:7">
      <c r="B412">
        <v>0</v>
      </c>
      <c r="F412" s="40"/>
      <c r="G412" s="48"/>
    </row>
    <row r="413" spans="1:7">
      <c r="A413">
        <v>0.8</v>
      </c>
      <c r="B413">
        <v>1</v>
      </c>
      <c r="C413">
        <v>0.8</v>
      </c>
    </row>
    <row r="414" spans="1:7">
      <c r="A414">
        <v>0.27</v>
      </c>
      <c r="B414">
        <v>2</v>
      </c>
      <c r="C414">
        <v>0.27</v>
      </c>
      <c r="D414" t="s">
        <v>858</v>
      </c>
    </row>
    <row r="415" spans="1:7">
      <c r="A415">
        <v>0.3</v>
      </c>
      <c r="B415">
        <v>3</v>
      </c>
      <c r="C415">
        <v>0.3</v>
      </c>
    </row>
    <row r="416" spans="1:7">
      <c r="A416">
        <v>0.2</v>
      </c>
      <c r="B416">
        <v>4</v>
      </c>
      <c r="C416">
        <v>0.2</v>
      </c>
    </row>
    <row r="417" spans="1:4">
      <c r="A417">
        <v>0.4</v>
      </c>
      <c r="B417">
        <v>5</v>
      </c>
      <c r="C417">
        <v>0.4</v>
      </c>
    </row>
    <row r="418" spans="1:4">
      <c r="A418">
        <v>0.3</v>
      </c>
      <c r="B418">
        <v>6</v>
      </c>
      <c r="C418">
        <v>0.3</v>
      </c>
    </row>
    <row r="419" spans="1:4">
      <c r="A419">
        <v>0.4</v>
      </c>
      <c r="B419">
        <v>7</v>
      </c>
      <c r="C419">
        <v>0.4</v>
      </c>
    </row>
    <row r="420" spans="1:4">
      <c r="A420">
        <v>0.4</v>
      </c>
      <c r="B420">
        <v>8</v>
      </c>
      <c r="C420">
        <v>0.4</v>
      </c>
    </row>
    <row r="421" spans="1:4">
      <c r="A421">
        <v>0.8</v>
      </c>
      <c r="B421">
        <v>9</v>
      </c>
      <c r="C421">
        <v>0.8</v>
      </c>
    </row>
    <row r="422" spans="1:4">
      <c r="A422">
        <v>0.5</v>
      </c>
      <c r="B422">
        <v>10</v>
      </c>
      <c r="C422">
        <v>0.5</v>
      </c>
    </row>
    <row r="423" spans="1:4">
      <c r="A423">
        <v>0.2</v>
      </c>
      <c r="B423">
        <v>11</v>
      </c>
      <c r="C423">
        <v>0.2</v>
      </c>
      <c r="D423" t="s">
        <v>859</v>
      </c>
    </row>
    <row r="424" spans="1:4">
      <c r="A424">
        <v>0.4</v>
      </c>
      <c r="B424">
        <v>12</v>
      </c>
      <c r="C424">
        <v>0.4</v>
      </c>
    </row>
    <row r="425" spans="1:4">
      <c r="A425">
        <v>0.1</v>
      </c>
      <c r="B425">
        <v>13</v>
      </c>
      <c r="C425">
        <v>0.1</v>
      </c>
    </row>
    <row r="426" spans="1:4">
      <c r="A426">
        <v>0.5</v>
      </c>
      <c r="B426">
        <v>14</v>
      </c>
      <c r="C426">
        <v>0.5</v>
      </c>
    </row>
    <row r="427" spans="1:4">
      <c r="A427">
        <v>0.5</v>
      </c>
      <c r="B427">
        <v>15</v>
      </c>
      <c r="C427">
        <v>0.5</v>
      </c>
    </row>
    <row r="428" spans="1:4">
      <c r="B428">
        <v>16</v>
      </c>
    </row>
    <row r="430" spans="1:4">
      <c r="A430" s="13" t="s">
        <v>500</v>
      </c>
      <c r="B430" s="36" t="s">
        <v>982</v>
      </c>
      <c r="C430" s="13" t="s">
        <v>500</v>
      </c>
    </row>
    <row r="431" spans="1:4">
      <c r="A431">
        <v>0</v>
      </c>
      <c r="B431" t="s">
        <v>582</v>
      </c>
      <c r="C431">
        <v>0</v>
      </c>
    </row>
    <row r="432" spans="1:4">
      <c r="A432">
        <v>1</v>
      </c>
      <c r="B432" t="s">
        <v>583</v>
      </c>
      <c r="C432">
        <v>1</v>
      </c>
    </row>
    <row r="434" spans="1:13">
      <c r="A434" s="13" t="s">
        <v>500</v>
      </c>
      <c r="B434" s="36" t="s">
        <v>985</v>
      </c>
      <c r="C434" s="13" t="s">
        <v>500</v>
      </c>
    </row>
    <row r="435" spans="1:13">
      <c r="A435">
        <v>0</v>
      </c>
      <c r="B435" t="s">
        <v>582</v>
      </c>
      <c r="C435">
        <v>0</v>
      </c>
    </row>
    <row r="436" spans="1:13">
      <c r="A436">
        <v>1</v>
      </c>
      <c r="B436" t="s">
        <v>583</v>
      </c>
      <c r="C436">
        <v>1</v>
      </c>
    </row>
    <row r="438" spans="1:13">
      <c r="A438" s="13" t="s">
        <v>500</v>
      </c>
      <c r="B438" s="36" t="s">
        <v>588</v>
      </c>
      <c r="C438" s="13" t="s">
        <v>500</v>
      </c>
      <c r="D438" t="s">
        <v>856</v>
      </c>
      <c r="H438" t="s">
        <v>1435</v>
      </c>
      <c r="K438" s="51" t="s">
        <v>588</v>
      </c>
      <c r="L438" s="39" t="s">
        <v>1449</v>
      </c>
      <c r="M438" s="39"/>
    </row>
    <row r="439" spans="1:13">
      <c r="A439" s="3">
        <v>0</v>
      </c>
      <c r="B439" t="s">
        <v>582</v>
      </c>
      <c r="C439" s="3">
        <v>0</v>
      </c>
      <c r="D439" s="40">
        <v>0</v>
      </c>
      <c r="H439" t="s">
        <v>1436</v>
      </c>
      <c r="K439" s="39" t="s">
        <v>582</v>
      </c>
      <c r="L439" s="52">
        <v>0</v>
      </c>
      <c r="M439" s="39" t="s">
        <v>1456</v>
      </c>
    </row>
    <row r="440" spans="1:13">
      <c r="A440" s="3">
        <v>1</v>
      </c>
      <c r="B440" s="3" t="s">
        <v>30</v>
      </c>
      <c r="C440" s="3">
        <v>1</v>
      </c>
      <c r="D440">
        <v>0.13</v>
      </c>
      <c r="H440" t="s">
        <v>1437</v>
      </c>
      <c r="K440" s="38" t="s">
        <v>30</v>
      </c>
      <c r="L440" s="39">
        <v>0.13</v>
      </c>
      <c r="M440" s="39" t="s">
        <v>1457</v>
      </c>
    </row>
    <row r="441" spans="1:13">
      <c r="A441" s="3">
        <v>2</v>
      </c>
      <c r="B441" s="3" t="s">
        <v>55</v>
      </c>
      <c r="C441" s="3">
        <v>2</v>
      </c>
      <c r="D441">
        <v>0.1</v>
      </c>
      <c r="H441" t="s">
        <v>1438</v>
      </c>
      <c r="K441" s="38" t="s">
        <v>55</v>
      </c>
      <c r="L441" s="39">
        <v>0.1</v>
      </c>
      <c r="M441" s="39" t="s">
        <v>1458</v>
      </c>
    </row>
    <row r="442" spans="1:13">
      <c r="A442" s="3">
        <v>3</v>
      </c>
      <c r="B442" s="3" t="s">
        <v>59</v>
      </c>
      <c r="C442" s="3">
        <v>3</v>
      </c>
      <c r="D442">
        <v>0.08</v>
      </c>
      <c r="H442" t="s">
        <v>1439</v>
      </c>
      <c r="K442" s="38" t="s">
        <v>59</v>
      </c>
      <c r="L442" s="39">
        <v>0.08</v>
      </c>
      <c r="M442" s="39" t="s">
        <v>1450</v>
      </c>
    </row>
    <row r="443" spans="1:13">
      <c r="A443" s="3">
        <v>4</v>
      </c>
      <c r="B443" s="3" t="s">
        <v>37</v>
      </c>
      <c r="C443" s="3">
        <v>4</v>
      </c>
      <c r="D443">
        <v>0.05</v>
      </c>
      <c r="H443" t="s">
        <v>1440</v>
      </c>
      <c r="K443" s="38" t="s">
        <v>37</v>
      </c>
      <c r="L443" s="39">
        <v>0.05</v>
      </c>
      <c r="M443" s="39" t="s">
        <v>1451</v>
      </c>
    </row>
    <row r="444" spans="1:13">
      <c r="A444" s="3">
        <v>5</v>
      </c>
      <c r="B444" s="3" t="s">
        <v>599</v>
      </c>
      <c r="C444" s="3">
        <v>5</v>
      </c>
      <c r="D444">
        <v>0.06</v>
      </c>
      <c r="H444" t="s">
        <v>1441</v>
      </c>
      <c r="K444" s="38" t="s">
        <v>599</v>
      </c>
      <c r="L444" s="39">
        <v>0.06</v>
      </c>
      <c r="M444" s="39" t="s">
        <v>1459</v>
      </c>
    </row>
    <row r="445" spans="1:13">
      <c r="A445" s="3">
        <v>6</v>
      </c>
      <c r="B445" s="3" t="s">
        <v>598</v>
      </c>
      <c r="C445" s="3">
        <v>6</v>
      </c>
      <c r="D445">
        <v>0.04</v>
      </c>
      <c r="H445" t="s">
        <v>1442</v>
      </c>
      <c r="K445" s="38" t="s">
        <v>598</v>
      </c>
      <c r="L445" s="39">
        <v>0.04</v>
      </c>
      <c r="M445" s="39" t="s">
        <v>1452</v>
      </c>
    </row>
    <row r="446" spans="1:13">
      <c r="A446" s="3">
        <v>7</v>
      </c>
      <c r="B446" s="3" t="s">
        <v>600</v>
      </c>
      <c r="C446" s="3">
        <v>7</v>
      </c>
      <c r="D446">
        <v>0.23</v>
      </c>
      <c r="H446" t="s">
        <v>1443</v>
      </c>
      <c r="K446" s="38" t="s">
        <v>600</v>
      </c>
      <c r="L446" s="39">
        <v>0.23</v>
      </c>
      <c r="M446" s="39" t="s">
        <v>1453</v>
      </c>
    </row>
    <row r="447" spans="1:13">
      <c r="A447" s="3">
        <v>8</v>
      </c>
      <c r="B447" s="3" t="s">
        <v>601</v>
      </c>
      <c r="C447" s="3">
        <v>8</v>
      </c>
      <c r="D447">
        <v>0.16</v>
      </c>
      <c r="H447" t="s">
        <v>1444</v>
      </c>
      <c r="K447" s="38" t="s">
        <v>601</v>
      </c>
      <c r="L447" s="39">
        <v>0.16</v>
      </c>
      <c r="M447" s="39" t="s">
        <v>1454</v>
      </c>
    </row>
    <row r="448" spans="1:13">
      <c r="A448" s="3">
        <v>9</v>
      </c>
      <c r="B448" s="3" t="s">
        <v>602</v>
      </c>
      <c r="C448" s="3">
        <v>9</v>
      </c>
      <c r="D448">
        <v>0.09</v>
      </c>
      <c r="H448" t="s">
        <v>1445</v>
      </c>
      <c r="K448" s="38" t="s">
        <v>602</v>
      </c>
      <c r="L448" s="39">
        <v>0.09</v>
      </c>
      <c r="M448" s="39" t="s">
        <v>1455</v>
      </c>
    </row>
    <row r="449" spans="1:13">
      <c r="A449" s="3">
        <v>10</v>
      </c>
      <c r="B449" s="3" t="s">
        <v>861</v>
      </c>
      <c r="C449" s="3">
        <v>10</v>
      </c>
      <c r="D449">
        <v>0.04</v>
      </c>
      <c r="H449" t="s">
        <v>1446</v>
      </c>
      <c r="K449" s="38" t="s">
        <v>861</v>
      </c>
      <c r="L449" s="39">
        <v>0.04</v>
      </c>
      <c r="M449" s="39" t="s">
        <v>1460</v>
      </c>
    </row>
    <row r="450" spans="1:13">
      <c r="A450" s="3">
        <v>11</v>
      </c>
      <c r="B450" s="3" t="s">
        <v>603</v>
      </c>
      <c r="C450" s="3">
        <v>11</v>
      </c>
      <c r="D450">
        <v>0.16</v>
      </c>
      <c r="H450" t="s">
        <v>1447</v>
      </c>
      <c r="K450" s="38" t="s">
        <v>603</v>
      </c>
      <c r="L450" s="39">
        <v>0.16</v>
      </c>
      <c r="M450" s="39" t="s">
        <v>1461</v>
      </c>
    </row>
    <row r="451" spans="1:13">
      <c r="A451" s="3">
        <v>12</v>
      </c>
      <c r="B451" s="3" t="s">
        <v>606</v>
      </c>
      <c r="C451" s="3">
        <v>12</v>
      </c>
      <c r="D451">
        <v>0.08</v>
      </c>
      <c r="H451" t="s">
        <v>1448</v>
      </c>
      <c r="K451" s="38" t="s">
        <v>606</v>
      </c>
      <c r="L451" s="39">
        <v>0.08</v>
      </c>
      <c r="M451" s="39" t="s">
        <v>1462</v>
      </c>
    </row>
    <row r="452" spans="1:13">
      <c r="A452" s="3">
        <v>13</v>
      </c>
      <c r="B452" s="3" t="s">
        <v>239</v>
      </c>
      <c r="C452" s="3">
        <v>13</v>
      </c>
      <c r="D452">
        <v>0.05</v>
      </c>
      <c r="K452" s="38" t="s">
        <v>239</v>
      </c>
      <c r="L452" s="39">
        <v>0.05</v>
      </c>
      <c r="M452" s="39" t="s">
        <v>1453</v>
      </c>
    </row>
    <row r="453" spans="1:13">
      <c r="A453" s="3">
        <v>14</v>
      </c>
      <c r="B453" s="3" t="s">
        <v>604</v>
      </c>
      <c r="C453" s="3">
        <v>14</v>
      </c>
      <c r="D453">
        <v>0.1</v>
      </c>
      <c r="K453" s="3" t="s">
        <v>604</v>
      </c>
      <c r="L453">
        <v>0.1</v>
      </c>
    </row>
    <row r="454" spans="1:13">
      <c r="A454" s="3">
        <v>15</v>
      </c>
      <c r="B454" s="3" t="s">
        <v>605</v>
      </c>
      <c r="C454" s="3">
        <v>15</v>
      </c>
      <c r="D454">
        <v>0</v>
      </c>
      <c r="K454" s="3" t="s">
        <v>605</v>
      </c>
      <c r="L454">
        <v>0</v>
      </c>
    </row>
    <row r="456" spans="1:13">
      <c r="A456" s="13" t="s">
        <v>856</v>
      </c>
      <c r="B456" s="36" t="s">
        <v>588</v>
      </c>
      <c r="C456" s="13" t="s">
        <v>856</v>
      </c>
    </row>
    <row r="457" spans="1:13">
      <c r="A457" s="40">
        <v>0</v>
      </c>
      <c r="B457" s="3">
        <v>0</v>
      </c>
      <c r="C457" s="40">
        <v>0</v>
      </c>
    </row>
    <row r="458" spans="1:13">
      <c r="A458">
        <v>0.13</v>
      </c>
      <c r="B458" s="3">
        <v>1</v>
      </c>
      <c r="C458">
        <v>0.13</v>
      </c>
    </row>
    <row r="459" spans="1:13">
      <c r="A459">
        <v>0.1</v>
      </c>
      <c r="B459" s="3">
        <v>2</v>
      </c>
      <c r="C459">
        <v>0.1</v>
      </c>
    </row>
    <row r="460" spans="1:13">
      <c r="A460">
        <v>0.08</v>
      </c>
      <c r="B460" s="3">
        <v>3</v>
      </c>
      <c r="C460">
        <v>0.08</v>
      </c>
    </row>
    <row r="461" spans="1:13">
      <c r="A461">
        <v>0.05</v>
      </c>
      <c r="B461" s="3">
        <v>4</v>
      </c>
      <c r="C461">
        <v>0.05</v>
      </c>
    </row>
    <row r="462" spans="1:13">
      <c r="A462">
        <v>0.06</v>
      </c>
      <c r="B462" s="3">
        <v>5</v>
      </c>
      <c r="C462">
        <v>0.06</v>
      </c>
    </row>
    <row r="463" spans="1:13">
      <c r="A463">
        <v>0.04</v>
      </c>
      <c r="B463" s="3">
        <v>6</v>
      </c>
      <c r="C463">
        <v>0.04</v>
      </c>
    </row>
    <row r="464" spans="1:13">
      <c r="A464">
        <v>0.23</v>
      </c>
      <c r="B464" s="3">
        <v>7</v>
      </c>
      <c r="C464">
        <v>0.23</v>
      </c>
    </row>
    <row r="465" spans="1:3">
      <c r="A465">
        <v>0.16</v>
      </c>
      <c r="B465" s="3">
        <v>8</v>
      </c>
      <c r="C465">
        <v>0.16</v>
      </c>
    </row>
    <row r="466" spans="1:3">
      <c r="A466">
        <v>0.09</v>
      </c>
      <c r="B466" s="3">
        <v>9</v>
      </c>
      <c r="C466">
        <v>0.09</v>
      </c>
    </row>
    <row r="467" spans="1:3">
      <c r="A467">
        <v>0.04</v>
      </c>
      <c r="B467" s="3">
        <v>10</v>
      </c>
      <c r="C467">
        <v>0.04</v>
      </c>
    </row>
    <row r="468" spans="1:3">
      <c r="A468">
        <v>0.16</v>
      </c>
      <c r="B468" s="3">
        <v>11</v>
      </c>
      <c r="C468">
        <v>0.16</v>
      </c>
    </row>
    <row r="469" spans="1:3">
      <c r="A469">
        <v>0.08</v>
      </c>
      <c r="B469" s="3">
        <v>12</v>
      </c>
      <c r="C469">
        <v>0.08</v>
      </c>
    </row>
    <row r="470" spans="1:3">
      <c r="A470">
        <v>0.05</v>
      </c>
      <c r="B470" s="3">
        <v>13</v>
      </c>
      <c r="C470">
        <v>0.05</v>
      </c>
    </row>
    <row r="471" spans="1:3">
      <c r="A471">
        <v>0.1</v>
      </c>
      <c r="B471" s="3">
        <v>14</v>
      </c>
      <c r="C471">
        <v>0.1</v>
      </c>
    </row>
    <row r="472" spans="1:3">
      <c r="A472">
        <v>0</v>
      </c>
      <c r="B472" s="3">
        <v>15</v>
      </c>
      <c r="C472">
        <v>0</v>
      </c>
    </row>
    <row r="474" spans="1:3">
      <c r="A474" s="53">
        <v>1</v>
      </c>
      <c r="B474" s="3" t="s">
        <v>30</v>
      </c>
      <c r="C474" s="53">
        <v>1</v>
      </c>
    </row>
    <row r="475" spans="1:3">
      <c r="A475" s="53">
        <v>1</v>
      </c>
      <c r="B475" s="3" t="s">
        <v>118</v>
      </c>
      <c r="C475" s="53">
        <v>1</v>
      </c>
    </row>
    <row r="476" spans="1:3">
      <c r="A476" s="53">
        <v>2</v>
      </c>
      <c r="B476" s="3" t="s">
        <v>55</v>
      </c>
      <c r="C476" s="53">
        <v>2</v>
      </c>
    </row>
    <row r="477" spans="1:3">
      <c r="A477" s="53">
        <v>3</v>
      </c>
      <c r="B477" s="3" t="s">
        <v>59</v>
      </c>
      <c r="C477" s="53">
        <v>3</v>
      </c>
    </row>
    <row r="478" spans="1:3">
      <c r="A478" s="53">
        <v>4</v>
      </c>
      <c r="B478" s="3" t="s">
        <v>37</v>
      </c>
      <c r="C478" s="53">
        <v>4</v>
      </c>
    </row>
    <row r="479" spans="1:3">
      <c r="A479" s="53">
        <v>5</v>
      </c>
      <c r="B479" s="3" t="s">
        <v>63</v>
      </c>
      <c r="C479" s="53">
        <v>5</v>
      </c>
    </row>
    <row r="480" spans="1:3">
      <c r="A480" s="40">
        <v>0</v>
      </c>
      <c r="B480">
        <v>0</v>
      </c>
      <c r="C480" s="40">
        <v>0</v>
      </c>
    </row>
    <row r="481" spans="1:3">
      <c r="A481" s="53">
        <v>14</v>
      </c>
      <c r="B481" s="3" t="s">
        <v>47</v>
      </c>
      <c r="C481" s="53">
        <v>14</v>
      </c>
    </row>
    <row r="482" spans="1:3">
      <c r="A482" s="53">
        <v>9</v>
      </c>
      <c r="B482" s="3" t="s">
        <v>589</v>
      </c>
      <c r="C482" s="53">
        <v>9</v>
      </c>
    </row>
    <row r="483" spans="1:3">
      <c r="A483" s="53">
        <v>9</v>
      </c>
      <c r="B483" s="3" t="s">
        <v>66</v>
      </c>
      <c r="C483" s="53">
        <v>9</v>
      </c>
    </row>
    <row r="484" spans="1:3">
      <c r="A484" s="53">
        <v>9</v>
      </c>
      <c r="B484" s="3" t="s">
        <v>78</v>
      </c>
      <c r="C484" s="53">
        <v>9</v>
      </c>
    </row>
    <row r="485" spans="1:3">
      <c r="A485" s="53">
        <v>9</v>
      </c>
      <c r="B485" s="3" t="s">
        <v>88</v>
      </c>
      <c r="C485" s="53">
        <v>9</v>
      </c>
    </row>
    <row r="486" spans="1:3">
      <c r="A486" s="53">
        <v>6</v>
      </c>
      <c r="B486" s="3" t="s">
        <v>92</v>
      </c>
      <c r="C486" s="53">
        <v>6</v>
      </c>
    </row>
    <row r="487" spans="1:3">
      <c r="A487" s="53">
        <v>9</v>
      </c>
      <c r="B487" s="3" t="s">
        <v>99</v>
      </c>
      <c r="C487" s="53">
        <v>9</v>
      </c>
    </row>
    <row r="488" spans="1:3">
      <c r="A488" s="53">
        <v>3</v>
      </c>
      <c r="B488" s="3" t="s">
        <v>105</v>
      </c>
      <c r="C488" s="53">
        <v>3</v>
      </c>
    </row>
    <row r="489" spans="1:3">
      <c r="A489" s="53">
        <v>7</v>
      </c>
      <c r="B489" s="3" t="s">
        <v>111</v>
      </c>
      <c r="C489" s="53">
        <v>7</v>
      </c>
    </row>
    <row r="490" spans="1:3">
      <c r="A490" s="53">
        <v>1</v>
      </c>
      <c r="B490" s="3" t="s">
        <v>590</v>
      </c>
      <c r="C490" s="53">
        <v>1</v>
      </c>
    </row>
    <row r="491" spans="1:3">
      <c r="A491" s="53">
        <v>10</v>
      </c>
      <c r="B491" s="3" t="s">
        <v>591</v>
      </c>
      <c r="C491" s="53">
        <v>10</v>
      </c>
    </row>
    <row r="492" spans="1:3">
      <c r="A492" s="53">
        <v>13</v>
      </c>
      <c r="B492" s="3" t="s">
        <v>143</v>
      </c>
      <c r="C492" s="53">
        <v>13</v>
      </c>
    </row>
    <row r="493" spans="1:3">
      <c r="A493" s="53">
        <v>13</v>
      </c>
      <c r="B493" s="3" t="s">
        <v>148</v>
      </c>
      <c r="C493" s="53">
        <v>13</v>
      </c>
    </row>
    <row r="494" spans="1:3">
      <c r="A494" s="53">
        <v>4</v>
      </c>
      <c r="B494" s="3" t="s">
        <v>152</v>
      </c>
      <c r="C494" s="53">
        <v>4</v>
      </c>
    </row>
    <row r="495" spans="1:3">
      <c r="A495" s="53">
        <v>3</v>
      </c>
      <c r="B495" s="3" t="s">
        <v>592</v>
      </c>
      <c r="C495" s="53">
        <v>3</v>
      </c>
    </row>
    <row r="496" spans="1:3">
      <c r="A496" s="53">
        <v>9</v>
      </c>
      <c r="B496" s="3" t="s">
        <v>165</v>
      </c>
      <c r="C496" s="53">
        <v>9</v>
      </c>
    </row>
    <row r="497" spans="1:3">
      <c r="A497" s="53">
        <v>9</v>
      </c>
      <c r="B497" s="3" t="s">
        <v>182</v>
      </c>
      <c r="C497" s="53">
        <v>9</v>
      </c>
    </row>
    <row r="498" spans="1:3">
      <c r="A498" s="53">
        <v>4</v>
      </c>
      <c r="B498" s="3" t="s">
        <v>194</v>
      </c>
      <c r="C498" s="53">
        <v>4</v>
      </c>
    </row>
    <row r="499" spans="1:3">
      <c r="A499" s="53">
        <v>3</v>
      </c>
      <c r="B499" s="3" t="s">
        <v>211</v>
      </c>
      <c r="C499" s="53">
        <v>3</v>
      </c>
    </row>
    <row r="500" spans="1:3">
      <c r="A500" s="53">
        <v>4</v>
      </c>
      <c r="B500" s="3" t="s">
        <v>593</v>
      </c>
      <c r="C500" s="53">
        <v>4</v>
      </c>
    </row>
    <row r="501" spans="1:3">
      <c r="A501" s="53">
        <v>9</v>
      </c>
      <c r="B501" s="3" t="s">
        <v>253</v>
      </c>
      <c r="C501" s="53">
        <v>9</v>
      </c>
    </row>
    <row r="502" spans="1:3">
      <c r="A502" s="53">
        <v>4</v>
      </c>
      <c r="B502" s="3" t="s">
        <v>268</v>
      </c>
      <c r="C502" s="53">
        <v>4</v>
      </c>
    </row>
    <row r="503" spans="1:3">
      <c r="A503" s="53">
        <v>7</v>
      </c>
      <c r="B503" s="3" t="s">
        <v>273</v>
      </c>
      <c r="C503" s="53">
        <v>7</v>
      </c>
    </row>
    <row r="504" spans="1:3">
      <c r="A504" s="53">
        <v>7</v>
      </c>
      <c r="B504" s="3" t="s">
        <v>283</v>
      </c>
      <c r="C504" s="53">
        <v>7</v>
      </c>
    </row>
    <row r="505" spans="1:3">
      <c r="A505" s="53">
        <v>14</v>
      </c>
      <c r="B505" s="3" t="s">
        <v>316</v>
      </c>
      <c r="C505" s="53">
        <v>14</v>
      </c>
    </row>
    <row r="506" spans="1:3">
      <c r="A506" s="53">
        <v>14</v>
      </c>
      <c r="B506" s="3" t="s">
        <v>594</v>
      </c>
      <c r="C506" s="53">
        <v>14</v>
      </c>
    </row>
    <row r="507" spans="1:3">
      <c r="A507" s="53">
        <v>2</v>
      </c>
      <c r="B507" s="3" t="s">
        <v>332</v>
      </c>
      <c r="C507" s="53">
        <v>2</v>
      </c>
    </row>
    <row r="508" spans="1:3">
      <c r="A508" s="53">
        <v>9</v>
      </c>
      <c r="B508" s="3" t="s">
        <v>595</v>
      </c>
      <c r="C508" s="53">
        <v>9</v>
      </c>
    </row>
    <row r="509" spans="1:3">
      <c r="A509" s="53">
        <v>6</v>
      </c>
      <c r="B509" s="3" t="s">
        <v>343</v>
      </c>
      <c r="C509" s="53">
        <v>6</v>
      </c>
    </row>
    <row r="510" spans="1:3">
      <c r="A510" s="53">
        <v>13</v>
      </c>
      <c r="B510" s="3" t="s">
        <v>367</v>
      </c>
      <c r="C510" s="53">
        <v>13</v>
      </c>
    </row>
    <row r="511" spans="1:3">
      <c r="A511" s="53">
        <v>15</v>
      </c>
      <c r="B511" s="3" t="s">
        <v>371</v>
      </c>
      <c r="C511" s="53">
        <v>15</v>
      </c>
    </row>
    <row r="512" spans="1:3">
      <c r="A512" s="53">
        <v>15</v>
      </c>
      <c r="B512" s="3" t="s">
        <v>383</v>
      </c>
      <c r="C512" s="53">
        <v>15</v>
      </c>
    </row>
    <row r="513" spans="1:3">
      <c r="A513" s="53">
        <v>13</v>
      </c>
      <c r="B513" s="3" t="s">
        <v>417</v>
      </c>
      <c r="C513" s="53">
        <v>13</v>
      </c>
    </row>
    <row r="514" spans="1:3">
      <c r="A514" s="53">
        <v>8</v>
      </c>
      <c r="B514" s="3" t="s">
        <v>426</v>
      </c>
      <c r="C514" s="53">
        <v>8</v>
      </c>
    </row>
    <row r="515" spans="1:3">
      <c r="A515" s="53">
        <v>13</v>
      </c>
      <c r="B515" s="3" t="s">
        <v>448</v>
      </c>
      <c r="C515" s="53">
        <v>13</v>
      </c>
    </row>
    <row r="516" spans="1:3">
      <c r="A516" s="53">
        <v>4</v>
      </c>
      <c r="B516" s="3" t="s">
        <v>458</v>
      </c>
      <c r="C516" s="53">
        <v>4</v>
      </c>
    </row>
    <row r="517" spans="1:3">
      <c r="A517" s="53">
        <v>13</v>
      </c>
      <c r="B517" s="3" t="s">
        <v>482</v>
      </c>
      <c r="C517" s="53">
        <v>13</v>
      </c>
    </row>
    <row r="518" spans="1:3">
      <c r="A518" s="53">
        <v>9</v>
      </c>
      <c r="B518" s="3" t="s">
        <v>484</v>
      </c>
      <c r="C518" s="53">
        <v>9</v>
      </c>
    </row>
    <row r="519" spans="1:3">
      <c r="A519" s="53">
        <v>11</v>
      </c>
      <c r="B519" s="3" t="s">
        <v>596</v>
      </c>
      <c r="C519" s="53">
        <v>11</v>
      </c>
    </row>
    <row r="520" spans="1:3">
      <c r="A520" s="53">
        <v>3</v>
      </c>
      <c r="B520" s="3" t="s">
        <v>597</v>
      </c>
      <c r="C520" s="53">
        <v>3</v>
      </c>
    </row>
    <row r="524" spans="1:3">
      <c r="B524" s="36" t="s">
        <v>998</v>
      </c>
    </row>
    <row r="525" spans="1:3">
      <c r="B525" t="s">
        <v>1000</v>
      </c>
    </row>
    <row r="526" spans="1:3">
      <c r="B526" t="s">
        <v>999</v>
      </c>
    </row>
    <row r="527" spans="1:3">
      <c r="B527" t="s">
        <v>1010</v>
      </c>
    </row>
    <row r="529" spans="2:3">
      <c r="B529" s="36" t="s">
        <v>1510</v>
      </c>
    </row>
    <row r="530" spans="2:3">
      <c r="B530" t="s">
        <v>871</v>
      </c>
      <c r="C530" s="10" t="s">
        <v>1500</v>
      </c>
    </row>
    <row r="531" spans="2:3">
      <c r="B531" t="s">
        <v>864</v>
      </c>
      <c r="C531" s="10" t="s">
        <v>1501</v>
      </c>
    </row>
    <row r="532" spans="2:3">
      <c r="B532" t="s">
        <v>870</v>
      </c>
      <c r="C532" s="10" t="s">
        <v>1502</v>
      </c>
    </row>
    <row r="533" spans="2:3">
      <c r="B533" t="s">
        <v>869</v>
      </c>
      <c r="C533" s="10" t="s">
        <v>1508</v>
      </c>
    </row>
    <row r="534" spans="2:3">
      <c r="B534" t="s">
        <v>301</v>
      </c>
      <c r="C534" s="10" t="s">
        <v>1503</v>
      </c>
    </row>
    <row r="535" spans="2:3">
      <c r="B535" t="s">
        <v>1016</v>
      </c>
      <c r="C535" s="10" t="s">
        <v>1509</v>
      </c>
    </row>
    <row r="536" spans="2:3">
      <c r="B536" t="s">
        <v>867</v>
      </c>
      <c r="C536" s="10" t="s">
        <v>1504</v>
      </c>
    </row>
    <row r="537" spans="2:3">
      <c r="B537" t="s">
        <v>868</v>
      </c>
      <c r="C537" s="10" t="s">
        <v>1505</v>
      </c>
    </row>
    <row r="538" spans="2:3">
      <c r="B538" t="s">
        <v>866</v>
      </c>
      <c r="C538" s="10" t="s">
        <v>1506</v>
      </c>
    </row>
    <row r="539" spans="2:3">
      <c r="B539" t="s">
        <v>865</v>
      </c>
      <c r="C539" s="10" t="s">
        <v>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Original</vt:lpstr>
      <vt:lpstr>Base Consenso</vt:lpstr>
      <vt:lpstr>Codificación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Olfos</dc:creator>
  <cp:lastModifiedBy>Erika Yaneth Castaño Moreno</cp:lastModifiedBy>
  <dcterms:created xsi:type="dcterms:W3CDTF">2024-08-31T01:18:51Z</dcterms:created>
  <dcterms:modified xsi:type="dcterms:W3CDTF">2025-12-29T17:48:17Z</dcterms:modified>
</cp:coreProperties>
</file>